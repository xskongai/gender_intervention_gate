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0b9243ed2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958357ff6da4e9b"/>
    <x:sheet xmlns:r="http://schemas.openxmlformats.org/officeDocument/2006/relationships" name="处置说明" sheetId="2" r:id="R33c907ad8ff54835"/>
    <x:sheet xmlns:r="http://schemas.openxmlformats.org/officeDocument/2006/relationships" name="数据集" sheetId="3" r:id="R235afd2a59af4e24"/>
    <x:sheet xmlns:r="http://schemas.openxmlformats.org/officeDocument/2006/relationships" name="长文本" sheetId="4" r:id="Rf101d82fe8e14de3"/>
    <x:sheet xmlns:r="http://schemas.openxmlformats.org/officeDocument/2006/relationships" name="反事实配对" sheetId="5" r:id="R480346ffc9544bad"/>
    <x:sheet xmlns:r="http://schemas.openxmlformats.org/officeDocument/2006/relationships" name="分类体系" sheetId="6" r:id="Rde544340163e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Noto Sans CJK SC"/>
    </x:font>
    <x:font>
      <x:b/>
      <x:sz val="14"/>
      <x:color rgb="FF1F3864"/>
      <x:name val="Arial"/>
    </x:font>
    <x:font>
      <x:sz val="10"/>
      <x:name val="Noto Sans CJK SC"/>
    </x:font>
    <x:font>
      <x:sz val="10"/>
      <x:name val="Arial"/>
    </x:font>
    <x:font>
      <x:b/>
      <x:sz val="11"/>
      <x:color rgb="FF1F3864"/>
      <x:name val="Noto Sans CJK SC"/>
    </x:font>
    <x:font>
      <x:b/>
      <x:sz val="10"/>
      <x:name val="Noto Sans CJK SC"/>
    </x:font>
    <x:font>
      <x:b/>
      <x:sz val="10"/>
      <x:name val="Arial"/>
    </x:font>
    <x:font>
      <x:b/>
      <x:sz val="10"/>
      <x:color rgb="FFFFFFFF"/>
      <x:name val="Noto Sans CJK SC"/>
    </x:font>
    <x:font>
      <x:b/>
      <x:sz val="10"/>
      <x:color rgb="FFFFFFFF"/>
      <x:name val="Arial"/>
    </x:font>
    <x:font>
      <x:b/>
      <x:sz val="10"/>
      <x:color rgb="FFC00000"/>
      <x:name val="Noto Sans CJK SC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5FA"/>
      </x:patternFill>
    </x:fill>
    <x:fill>
      <x:patternFill patternType="solid">
        <x:fgColor rgb="FFFFF2CC"/>
      </x:patternFill>
    </x:fill>
    <x:fill>
      <x:patternFill patternType="solid">
        <x:fgColor rgb="FFEDE3F2"/>
      </x:patternFill>
    </x:fill>
    <x:fill>
      <x:patternFill patternType="solid">
        <x:fgColor rgb="FFE7EEF7"/>
      </x:patternFill>
    </x:fill>
    <x:fill>
      <x:patternFill patternType="solid">
        <x:fgColor rgb="FFE2EFDA"/>
      </x:patternFill>
    </x:fill>
    <x:fill>
      <x:patternFill patternType="solid">
        <x:fgColor rgb="FFFCE4E4"/>
      </x:patternFill>
    </x:fill>
    <x:fill>
      <x:patternFill patternType="solid">
        <x:fgColor rgb="FFD9E2F3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1F3864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78"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top" wrapText="1"/>
    </x:xf>
    <x:xf numFmtId="0" fontId="6" fillId="0" borderId="0" xfId="0" applyAlignment="1">
      <x:alignment horizontal="general" vertical="top" wrapText="1"/>
    </x:xf>
    <x:xf numFmtId="0" fontId="8" fillId="0" borderId="0" xfId="0" applyAlignment="1">
      <x:alignment horizontal="general" vertical="top" wrapText="1"/>
    </x:xf>
    <x:xf numFmtId="0" fontId="7" fillId="0" borderId="0" xfId="0" applyAlignment="1">
      <x:alignment horizontal="general" vertical="top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11" fillId="2" borderId="1" xfId="0" applyAlignment="1">
      <x:alignment horizontal="center" vertical="center" wrapText="1"/>
    </x:xf>
    <x:xf numFmtId="0" fontId="6" fillId="0" borderId="1" xfId="0" applyAlignment="1">
      <x:alignment horizontal="general" vertical="bottom"/>
    </x:xf>
    <x:xf numFmtId="0" fontId="7" fillId="0" borderId="1" xfId="0" applyAlignment="1">
      <x:alignment horizontal="general" vertical="bottom"/>
    </x:xf>
    <x:xf numFmtId="0" fontId="7" fillId="0" borderId="1" xfId="0" applyAlignment="1">
      <x:alignment horizontal="center" vertical="center" wrapText="1"/>
    </x:xf>
    <x:xf numFmtId="0" fontId="9" fillId="0" borderId="1" xfId="0" applyAlignment="1">
      <x:alignment horizontal="general" vertical="bottom"/>
    </x:xf>
    <x:xf numFmtId="0" fontId="10" fillId="0" borderId="1" xfId="0" applyAlignment="1">
      <x:alignment horizontal="center" vertical="center" wrapText="1"/>
    </x:xf>
    <x:xf numFmtId="0" fontId="12" fillId="2" borderId="1" xfId="0" applyAlignment="1">
      <x:alignment horizontal="center" vertical="center" wrapText="1"/>
    </x:xf>
    <x:xf numFmtId="0" fontId="7" fillId="0" borderId="1" xfId="0" applyAlignment="1">
      <x:alignment horizontal="center" vertical="center" wrapText="1"/>
    </x:xf>
    <x:xf numFmtId="0" fontId="6" fillId="0" borderId="1" xfId="0" applyAlignment="1">
      <x:alignment horizontal="general" vertical="top" wrapText="1"/>
    </x:xf>
    <x:xf numFmtId="0" fontId="7" fillId="0" borderId="1" xfId="0" applyAlignment="1">
      <x:alignment horizontal="general" vertical="top" wrapText="1"/>
    </x:xf>
    <x:xf numFmtId="0" fontId="6" fillId="0" borderId="1" xfId="0" applyAlignment="1">
      <x:alignment horizontal="center" vertical="center" wrapText="1"/>
    </x:xf>
    <x:xf numFmtId="0" fontId="13" fillId="0" borderId="1" xfId="0" applyAlignment="1">
      <x:alignment horizontal="center" vertical="center" wrapText="1"/>
    </x:xf>
    <x:xf numFmtId="0" fontId="7" fillId="3" borderId="1" xfId="0" applyAlignment="1">
      <x:alignment horizontal="center" vertical="center" wrapText="1"/>
    </x:xf>
    <x:xf numFmtId="0" fontId="6" fillId="3" borderId="1" xfId="0" applyAlignment="1">
      <x:alignment horizontal="general" vertical="top" wrapText="1"/>
    </x:xf>
    <x:xf numFmtId="0" fontId="7" fillId="3" borderId="1" xfId="0" applyAlignment="1">
      <x:alignment horizontal="general" vertical="top" wrapText="1"/>
    </x:xf>
    <x:xf numFmtId="0" fontId="6" fillId="3" borderId="1" xfId="0" applyAlignment="1">
      <x:alignment horizontal="center" vertical="center" wrapText="1"/>
    </x:xf>
    <x:xf numFmtId="0" fontId="13" fillId="3" borderId="1" xfId="0" applyAlignment="1">
      <x:alignment horizontal="center" vertical="center" wrapText="1"/>
    </x:xf>
    <x:xf numFmtId="0" fontId="6" fillId="4" borderId="1" xfId="0" applyAlignment="1">
      <x:alignment horizontal="center" vertical="center" wrapText="1"/>
    </x:xf>
    <x:xf numFmtId="0" fontId="6" fillId="5" borderId="1" xfId="0" applyAlignment="1">
      <x:alignment horizontal="general" vertical="top" wrapText="1"/>
    </x:xf>
    <x:xf numFmtId="0" fontId="6" fillId="5" borderId="1" xfId="0" applyAlignment="1">
      <x:alignment horizontal="center" vertical="center" wrapText="1"/>
    </x:xf>
    <x:xf numFmtId="0" fontId="7" fillId="5" borderId="1" xfId="0" applyAlignment="1">
      <x:alignment horizontal="center" vertical="center" wrapText="1"/>
    </x:xf>
    <x:xf numFmtId="0" fontId="7" fillId="6" borderId="1" xfId="0" applyAlignment="1">
      <x:alignment horizontal="center" vertical="center" wrapText="1"/>
    </x:xf>
    <x:xf numFmtId="0" fontId="6" fillId="7" borderId="1" xfId="0" applyAlignment="1">
      <x:alignment horizontal="general" vertical="top" wrapText="1"/>
    </x:xf>
    <x:xf numFmtId="0" fontId="6" fillId="8" borderId="1" xfId="0" applyAlignment="1">
      <x:alignment horizontal="general" vertical="top" wrapText="1"/>
    </x:xf>
    <x:xf numFmtId="0" fontId="7" fillId="7" borderId="1" xfId="0" applyAlignment="1">
      <x:alignment horizontal="general" vertical="top" wrapText="1"/>
    </x:xf>
    <x:xf numFmtId="0" fontId="9" fillId="9" borderId="1" xfId="0" applyAlignment="1">
      <x:alignment horizontal="general" vertical="top" wrapText="1"/>
    </x:xf>
    <x:xf numFmtId="0" fontId="7" fillId="9" borderId="1" xfId="0" applyAlignment="1">
      <x:alignment horizontal="general" vertical="top" wrapText="1"/>
    </x:xf>
    <x:xf numFmtId="0" fontId="6" fillId="9" borderId="1" xfId="0" applyAlignment="1">
      <x:alignment horizontal="general" vertical="top" wrapText="1"/>
    </x:xf>
    <x:xf numFmtId="0" fontId="7" fillId="9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top" wrapText="1"/>
    </x:xf>
    <x:xf numFmtId="0" fontId="6" fillId="0" borderId="0" xfId="0" applyAlignment="1">
      <x:alignment horizontal="general" vertical="top" wrapText="1"/>
    </x:xf>
    <x:xf numFmtId="0" fontId="8" fillId="0" borderId="0" xfId="0" applyAlignment="1">
      <x:alignment horizontal="general" vertical="top" wrapText="1"/>
    </x:xf>
    <x:xf numFmtId="0" fontId="7" fillId="0" borderId="0" xfId="0" applyAlignment="1">
      <x:alignment horizontal="general" vertical="top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11" fillId="2" borderId="1" xfId="0" applyAlignment="1">
      <x:alignment horizontal="center" vertical="center" wrapText="1"/>
    </x:xf>
    <x:xf numFmtId="0" fontId="6" fillId="0" borderId="1" xfId="0" applyAlignment="1">
      <x:alignment horizontal="general" vertical="bottom"/>
    </x:xf>
    <x:xf numFmtId="0" fontId="7" fillId="0" borderId="1" xfId="0" applyAlignment="1">
      <x:alignment horizontal="general" vertical="bottom"/>
    </x:xf>
    <x:xf numFmtId="0" fontId="7" fillId="0" borderId="1" xfId="0" applyAlignment="1">
      <x:alignment horizontal="center" vertical="center" wrapText="1"/>
    </x:xf>
    <x:xf numFmtId="0" fontId="9" fillId="0" borderId="1" xfId="0" applyAlignment="1">
      <x:alignment horizontal="general" vertical="bottom"/>
    </x:xf>
    <x:xf numFmtId="0" fontId="10" fillId="0" borderId="1" xfId="0" applyAlignment="1">
      <x:alignment horizontal="center" vertical="center" wrapText="1"/>
    </x:xf>
    <x:xf numFmtId="0" fontId="16" fillId="0" borderId="0" xfId="0"/>
    <x:xf numFmtId="0" fontId="14" fillId="0" borderId="0" xfId="0" applyAlignment="1">
      <x:alignment vertical="top" wrapText="1"/>
    </x:xf>
    <x:xf numFmtId="0" fontId="14" fillId="0" borderId="0" xfId="0"/>
    <x:xf numFmtId="0" fontId="15" fillId="13" borderId="1" xfId="0" applyAlignment="1">
      <x:alignment vertical="center" wrapText="1"/>
    </x:xf>
    <x:xf numFmtId="0" fontId="15" fillId="13" borderId="0" xfId="0" applyAlignment="1">
      <x:alignment vertical="center" wrapText="1"/>
    </x:xf>
    <x:xf numFmtId="0" fontId="14" fillId="10" borderId="1" xfId="0" applyAlignment="1">
      <x:alignment horizontal="center" vertical="center" wrapText="1"/>
    </x:xf>
    <x:xf numFmtId="0" fontId="14" fillId="10" borderId="1" xfId="0" applyAlignment="1">
      <x:alignment horizontal="general" vertical="top" wrapText="1"/>
    </x:xf>
    <x:xf numFmtId="0" fontId="14" fillId="10" borderId="0" xfId="0"/>
    <x:xf numFmtId="0" fontId="14" fillId="11" borderId="1" xfId="0" applyAlignment="1">
      <x:alignment horizontal="center" vertical="center" wrapText="1"/>
    </x:xf>
    <x:xf numFmtId="0" fontId="14" fillId="11" borderId="1" xfId="0" applyAlignment="1">
      <x:alignment horizontal="general" vertical="top" wrapText="1"/>
    </x:xf>
    <x:xf numFmtId="0" fontId="14" fillId="11" borderId="0" xfId="0"/>
    <x:xf numFmtId="0" fontId="14" fillId="12" borderId="1" xfId="0" applyAlignment="1">
      <x:alignment horizontal="center" vertical="center" wrapText="1"/>
    </x:xf>
    <x:xf numFmtId="0" fontId="14" fillId="12" borderId="1" xfId="0" applyAlignment="1">
      <x:alignment horizontal="general" vertical="top" wrapText="1"/>
    </x:xf>
    <x:xf numFmtId="0" fontId="14" fillId="12" borderId="0" xfId="0"/>
    <x:xf numFmtId="0" fontId="6" fillId="0" borderId="1" xfId="0" applyAlignment="1">
      <x:alignment horizontal="general" vertical="top" wrapText="1"/>
    </x:xf>
    <x:xf numFmtId="0" fontId="6" fillId="0" borderId="1" xfId="0" applyAlignment="1">
      <x:alignment horizontal="center" vertical="center" wrapText="1"/>
    </x:xf>
    <x:xf numFmtId="0" fontId="7" fillId="3" borderId="1" xfId="0" applyAlignment="1">
      <x:alignment horizontal="center" vertical="center" wrapText="1"/>
    </x:xf>
    <x:xf numFmtId="0" fontId="6" fillId="3" borderId="1" xfId="0" applyAlignment="1">
      <x:alignment horizontal="general" vertical="top" wrapText="1"/>
    </x:xf>
    <x:xf numFmtId="0" fontId="6" fillId="3" borderId="1" xfId="0" applyAlignment="1">
      <x:alignment horizontal="center" vertical="center" wrapText="1"/>
    </x:xf>
    <x:xf numFmtId="0" fontId="6" fillId="7" borderId="1" xfId="0" applyAlignment="1">
      <x:alignment horizontal="general" vertical="top" wrapText="1"/>
    </x:xf>
    <x:xf numFmtId="0" fontId="6" fillId="8" borderId="1" xfId="0" applyAlignment="1">
      <x:alignment horizontal="general" vertical="top" wrapText="1"/>
    </x:xf>
    <x:xf numFmtId="0" fontId="7" fillId="7" borderId="1" xfId="0" applyAlignment="1">
      <x:alignment horizontal="general" vertical="top" wrapText="1"/>
    </x:xf>
    <x:xf numFmtId="0" fontId="12" fillId="2" borderId="1" xfId="0" applyAlignment="1">
      <x:alignment horizontal="center" vertical="center" wrapText="1"/>
    </x:xf>
    <x:xf numFmtId="0" fontId="9" fillId="9" borderId="1" xfId="0" applyAlignment="1">
      <x:alignment horizontal="general" vertical="top" wrapText="1"/>
    </x:xf>
    <x:xf numFmtId="0" fontId="7" fillId="9" borderId="1" xfId="0" applyAlignment="1">
      <x:alignment horizontal="general" vertical="top" wrapText="1"/>
    </x:xf>
    <x:xf numFmtId="0" fontId="6" fillId="9" borderId="1" xfId="0" applyAlignment="1">
      <x:alignment horizontal="general" vertical="top" wrapText="1"/>
    </x:xf>
    <x:xf numFmtId="0" fontId="7" fillId="9" borderId="1" xfId="0" applyAlignment="1">
      <x:alignment horizontal="center" vertical="center" wrapText="1"/>
    </x:xf>
    <x:xf numFmtId="0" fontId="7" fillId="0" borderId="1" xfId="0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8">
    <x:dxf>
      <x:fill>
        <x:patternFill>
          <x:bgColor rgb="FF1F3864"/>
        </x:patternFill>
      </x:fill>
    </x:dxf>
    <x:dxf>
      <x:fill>
        <x:patternFill>
          <x:bgColor rgb="FFF2F5FA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E7EEF7"/>
        </x:patternFill>
      </x:fill>
    </x:dxf>
    <x:dxf>
      <x:fill>
        <x:patternFill>
          <x:bgColor rgb="FFEDE3F2"/>
        </x:patternFill>
      </x:fill>
    </x:dxf>
    <x:dxf>
      <x:fill>
        <x:patternFill>
          <x:bgColor rgb="FFC00000"/>
        </x:patternFill>
      </x:fill>
    </x:dxf>
    <x:dxf>
      <x:fill>
        <x:patternFill>
          <x:bgColor rgb="FFFFF2CC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E7EEF7"/>
      <x:rgbColor rgb="FF660066"/>
      <x:rgbColor rgb="FFFF8080"/>
      <x:rgbColor rgb="FF0066CC"/>
      <x:rgbColor rgb="FFD9E2F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5FA"/>
      <x:rgbColor rgb="FFE2EFDA"/>
      <x:rgbColor rgb="FFEDE3F2"/>
      <x:rgbColor rgb="FF99CCFF"/>
      <x:rgbColor rgb="FFFF99CC"/>
      <x:rgbColor rgb="FFCC99FF"/>
      <x:rgbColor rgb="FFFCE4E4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c609dd71c4cfb" /><Relationship Type="http://schemas.openxmlformats.org/officeDocument/2006/relationships/theme" Target="/xl/theme/theme1.xml" Id="Rec9b2f311a304f7f" /><Relationship Type="http://schemas.openxmlformats.org/officeDocument/2006/relationships/sharedStrings" Target="/xl/sharedStrings.xml" Id="Ra962b380bc794ffc" /><Relationship Type="http://schemas.openxmlformats.org/officeDocument/2006/relationships/worksheet" Target="/xl/worksheets/sheet1.xml" Id="R4958357ff6da4e9b" /><Relationship Type="http://schemas.openxmlformats.org/officeDocument/2006/relationships/worksheet" Target="/xl/worksheets/sheet2.xml" Id="R33c907ad8ff54835" /><Relationship Type="http://schemas.openxmlformats.org/officeDocument/2006/relationships/worksheet" Target="/xl/worksheets/sheet3.xml" Id="R235afd2a59af4e24" /><Relationship Type="http://schemas.openxmlformats.org/officeDocument/2006/relationships/worksheet" Target="/xl/worksheets/sheet4.xml" Id="Rf101d82fe8e14de3" /><Relationship Type="http://schemas.openxmlformats.org/officeDocument/2006/relationships/worksheet" Target="/xl/worksheets/sheet5.xml" Id="R480346ffc9544bad" /><Relationship Type="http://schemas.openxmlformats.org/officeDocument/2006/relationships/worksheet" Target="/xl/worksheets/sheet6.xml" Id="Rde544340163e4018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0" style="36" customWidth="1"/>
    <x:col min="2" max="2" width="86" style="36" customWidth="1"/>
    <x:col min="3" max="3" width="12" style="36" customWidth="1"/>
  </x:cols>
  <x:sheetData>
    <x:row r="1" s="37" customFormat="1" ht="41.75" customHeight="1">
      <x:c r="A1" s="38" t="inlineStr">
        <x:is>
          <x:t xml:space="preserve">性别包容审查 · Golden Negative 数据集（v6）</x:t>
        </x:is>
      </x:c>
    </x:row>
    <x:row r="3" s="37" customFormat="1" ht="58.20000076293945" customHeight="1">
      <x:c r="A3" s="39" t="inlineStr">
        <x:is>
          <x:t xml:space="preserve">句级样本 1037 条 ＋ 段落级样本 16 条 ＋ 反事实配对 40 组。全部句级与段落级样本的正确行为均为【原样输出】。</x:t>
        </x:is>
      </x:c>
    </x:row>
    <x:row r="5" s="37" customFormat="1" ht="17.149999618530273" customHeight="1">
      <x:c r="A5" s="40" t="inlineStr">
        <x:is>
          <x:t xml:space="preserve">一、版本与合并说明</x:t>
        </x:is>
      </x:c>
    </x:row>
    <x:row r="6" s="37" customFormat="1" ht="44" customHeight="1">
      <x:c r="A6" s="41" t="inlineStr">
        <x:is>
          <x:t xml:space="preserve">· v6 在 v5（863 条）基础上继续按九类逐项补充，重点加厚了亲属与关系称谓，新增约 170 条。</x:t>
        </x:is>
      </x:c>
    </x:row>
    <x:row r="7" s="37" customFormat="1" ht="114.9000015258789" customHeight="1">
      <x:c r="A7" s="41" t="inlineStr">
        <x:is>
          <x:t xml:space="preserve">· 亲属称谓是这轮补得最多的：舅舅姑父婶婶姥姥、丈母娘小舅子大姨子弟媳、继父养父母亲家、同父异母与宗族辈分、外甥女堂兄表姐。汉语亲属词的信息密度极高——舅舅与叔叔、姥姥与奶奶、姑父与姨夫都不可互换，任何中性化替换都必然丢失关系信息，是最典型的信息守恒测试点。</x:t>
        </x:is>
      </x:c>
    </x:row>
    <x:row r="8" s="37" customFormat="1" ht="72.3499984741211" customHeight="1">
      <x:c r="A8" s="41" t="inlineStr">
        <x:is>
          <x:t xml:space="preserve">· 关系类另补了老伴、爱人、相亲对象、初恋、青梅竹马、结发妻子、未婚夫等；指称类补了译名、庙号谥号、拟亲属称呼、寻人启事与警情通报中的性别登记。</x:t>
        </x:is>
      </x:c>
    </x:row>
    <x:row r="9" s="37" customFormat="1" ht="29.850000381469727" customHeight="1">
      <x:c r="A9" s="41" t="inlineStr">
        <x:is>
          <x:t xml:space="preserve">· v5 曾在 v4（641 条）基础上按最初的枚举清单补漏，新增 222 条。</x:t>
        </x:is>
      </x:c>
    </x:row>
    <x:row r="10" s="37" customFormat="1" ht="171.60000610351562" customHeight="1">
      <x:c r="A10" s="41" t="inlineStr">
        <x:is>
          <x:t xml:space="preserve">· v5 补的是此前列了名目却一直没有样本的条目：妯娌连襟、干妈义父教母、他俩她俩、祂；早产死胎、初潮遗精、输卵管睾丸癌、造影禁忌；混合接力混双冰壶、性别影响评估、性别预算；女户诰命夫人妇好、纳妾休妻、母权制粉领照护赤字；契约碑刻旧教材、章程公报白皮书、BSRI 量表；职场妈妈娘man本宫、法号网名；坤角牵手、字谜绕口令歇后语；曼陀林妈祖、德语三性；子母门阴井盖、母株母液航空母舰、女贞益母草。</x:t>
        </x:is>
      </x:c>
    </x:row>
    <x:row r="11" s="37" customFormat="1" ht="44" customHeight="1">
      <x:c r="A11" s="41" t="inlineStr">
        <x:is>
          <x:t xml:space="preserve">· 编号保持稳定：v2/v3 仍为 NEG-0001–0518，v1 为 0519 起，v5 追加在最后。已有的评测脚本无需改动。</x:t>
        </x:is>
      </x:c>
    </x:row>
    <x:row r="12" s="37" customFormat="1" ht="29.850000381469727" customHeight="1">
      <x:c r="A12" s="41" t="inlineStr">
        <x:is>
          <x:t xml:space="preserve">· 「来源版本」列可随时筛选或回退到任一版本的子集。</x:t>
        </x:is>
      </x:c>
    </x:row>
    <x:row r="13" s="37" customFormat="1" ht="129.10000610351562" customHeight="1">
      <x:c r="A13" s="41" t="inlineStr">
        <x:is>
          <x:t xml:space="preserve">· v1 样本的语体统一标为「规范示例句」，归入「规范示例（基线）」桶。这不是敷衍——v1 写作时刻意采用了干净、整齐、无噪声的教科书式句子，本身构成一个有意义的对照register：若模型在此桶接近满分而在「社交与社区」「工程与技术」明显下滑，说明它依赖的是书面语的表层规整度，而非判断规则本身。</x:t>
        </x:is>
      </x:c>
    </x:row>
    <x:row r="14" s="37" customFormat="1" ht="29.850000381469727" customHeight="1">
      <x:c r="A14" s="41" t="inlineStr">
        <x:is>
          <x:t xml:space="preserve">· 若只想要贴近真实分布的语料，按「来源版本 ≠ v1」筛选即可。</x:t>
        </x:is>
      </x:c>
    </x:row>
    <x:row r="16" s="37" customFormat="1" ht="17.149999618530273" customHeight="1">
      <x:c r="A16" s="40" t="inlineStr">
        <x:is>
          <x:t xml:space="preserve">二、字段说明</x:t>
        </x:is>
      </x:c>
    </x:row>
    <x:row r="17" s="37" customFormat="1" ht="15" customHeight="1">
      <x:c r="A17" s="42" t="inlineStr">
        <x:is>
          <x:t xml:space="preserve">来源版本</x:t>
        </x:is>
      </x:c>
      <x:c r="B17" s="41" t="inlineStr">
        <x:is>
          <x:t xml:space="preserve">v1／v2／v3，标识样本来自哪一版</x:t>
        </x:is>
      </x:c>
    </x:row>
    <x:row r="18" s="37" customFormat="1" ht="15" customHeight="1">
      <x:c r="A18" s="43" t="inlineStr">
        <x:is>
          <x:t xml:space="preserve">L1类别 / L2子类</x:t>
        </x:is>
      </x:c>
      <x:c r="B18" s="39" t="inlineStr">
        <x:is>
          <x:t xml:space="preserve">九大类 56 个子类，与「分类体系」工作表对应</x:t>
        </x:is>
      </x:c>
    </x:row>
    <x:row r="19" s="37" customFormat="1" ht="15" customHeight="1">
      <x:c r="A19" s="42" t="inlineStr">
        <x:is>
          <x:t xml:space="preserve">语体大类 / 语体</x:t>
        </x:is>
      </x:c>
      <x:c r="B19" s="39" t="inlineStr">
        <x:is>
          <x:t xml:space="preserve">前者 11 个归并桶用于分层统计，后者为细粒度来源标注</x:t>
        </x:is>
      </x:c>
    </x:row>
    <x:row r="20" s="37" customFormat="1" ht="29.850000381469727" customHeight="1">
      <x:c r="A20" s="42" t="inlineStr">
        <x:is>
          <x:t xml:space="preserve">噪声类型</x:t>
        </x:is>
      </x:c>
      <x:c r="B20" s="39" t="inlineStr">
        <x:is>
          <x:t xml:space="preserve">无／错别字／缺标点／全半角混用／emoji／拼音缩写／ASR 转写／OCR 错行／繁体／方言／结构化文本／缩略／网络用语／重复标点／空格异常</x:t>
        </x:is>
      </x:c>
    </x:row>
    <x:row r="21" s="37" customFormat="1" ht="15" customHeight="1">
      <x:c r="A21" s="42" t="inlineStr">
        <x:is>
          <x:t xml:space="preserve">文本长度</x:t>
        </x:is>
      </x:c>
      <x:c r="B21" s="39" t="inlineStr">
        <x:is>
          <x:t xml:space="preserve">公式按字数自动判定：短（&lt;15）／中（15–45）／长（&gt;45）</x:t>
        </x:is>
      </x:c>
    </x:row>
    <x:row r="22" s="37" customFormat="1" ht="15" customHeight="1">
      <x:c r="A22" s="42" t="inlineStr">
        <x:is>
          <x:t xml:space="preserve">输入句子 / 期望输出</x:t>
        </x:is>
      </x:c>
      <x:c r="B22" s="39" t="inlineStr">
        <x:is>
          <x:t xml:space="preserve">期望输出以公式引用输入，恒等于输入。改输入即可，勿手改期望输出</x:t>
        </x:is>
      </x:c>
    </x:row>
    <x:row r="23" s="37" customFormat="1" ht="15" customHeight="1">
      <x:c r="A23" s="42" t="inlineStr">
        <x:is>
          <x:t xml:space="preserve">性别触发词</x:t>
        </x:is>
      </x:c>
      <x:c r="B23" s="39" t="inlineStr">
        <x:is>
          <x:t xml:space="preserve">会诱发改写的词，用于错误归因</x:t>
        </x:is>
      </x:c>
    </x:row>
    <x:row r="24" s="37" customFormat="1" ht="15" customHeight="1">
      <x:c r="A24" s="42" t="inlineStr">
        <x:is>
          <x:t xml:space="preserve">保留理由 / 常见误改</x:t>
        </x:is>
      </x:c>
      <x:c r="B24" s="39" t="inlineStr">
        <x:is>
          <x:t xml:space="preserve">标注依据；模型输出与「常见误改」相似即判为过度矫正</x:t>
        </x:is>
      </x:c>
    </x:row>
    <x:row r="25" s="37" customFormat="1" ht="15" customHeight="1">
      <x:c r="A25" s="42" t="inlineStr">
        <x:is>
          <x:t xml:space="preserve">难度 / 是否争议</x:t>
        </x:is>
      </x:c>
      <x:c r="B25" s="39" t="inlineStr">
        <x:is>
          <x:t xml:space="preserve">难度三档；争议样本建议从主指标剔除</x:t>
        </x:is>
      </x:c>
    </x:row>
    <x:row r="27" s="37" customFormat="1" ht="17.149999618530273" customHeight="1">
      <x:c r="A27" s="40" t="inlineStr">
        <x:is>
          <x:t xml:space="preserve">三、使用建议</x:t>
        </x:is>
      </x:c>
    </x:row>
    <x:row r="28" s="37" customFormat="1" ht="44" customHeight="1">
      <x:c r="A28" s="41" t="inlineStr">
        <x:is>
          <x:t xml:space="preserve">1. 主指标：句级不变率。判定前先对标点、空格、全半角做归一化，否则脏文本样本会被误判为已改写。</x:t>
        </x:is>
      </x:c>
    </x:row>
    <x:row r="29" s="37" customFormat="1" ht="86.55000305175781" customHeight="1">
      <x:c r="A29" s="41" t="inlineStr">
        <x:is>
          <x:t xml:space="preserve">2. 至少出五个分项：按来源版本、按 L1 类别、按难度、按语体大类、按噪声类型。第九类（假触发词）应单独报告——它检验的是最底层的关键词依赖，与其余八类的能力维度不同，混在一起会互相掩盖。</x:t>
        </x:is>
      </x:c>
    </x:row>
    <x:row r="30" s="37" customFormat="1" ht="44" customHeight="1">
      <x:c r="A30" s="41" t="inlineStr">
        <x:is>
          <x:t xml:space="preserve">3. 段落级另出一个指标：整段完全未改动才计通过，不按触发点部分给分。这个数字最接近用户体感。</x:t>
        </x:is>
      </x:c>
    </x:row>
    <x:row r="31" s="37" customFormat="1" ht="15" customHeight="1">
      <x:c r="A31" s="41" t="inlineStr">
        <x:is>
          <x:t xml:space="preserve">4. 争议样本单列，不计入主指标。</x:t>
        </x:is>
      </x:c>
    </x:row>
    <x:row r="32" s="37" customFormat="1" ht="44" customHeight="1">
      <x:c r="A32" s="41" t="inlineStr">
        <x:is>
          <x:t xml:space="preserve">5. 必须与 Golden Positive 配对使用，正负比例建议 1:1 至 1:2，否则模型会退化为一律不改。</x:t>
        </x:is>
      </x:c>
    </x:row>
    <x:row r="33" s="37" customFormat="1" ht="86.55000305175781" customHeight="1">
      <x:c r="A33" s="41" t="inlineStr">
        <x:is>
          <x:t xml:space="preserve">6. 「反事实配对」40 组两侧表层高度相似而正确行为相反，用于确认模型学到的是判断而非表层线索（例如「见到引号就不改」）。建议把配对准确率作为独立指标：两侧都答对才算一组通过。</x:t>
        </x:is>
      </x:c>
    </x:row>
    <x:row r="34" s="37" customFormat="1" ht="58.20000076293945" customHeight="1">
      <x:c r="A34" s="41" t="inlineStr">
        <x:is>
          <x:t xml:space="preserve">7. 若要划分训练／验证／测试集，务必按 L2 子类分层抽样，不要随机切分——部分子类样本仅 6 条，随机切分会导致某些子类在测试集中缺席。</x:t>
        </x:is>
      </x:c>
    </x:row>
    <x:row r="36" s="37" customFormat="1" ht="17.149999618530273" customHeight="1">
      <x:c r="A36" s="40" t="inlineStr">
        <x:is>
          <x:t xml:space="preserve">四、注意事项</x:t>
        </x:is>
      </x:c>
    </x:row>
    <x:row r="37" s="37" customFormat="1" ht="72.3499984741211" customHeight="1">
      <x:c r="A37" s="41" t="inlineStr">
        <x:is>
          <x:t xml:space="preserve">· 本表仍为人工构造语料。下一步性价比最高的是影子模式回流：让模型在生产流量上运行但不生效，把它做出改动的案例捞出人工复核，判错的即为分布匹配的真实负例。</x:t>
        </x:is>
      </x:c>
    </x:row>
    <x:row r="38" s="37" customFormat="1" ht="58.20000076293945" customHeight="1">
      <x:c r="A38" s="41" t="inlineStr">
        <x:is>
          <x:t xml:space="preserve">· 建议对 10% 样本做双人独立标注并报 Kappa。争议样本的存在说明部分边界本身缺乏共识，标注者分歧大的地方指标不可靠。</x:t>
        </x:is>
      </x:c>
    </x:row>
    <x:row r="39" s="37" customFormat="1" ht="44" customHeight="1">
      <x:c r="A39" s="41" t="inlineStr">
        <x:is>
          <x:t xml:space="preserve">· 「文本长度」中「长」为 0 属正常：句级样本上限 45 字，更长的文本全部放在「长文本」工作表。</x:t>
        </x:is>
      </x:c>
    </x:row>
    <x:row r="40" s="37" customFormat="1" ht="29.850000381469727" customHeight="1">
      <x:c r="A40" s="41" t="inlineStr">
        <x:is>
          <x:t xml:space="preserve">· 医学、法律、工程类句子仅为举例，不作为专业依据。</x:t>
        </x:is>
      </x:c>
    </x:row>
    <x:row r="42" s="37" customFormat="1" ht="17.149999618530273" customHeight="1">
      <x:c r="A42" s="40" t="inlineStr">
        <x:is>
          <x:t xml:space="preserve">五、样本统计（公式自动计算）</x:t>
        </x:is>
      </x:c>
    </x:row>
    <x:row r="43" s="37" customFormat="1" ht="15" customHeight="1">
      <x:c r="A43" s="44" t="inlineStr">
        <x:is>
          <x:t xml:space="preserve">维度</x:t>
        </x:is>
      </x:c>
      <x:c r="B43" s="44" t="inlineStr">
        <x:is>
          <x:t xml:space="preserve">取值</x:t>
        </x:is>
      </x:c>
      <x:c r="C43" s="44" t="inlineStr">
        <x:is>
          <x:t xml:space="preserve">样本数</x:t>
        </x:is>
      </x:c>
    </x:row>
    <x:row r="44" s="37" customFormat="1" ht="15" customHeight="1">
      <x:c r="A44" s="45" t="inlineStr">
        <x:is>
          <x:t xml:space="preserve">来源版本</x:t>
        </x:is>
      </x:c>
      <x:c r="B44" s="46" t="inlineStr">
        <x:is>
          <x:t xml:space="preserve">v1</x:t>
        </x:is>
      </x:c>
      <x:c r="C44" s="47" t="e">
        <x:f>COUNTIF(数据集!$B:$B,$B44)</x:f>
      </x:c>
    </x:row>
    <x:row r="45" s="37" customFormat="1" ht="15" customHeight="1">
      <x:c r="A45" s="45" t="inlineStr">
        <x:is>
          <x:t xml:space="preserve">来源版本</x:t>
        </x:is>
      </x:c>
      <x:c r="B45" s="46" t="inlineStr">
        <x:is>
          <x:t xml:space="preserve">v2</x:t>
        </x:is>
      </x:c>
      <x:c r="C45" s="47" t="e">
        <x:f>COUNTIF(数据集!$B:$B,$B45)</x:f>
      </x:c>
    </x:row>
    <x:row r="46" s="37" customFormat="1" ht="15" customHeight="1">
      <x:c r="A46" s="45" t="inlineStr">
        <x:is>
          <x:t xml:space="preserve">来源版本</x:t>
        </x:is>
      </x:c>
      <x:c r="B46" s="46" t="inlineStr">
        <x:is>
          <x:t xml:space="preserve">v3</x:t>
        </x:is>
      </x:c>
      <x:c r="C46" s="47" t="e">
        <x:f>COUNTIF(数据集!$B:$B,$B46)</x:f>
      </x:c>
    </x:row>
    <x:row r="47" s="37" customFormat="1" ht="15" customHeight="1">
      <x:c r="A47" s="45" t="inlineStr">
        <x:is>
          <x:t xml:space="preserve">来源版本</x:t>
        </x:is>
      </x:c>
      <x:c r="B47" s="46" t="inlineStr">
        <x:is>
          <x:t xml:space="preserve">v5</x:t>
        </x:is>
      </x:c>
      <x:c r="C47" s="47" t="e">
        <x:f>COUNTIF(数据集!$B:$B,$B47)</x:f>
      </x:c>
    </x:row>
    <x:row r="48" s="37" customFormat="1" ht="15" customHeight="1">
      <x:c r="A48" s="45" t="inlineStr">
        <x:is>
          <x:t xml:space="preserve">来源版本</x:t>
        </x:is>
      </x:c>
      <x:c r="B48" s="46" t="inlineStr">
        <x:is>
          <x:t xml:space="preserve">v6</x:t>
        </x:is>
      </x:c>
      <x:c r="C48" s="47" t="e">
        <x:f>COUNTIF(数据集!$B:$B,$B48)</x:f>
      </x:c>
    </x:row>
    <x:row r="49" s="37" customFormat="1" ht="15" customHeight="1">
      <x:c r="A49" s="45" t="inlineStr">
        <x:is>
          <x:t xml:space="preserve">类别</x:t>
        </x:is>
      </x:c>
      <x:c r="B49" s="45" t="inlineStr">
        <x:is>
          <x:t xml:space="preserve">一、指称已知性别的具体个人</x:t>
        </x:is>
      </x:c>
      <x:c r="C49" s="47" t="e">
        <x:f>COUNTIF(数据集!$C:$C,$B49)</x:f>
      </x:c>
    </x:row>
    <x:row r="50" s="37" customFormat="1" ht="15" customHeight="1">
      <x:c r="A50" s="45" t="inlineStr">
        <x:is>
          <x:t xml:space="preserve">类别</x:t>
        </x:is>
      </x:c>
      <x:c r="B50" s="45" t="inlineStr">
        <x:is>
          <x:t xml:space="preserve">二、生理与医学必需</x:t>
        </x:is>
      </x:c>
      <x:c r="C50" s="47" t="e">
        <x:f>COUNTIF(数据集!$C:$C,$B50)</x:f>
      </x:c>
    </x:row>
    <x:row r="51" s="37" customFormat="1" ht="15" customHeight="1">
      <x:c r="A51" s="45" t="inlineStr">
        <x:is>
          <x:t xml:space="preserve">类别</x:t>
        </x:is>
      </x:c>
      <x:c r="B51" s="45" t="inlineStr">
        <x:is>
          <x:t xml:space="preserve">三、制度性与统计性区分</x:t>
        </x:is>
      </x:c>
      <x:c r="C51" s="47" t="e">
        <x:f>COUNTIF(数据集!$C:$C,$B51)</x:f>
      </x:c>
    </x:row>
    <x:row r="52" s="37" customFormat="1" ht="15" customHeight="1">
      <x:c r="A52" s="45" t="inlineStr">
        <x:is>
          <x:t xml:space="preserve">类别</x:t>
        </x:is>
      </x:c>
      <x:c r="B52" s="45" t="inlineStr">
        <x:is>
          <x:t xml:space="preserve">四、专有名词与固定名称</x:t>
        </x:is>
      </x:c>
      <x:c r="C52" s="47" t="e">
        <x:f>COUNTIF(数据集!$C:$C,$B52)</x:f>
      </x:c>
    </x:row>
    <x:row r="53" s="37" customFormat="1" ht="15" customHeight="1">
      <x:c r="A53" s="45" t="inlineStr">
        <x:is>
          <x:t xml:space="preserve">类别</x:t>
        </x:is>
      </x:c>
      <x:c r="B53" s="45" t="inlineStr">
        <x:is>
          <x:t xml:space="preserve">五、引用与转述</x:t>
        </x:is>
      </x:c>
      <x:c r="C53" s="47" t="e">
        <x:f>COUNTIF(数据集!$C:$C,$B53)</x:f>
      </x:c>
    </x:row>
    <x:row r="54" s="37" customFormat="1" ht="15" customHeight="1">
      <x:c r="A54" s="45" t="inlineStr">
        <x:is>
          <x:t xml:space="preserve">类别</x:t>
        </x:is>
      </x:c>
      <x:c r="B54" s="45" t="inlineStr">
        <x:is>
          <x:t xml:space="preserve">六、自我认同与自称</x:t>
        </x:is>
      </x:c>
      <x:c r="C54" s="47" t="e">
        <x:f>COUNTIF(数据集!$C:$C,$B54)</x:f>
      </x:c>
    </x:row>
    <x:row r="55" s="37" customFormat="1" ht="15" customHeight="1">
      <x:c r="A55" s="45" t="inlineStr">
        <x:is>
          <x:t xml:space="preserve">类别</x:t>
        </x:is>
      </x:c>
      <x:c r="B55" s="45" t="inlineStr">
        <x:is>
          <x:t xml:space="preserve">七、创作与修辞需要</x:t>
        </x:is>
      </x:c>
      <x:c r="C55" s="47" t="e">
        <x:f>COUNTIF(数据集!$C:$C,$B55)</x:f>
      </x:c>
    </x:row>
    <x:row r="56" s="37" customFormat="1" ht="15" customHeight="1">
      <x:c r="A56" s="45" t="inlineStr">
        <x:is>
          <x:t xml:space="preserve">类别</x:t>
        </x:is>
      </x:c>
      <x:c r="B56" s="45" t="inlineStr">
        <x:is>
          <x:t xml:space="preserve">八、语言本体层面的历史残留</x:t>
        </x:is>
      </x:c>
      <x:c r="C56" s="47" t="e">
        <x:f>COUNTIF(数据集!$C:$C,$B56)</x:f>
      </x:c>
    </x:row>
    <x:row r="57" s="37" customFormat="1" ht="15" customHeight="1">
      <x:c r="A57" s="45" t="inlineStr">
        <x:is>
          <x:t xml:space="preserve">类别</x:t>
        </x:is>
      </x:c>
      <x:c r="B57" s="45" t="inlineStr">
        <x:is>
          <x:t xml:space="preserve">九、假触发词（形似而非）</x:t>
        </x:is>
      </x:c>
      <x:c r="C57" s="47" t="e">
        <x:f>COUNTIF(数据集!$C:$C,$B57)</x:f>
      </x:c>
    </x:row>
    <x:row r="58" s="37" customFormat="1" ht="15" customHeight="1">
      <x:c r="A58" s="45" t="inlineStr">
        <x:is>
          <x:t xml:space="preserve">难度</x:t>
        </x:is>
      </x:c>
      <x:c r="B58" s="45" t="inlineStr">
        <x:is>
          <x:t xml:space="preserve">易</x:t>
        </x:is>
      </x:c>
      <x:c r="C58" s="47" t="e">
        <x:f>COUNTIF(数据集!$O:$O,$B58)</x:f>
      </x:c>
    </x:row>
    <x:row r="59" s="37" customFormat="1" ht="15" customHeight="1">
      <x:c r="A59" s="45" t="inlineStr">
        <x:is>
          <x:t xml:space="preserve">难度</x:t>
        </x:is>
      </x:c>
      <x:c r="B59" s="45" t="inlineStr">
        <x:is>
          <x:t xml:space="preserve">中</x:t>
        </x:is>
      </x:c>
      <x:c r="C59" s="47" t="e">
        <x:f>COUNTIF(数据集!$O:$O,$B59)</x:f>
      </x:c>
    </x:row>
    <x:row r="60" s="37" customFormat="1" ht="15" customHeight="1">
      <x:c r="A60" s="45" t="inlineStr">
        <x:is>
          <x:t xml:space="preserve">难度</x:t>
        </x:is>
      </x:c>
      <x:c r="B60" s="45" t="inlineStr">
        <x:is>
          <x:t xml:space="preserve">难</x:t>
        </x:is>
      </x:c>
      <x:c r="C60" s="47" t="e">
        <x:f>COUNTIF(数据集!$O:$O,$B60)</x:f>
      </x:c>
    </x:row>
    <x:row r="61" s="37" customFormat="1" ht="15" customHeight="1">
      <x:c r="A61" s="45" t="inlineStr">
        <x:is>
          <x:t xml:space="preserve">是否争议</x:t>
        </x:is>
      </x:c>
      <x:c r="B61" s="45" t="inlineStr">
        <x:is>
          <x:t xml:space="preserve">是</x:t>
        </x:is>
      </x:c>
      <x:c r="C61" s="47" t="e">
        <x:f>COUNTIF(数据集!$P:$P,$B61)</x:f>
      </x:c>
    </x:row>
    <x:row r="62" s="37" customFormat="1" ht="15" customHeight="1">
      <x:c r="A62" s="45" t="inlineStr">
        <x:is>
          <x:t xml:space="preserve">是否争议</x:t>
        </x:is>
      </x:c>
      <x:c r="B62" s="45" t="inlineStr">
        <x:is>
          <x:t xml:space="preserve">否</x:t>
        </x:is>
      </x:c>
      <x:c r="C62" s="47" t="e">
        <x:f>COUNTIF(数据集!$P:$P,$B62)</x:f>
      </x:c>
    </x:row>
    <x:row r="63" s="37" customFormat="1" ht="15" customHeight="1">
      <x:c r="A63" s="45" t="inlineStr">
        <x:is>
          <x:t xml:space="preserve">语体大类</x:t>
        </x:is>
      </x:c>
      <x:c r="B63" s="45" t="inlineStr">
        <x:is>
          <x:t xml:space="preserve">规范示例（基线）</x:t>
        </x:is>
      </x:c>
      <x:c r="C63" s="47" t="e">
        <x:f>COUNTIF(数据集!$E:$E,$B63)</x:f>
      </x:c>
    </x:row>
    <x:row r="64" s="37" customFormat="1" ht="15" customHeight="1">
      <x:c r="A64" s="45" t="inlineStr">
        <x:is>
          <x:t xml:space="preserve">语体大类</x:t>
        </x:is>
      </x:c>
      <x:c r="B64" s="45" t="inlineStr">
        <x:is>
          <x:t xml:space="preserve">口语与私人交流</x:t>
        </x:is>
      </x:c>
      <x:c r="C64" s="47" t="e">
        <x:f>COUNTIF(数据集!$E:$E,$B64)</x:f>
      </x:c>
    </x:row>
    <x:row r="65" s="37" customFormat="1" ht="15" customHeight="1">
      <x:c r="A65" s="45" t="inlineStr">
        <x:is>
          <x:t xml:space="preserve">语体大类</x:t>
        </x:is>
      </x:c>
      <x:c r="B65" s="45" t="inlineStr">
        <x:is>
          <x:t xml:space="preserve">社交与社区</x:t>
        </x:is>
      </x:c>
      <x:c r="C65" s="47" t="e">
        <x:f>COUNTIF(数据集!$E:$E,$B65)</x:f>
      </x:c>
    </x:row>
    <x:row r="66" s="37" customFormat="1" ht="15" customHeight="1">
      <x:c r="A66" s="45" t="inlineStr">
        <x:is>
          <x:t xml:space="preserve">语体大类</x:t>
        </x:is>
      </x:c>
      <x:c r="B66" s="45" t="inlineStr">
        <x:is>
          <x:t xml:space="preserve">新闻报道</x:t>
        </x:is>
      </x:c>
      <x:c r="C66" s="47" t="e">
        <x:f>COUNTIF(数据集!$E:$E,$B66)</x:f>
      </x:c>
    </x:row>
    <x:row r="67" s="37" customFormat="1" ht="15" customHeight="1">
      <x:c r="A67" s="45" t="inlineStr">
        <x:is>
          <x:t xml:space="preserve">语体大类</x:t>
        </x:is>
      </x:c>
      <x:c r="B67" s="45" t="inlineStr">
        <x:is>
          <x:t xml:space="preserve">公文与规章</x:t>
        </x:is>
      </x:c>
      <x:c r="C67" s="47" t="e">
        <x:f>COUNTIF(数据集!$E:$E,$B67)</x:f>
      </x:c>
    </x:row>
    <x:row r="68" s="37" customFormat="1" ht="15" customHeight="1">
      <x:c r="A68" s="45" t="inlineStr">
        <x:is>
          <x:t xml:space="preserve">语体大类</x:t>
        </x:is>
      </x:c>
      <x:c r="B68" s="45" t="inlineStr">
        <x:is>
          <x:t xml:space="preserve">法律与司法</x:t>
        </x:is>
      </x:c>
      <x:c r="C68" s="47" t="e">
        <x:f>COUNTIF(数据集!$E:$E,$B68)</x:f>
      </x:c>
    </x:row>
    <x:row r="69" s="37" customFormat="1" ht="15" customHeight="1">
      <x:c r="A69" s="45" t="inlineStr">
        <x:is>
          <x:t xml:space="preserve">语体大类</x:t>
        </x:is>
      </x:c>
      <x:c r="B69" s="45" t="inlineStr">
        <x:is>
          <x:t xml:space="preserve">医疗健康</x:t>
        </x:is>
      </x:c>
      <x:c r="C69" s="47" t="e">
        <x:f>COUNTIF(数据集!$E:$E,$B69)</x:f>
      </x:c>
    </x:row>
    <x:row r="70" s="37" customFormat="1" ht="15" customHeight="1">
      <x:c r="A70" s="45" t="inlineStr">
        <x:is>
          <x:t xml:space="preserve">语体大类</x:t>
        </x:is>
      </x:c>
      <x:c r="B70" s="45" t="inlineStr">
        <x:is>
          <x:t xml:space="preserve">学术与调研</x:t>
        </x:is>
      </x:c>
      <x:c r="C70" s="47" t="e">
        <x:f>COUNTIF(数据集!$E:$E,$B70)</x:f>
      </x:c>
    </x:row>
    <x:row r="71" s="37" customFormat="1" ht="15" customHeight="1">
      <x:c r="A71" s="45" t="inlineStr">
        <x:is>
          <x:t xml:space="preserve">语体大类</x:t>
        </x:is>
      </x:c>
      <x:c r="B71" s="45" t="inlineStr">
        <x:is>
          <x:t xml:space="preserve">商业与产品</x:t>
        </x:is>
      </x:c>
      <x:c r="C71" s="47" t="e">
        <x:f>COUNTIF(数据集!$E:$E,$B71)</x:f>
      </x:c>
    </x:row>
    <x:row r="72" s="37" customFormat="1" ht="15" customHeight="1">
      <x:c r="A72" s="45" t="inlineStr">
        <x:is>
          <x:t xml:space="preserve">语体大类</x:t>
        </x:is>
      </x:c>
      <x:c r="B72" s="45" t="inlineStr">
        <x:is>
          <x:t xml:space="preserve">文艺创作与评论</x:t>
        </x:is>
      </x:c>
      <x:c r="C72" s="47" t="e">
        <x:f>COUNTIF(数据集!$E:$E,$B72)</x:f>
      </x:c>
    </x:row>
    <x:row r="73" s="37" customFormat="1" ht="15" customHeight="1">
      <x:c r="A73" s="45" t="inlineStr">
        <x:is>
          <x:t xml:space="preserve">语体大类</x:t>
        </x:is>
      </x:c>
      <x:c r="B73" s="45" t="inlineStr">
        <x:is>
          <x:t xml:space="preserve">工程与技术</x:t>
        </x:is>
      </x:c>
      <x:c r="C73" s="47" t="e">
        <x:f>COUNTIF(数据集!$E:$E,$B73)</x:f>
      </x:c>
    </x:row>
    <x:row r="74" s="37" customFormat="1" ht="15" customHeight="1">
      <x:c r="A74" s="45" t="inlineStr">
        <x:is>
          <x:t xml:space="preserve">文本长度</x:t>
        </x:is>
      </x:c>
      <x:c r="B74" s="45" t="inlineStr">
        <x:is>
          <x:t xml:space="preserve">短</x:t>
        </x:is>
      </x:c>
      <x:c r="C74" s="47" t="e">
        <x:f>COUNTIF(数据集!$H:$H,$B74)</x:f>
      </x:c>
    </x:row>
    <x:row r="75" s="37" customFormat="1" ht="15" customHeight="1">
      <x:c r="A75" s="45" t="inlineStr">
        <x:is>
          <x:t xml:space="preserve">文本长度</x:t>
        </x:is>
      </x:c>
      <x:c r="B75" s="45" t="inlineStr">
        <x:is>
          <x:t xml:space="preserve">中</x:t>
        </x:is>
      </x:c>
      <x:c r="C75" s="47" t="e">
        <x:f>COUNTIF(数据集!$H:$H,$B75)</x:f>
      </x:c>
    </x:row>
    <x:row r="76" s="37" customFormat="1" ht="15" customHeight="1">
      <x:c r="A76" s="45" t="inlineStr">
        <x:is>
          <x:t xml:space="preserve">文本长度</x:t>
        </x:is>
      </x:c>
      <x:c r="B76" s="45" t="inlineStr">
        <x:is>
          <x:t xml:space="preserve">长</x:t>
        </x:is>
      </x:c>
      <x:c r="C76" s="47" t="e">
        <x:f>COUNTIF(数据集!$H:$H,$B76)</x:f>
      </x:c>
    </x:row>
    <x:row r="77" s="37" customFormat="1" ht="15" customHeight="1">
      <x:c r="A77" s="45" t="inlineStr">
        <x:is>
          <x:t xml:space="preserve">噪声</x:t>
        </x:is>
      </x:c>
      <x:c r="B77" s="45" t="inlineStr">
        <x:is>
          <x:t xml:space="preserve">含噪声样本</x:t>
        </x:is>
      </x:c>
      <x:c r="C77" s="47" t="e">
        <x:f>COUNTA(数据集!$G:$G)-1-COUNTIF(数据集!$G:$G,"无")</x:f>
      </x:c>
    </x:row>
    <x:row r="78" s="37" customFormat="1" ht="15" customHeight="1">
      <x:c r="A78" s="48" t="inlineStr">
        <x:is>
          <x:t xml:space="preserve">合计</x:t>
        </x:is>
      </x:c>
      <x:c r="B78" s="48" t="inlineStr">
        <x:is>
          <x:t xml:space="preserve">全部句级样本</x:t>
        </x:is>
      </x:c>
      <x:c r="C78" s="49" t="e">
        <x:f>COUNTA(数据集!$A:$A)-1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style="37" customWidth="1"/>
    <x:col min="2" max="2" width="98" style="37" customWidth="1"/>
  </x:cols>
  <x:sheetData>
    <x:row r="1">
      <x:c r="A1" s="50" t="inlineStr">
        <x:is>
          <x:t xml:space="preserve">版本</x:t>
        </x:is>
      </x:c>
      <x:c r="B1" s="51" t="inlineStr">
        <x:is>
          <x:t xml:space="preserve">v2.0（在 processed 基础上叠加幻觉标注）</x:t>
        </x:is>
      </x:c>
    </x:row>
    <x:row r="2">
      <x:c r="A2" s="52" t="inlineStr">
        <x:is>
          <x:t xml:space="preserve">原则</x:t>
        </x:is>
      </x:c>
      <x:c r="B2" s="51" t="inlineStr">
        <x:is>
          <x:t xml:space="preserve">原始行一条不删，全部保留并标注处置。删除不可逆，而处置判断可能是错的。</x:t>
        </x:is>
      </x:c>
    </x:row>
    <x:row r="3">
      <x:c r="A3" s="50" t="inlineStr">
        <x:is>
          <x:t xml:space="preserve"/>
        </x:is>
      </x:c>
      <x:c r="B3" s="51" t="inlineStr">
        <x:is>
          <x:t xml:space="preserve"/>
        </x:is>
      </x:c>
    </x:row>
    <x:row r="4">
      <x:c r="A4" s="50" t="inlineStr">
        <x:is>
          <x:t xml:space="preserve">本版新增</x:t>
        </x:is>
      </x:c>
      <x:c r="B4" s="51" t="inlineStr">
        <x:is>
          <x:t xml:space="preserve">**剔除·参考改写幻觉** —— 参考改写引入了原句没有的事实。</x:t>
        </x:is>
      </x:c>
    </x:row>
    <x:row r="5">
      <x:c r="A5" s="52" t="inlineStr">
        <x:is>
          <x:t xml:space="preserve"/>
        </x:is>
      </x:c>
      <x:c r="B5" s="51" t="inlineStr">
        <x:is>
          <x:t xml:space="preserve">改写不得引入原句没有的事实；verify.check_no_new_facts 会把符合这些</x:t>
        </x:is>
      </x:c>
    </x:row>
    <x:row r="6">
      <x:c r="A6" s="52" t="inlineStr">
        <x:is>
          <x:t xml:space="preserve"/>
        </x:is>
      </x:c>
      <x:c r="B6" s="51" t="inlineStr">
        <x:is>
          <x:t xml:space="preserve">标准答案的改写全部拒掉，而校验器是对的。留着等于教模型编造。</x:t>
        </x:is>
      </x:c>
    </x:row>
    <x:row r="7">
      <x:c r="A7" s="50" t="inlineStr">
        <x:is>
          <x:t xml:space="preserve"/>
        </x:is>
      </x:c>
      <x:c r="B7" s="51" t="inlineStr">
        <x:is>
          <x:t xml:space="preserve"/>
        </x:is>
      </x:c>
    </x:row>
    <x:row r="8">
      <x:c r="A8" s="50" t="inlineStr">
        <x:is>
          <x:t xml:space="preserve">三种产生机制</x:t>
        </x:is>
      </x:c>
      <x:c r="B8" s="51" t="inlineStr">
        <x:is>
          <x:t xml:space="preserve"/>
        </x:is>
      </x:c>
    </x:row>
    <x:row r="9">
      <x:c r="A9" s="52" t="inlineStr">
        <x:is>
          <x:t xml:space="preserve">A 欠指称→填具名</x:t>
        </x:is>
      </x:c>
      <x:c r="B9" s="51" t="inlineStr">
        <x:is>
          <x:t xml:space="preserve">原句用「小李」「陈太太」「张某家属」，改写填了句中没有的具体姓名</x:t>
        </x:is>
      </x:c>
    </x:row>
    <x:row r="10">
      <x:c r="A10" s="52" t="inlineStr">
        <x:is>
          <x:t xml:space="preserve">B 新增职务头衔</x:t>
        </x:is>
      </x:c>
      <x:c r="B10" s="51" t="inlineStr">
        <x:is>
          <x:t xml:space="preserve">改写给某人安上了原句读不出的职务</x:t>
        </x:is>
      </x:c>
    </x:row>
    <x:row r="11">
      <x:c r="A11" s="52" t="inlineStr">
        <x:is>
          <x:t xml:space="preserve">C 凭空年限/数量</x:t>
        </x:is>
      </x:c>
      <x:c r="B11" s="51" t="inlineStr">
        <x:is>
          <x:t xml:space="preserve">改写给出了无法从原句推导的年限或人数</x:t>
        </x:is>
      </x:c>
    </x:row>
    <x:row r="12">
      <x:c r="A12" s="50" t="inlineStr">
        <x:is>
          <x:t xml:space="preserve"/>
        </x:is>
      </x:c>
      <x:c r="B12" s="51" t="inlineStr">
        <x:is>
          <x:t xml:space="preserve"/>
        </x:is>
      </x:c>
    </x:row>
    <x:row r="13">
      <x:c r="A13" s="50" t="inlineStr">
        <x:is>
          <x:t xml:space="preserve">根因</x:t>
        </x:is>
      </x:c>
      <x:c r="B13" s="51" t="inlineStr">
        <x:is>
          <x:t xml:space="preserve">「称谓/姓名不对等」要消除层级差，要么给缺的补全名（编造），</x:t>
        </x:is>
      </x:c>
    </x:row>
    <x:row r="14">
      <x:c r="A14" s="52" t="inlineStr">
        <x:is>
          <x:t xml:space="preserve"/>
        </x:is>
      </x:c>
      <x:c r="B14" s="51" t="inlineStr">
        <x:is>
          <x:t xml:space="preserve">要么把有的简化。标注者一律选了前者。</x:t>
        </x:is>
      </x:c>
    </x:row>
    <x:row r="15">
      <x:c r="A15" s="50" t="inlineStr">
        <x:is>
          <x:t xml:space="preserve"/>
        </x:is>
      </x:c>
      <x:c r="B15" s="51" t="inlineStr">
        <x:is>
          <x:t xml:space="preserve"/>
        </x:is>
      </x:c>
    </x:row>
    <x:row r="16">
      <x:c r="A16" s="52" t="inlineStr">
        <x:is>
          <x:t xml:space="preserve">两条失败的判据</x:t>
        </x:is>
      </x:c>
      <x:c r="B16" s="51" t="inlineStr">
        <x:is>
          <x:t xml:space="preserve">1. 「改写出现原句没有的 2 字块」→ 命中 83%：重构型必然引入新表述</x:t>
        </x:is>
      </x:c>
    </x:row>
    <x:row r="17">
      <x:c r="A17" s="52" t="inlineStr">
        <x:is>
          <x:t xml:space="preserve"/>
        </x:is>
      </x:c>
      <x:c r="B17" s="51" t="inlineStr">
        <x:is>
          <x:t xml:space="preserve">2. 「[姓氏字]+1~2字」→ 误伤「顾客」「周负责」。中文姓氏字全是常用字，</x:t>
        </x:is>
      </x:c>
    </x:row>
    <x:row r="18">
      <x:c r="A18" s="52" t="inlineStr">
        <x:is>
          <x:t xml:space="preserve"/>
        </x:is>
      </x:c>
      <x:c r="B18" s="51" t="inlineStr">
        <x:is>
          <x:t xml:space="preserve">   判据不成立。最终用「按产生机制分类 + 逐条确认」。</x:t>
        </x:is>
      </x:c>
    </x:row>
    <x:row r="19">
      <x:c r="A19" s="52" t="inlineStr">
        <x:is>
          <x:t xml:space="preserve">数字类额外判据</x:t>
        </x:is>
      </x:c>
      <x:c r="B19" s="51" t="inlineStr">
        <x:is>
          <x:t xml:space="preserve">新数字能否由原句数字求和得出。8+12=20、4+4=8 属可推导，不算幻觉。</x:t>
        </x:is>
      </x:c>
    </x:row>
    <x:row r="20">
      <x:c r="A20" s="50" t="inlineStr">
        <x:is>
          <x:t xml:space="preserve"/>
        </x:is>
      </x:c>
      <x:c r="B20" s="51" t="inlineStr">
        <x:is>
          <x:t xml:space="preserve"/>
        </x:is>
      </x:c>
    </x:row>
    <x:row r="21">
      <x:c r="A21" s="50" t="inlineStr">
        <x:is>
          <x:t xml:space="preserve">处置值</x:t>
        </x:is>
      </x:c>
      <x:c r="B21" s="51" t="inlineStr">
        <x:is>
          <x:t xml:space="preserve">含义</x:t>
        </x:is>
      </x:c>
    </x:row>
    <x:row r="22">
      <x:c r="A22" s="52" t="inlineStr">
        <x:is>
          <x:t xml:space="preserve">主集</x:t>
        </x:is>
      </x:c>
      <x:c r="B22" s="51" t="inlineStr">
        <x:is>
          <x:t xml:space="preserve">进入评测，按 L2 子类整组切分为 index / dev / test</x:t>
        </x:is>
      </x:c>
    </x:row>
    <x:row r="23">
      <x:c r="A23" s="52" t="inlineStr">
        <x:is>
          <x:t xml:space="preserve">剔除·参考改写幻觉</x:t>
        </x:is>
      </x:c>
      <x:c r="B23" s="51" t="inlineStr">
        <x:is>
          <x:t xml:space="preserve">本版新增。参考改写编造事实，不可作标准答案</x:t>
        </x:is>
      </x:c>
    </x:row>
    <x:row r="24">
      <x:c r="A24" s="52" t="inlineStr">
        <x:is>
          <x:t xml:space="preserve">待确认·枚举扩展</x:t>
        </x:is>
      </x:c>
      <x:c r="B24" s="51" t="inlineStr">
        <x:is>
          <x:t xml:space="preserve">枚举补全取值域（0=未知 9=未说明），倾向合理，待人工确认</x:t>
        </x:is>
      </x:c>
    </x:row>
    <x:row r="25">
      <x:c r="A25" s="52" t="inlineStr">
        <x:is>
          <x:t xml:space="preserve">隔离·待确认</x:t>
        </x:is>
      </x:c>
      <x:c r="B25" s="51" t="inlineStr">
        <x:is>
          <x:t xml:space="preserve">触发词不含性别编码，判断可能依赖世界知识。不进闸门</x:t>
        </x:is>
      </x:c>
    </x:row>
    <x:row r="26">
      <x:c r="A26" s="52" t="inlineStr">
        <x:is>
          <x:t xml:space="preserve">存疑</x:t>
        </x:is>
      </x:c>
      <x:c r="B26" s="51" t="inlineStr">
        <x:is>
          <x:t xml:space="preserve">标注者自陈判断依赖句外信息，gold 改为 UNSURE</x:t>
        </x:is>
      </x:c>
    </x:row>
    <x:row r="27">
      <x:c r="A27" s="52" t="inlineStr">
        <x:is>
          <x:t xml:space="preserve">语料级</x:t>
        </x:is>
      </x:c>
      <x:c r="B27" s="51" t="inlineStr">
        <x:is>
          <x:t xml:space="preserve">判据需跨语料统计，单句无从得知</x:t>
        </x:is>
      </x:c>
    </x:row>
    <x:row r="28">
      <x:c r="A28" s="52" t="inlineStr">
        <x:is>
          <x:t xml:space="preserve">剔除</x:t>
        </x:is>
      </x:c>
      <x:c r="B28" s="51" t="inlineStr">
        <x:is>
          <x:t xml:space="preserve">类别名误导或载体形式为篇章级</x:t>
        </x:is>
      </x:c>
    </x:row>
    <x:row r="29">
      <x:c r="A29" s="52" t="inlineStr">
        <x:is>
          <x:t xml:space="preserve">删除</x:t>
        </x:is>
      </x:c>
      <x:c r="B29" s="51" t="inlineStr">
        <x:is>
          <x:t xml:space="preserve">信息量不足以支撑任何判断</x:t>
        </x:is>
      </x:c>
    </x:row>
    <x:row r="30">
      <x:c r="A30" s="50" t="inlineStr">
        <x:is>
          <x:t xml:space="preserve"/>
        </x:is>
      </x:c>
      <x:c r="B30" s="51" t="inlineStr">
        <x:is>
          <x:t xml:space="preserve"/>
        </x:is>
      </x:c>
    </x:row>
    <x:row r="31">
      <x:c r="A31" s="52" t="inlineStr">
        <x:is>
          <x:t xml:space="preserve">删除的判据</x:t>
        </x:is>
      </x:c>
      <x:c r="B31" s="51" t="inlineStr">
        <x:is>
          <x:t xml:space="preserve">一个只看这一句话的人，能不能判对？不能才删；能判对的不许删——</x:t>
        </x:is>
      </x:c>
    </x:row>
    <x:row r="32">
      <x:c r="A32" s="52" t="inlineStr">
        <x:is>
          <x:t xml:space="preserve"/>
        </x:is>
      </x:c>
      <x:c r="B32" s="51" t="inlineStr">
        <x:is>
          <x:t xml:space="preserve">删数据比调参更隐蔽地过拟合：指标会变好，而没有任何痕迹。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2" width="12" style="36" customWidth="1"/>
    <x:col min="3" max="3" width="22" style="36" customWidth="1"/>
    <x:col min="4" max="4" width="24" style="36" customWidth="1"/>
    <x:col min="5" max="5" width="15" style="36" customWidth="1"/>
    <x:col min="6" max="6" width="13" style="36" customWidth="1"/>
    <x:col min="7" max="7" width="12" style="36" customWidth="1"/>
    <x:col min="8" max="8" width="9" style="36" customWidth="1"/>
    <x:col min="9" max="10" width="46" style="36" customWidth="1"/>
    <x:col min="11" max="11" width="10" style="36" customWidth="1"/>
    <x:col min="12" max="12" width="17" style="36" customWidth="1"/>
    <x:col min="13" max="13" width="32" style="36" customWidth="1"/>
    <x:col min="14" max="14" width="38" style="36" customWidth="1"/>
    <x:col min="15" max="15" width="7" style="36" customWidth="1"/>
    <x:col min="16" max="16" width="8" style="36" customWidth="1"/>
    <x:col min="17" max="17" width="26" style="36" customWidth="1"/>
    <x:col min="18" max="18" width="20" style="37" customWidth="1"/>
    <x:col min="19" max="19" width="10" style="37" customWidth="1"/>
    <x:col min="20" max="20" width="56" style="37" customWidth="1"/>
  </x:cols>
  <x:sheetData>
    <x:row r="1" s="37" customFormat="1" ht="30" customHeight="1">
      <x:c r="A1" s="53" t="inlineStr">
        <x:is>
          <x:t xml:space="preserve">编号</x:t>
        </x:is>
      </x:c>
      <x:c r="B1" s="53" t="inlineStr">
        <x:is>
          <x:t xml:space="preserve">来源版本</x:t>
        </x:is>
      </x:c>
      <x:c r="C1" s="53" t="inlineStr">
        <x:is>
          <x:t xml:space="preserve">L1类别</x:t>
        </x:is>
      </x:c>
      <x:c r="D1" s="53" t="inlineStr">
        <x:is>
          <x:t xml:space="preserve">L2子类</x:t>
        </x:is>
      </x:c>
      <x:c r="E1" s="53" t="inlineStr">
        <x:is>
          <x:t xml:space="preserve">语体大类</x:t>
        </x:is>
      </x:c>
      <x:c r="F1" s="53" t="inlineStr">
        <x:is>
          <x:t xml:space="preserve">语体</x:t>
        </x:is>
      </x:c>
      <x:c r="G1" s="53" t="inlineStr">
        <x:is>
          <x:t xml:space="preserve">噪声类型</x:t>
        </x:is>
      </x:c>
      <x:c r="H1" s="53" t="inlineStr">
        <x:is>
          <x:t xml:space="preserve">文本长度</x:t>
        </x:is>
      </x:c>
      <x:c r="I1" s="53" t="inlineStr">
        <x:is>
          <x:t xml:space="preserve">输入句子</x:t>
        </x:is>
      </x:c>
      <x:c r="J1" s="53" t="inlineStr">
        <x:is>
          <x:t xml:space="preserve">期望输出</x:t>
        </x:is>
      </x:c>
      <x:c r="K1" s="53" t="inlineStr">
        <x:is>
          <x:t xml:space="preserve">期望标签</x:t>
        </x:is>
      </x:c>
      <x:c r="L1" s="53" t="inlineStr">
        <x:is>
          <x:t xml:space="preserve">性别触发词</x:t>
        </x:is>
      </x:c>
      <x:c r="M1" s="53" t="inlineStr">
        <x:is>
          <x:t xml:space="preserve">保留理由</x:t>
        </x:is>
      </x:c>
      <x:c r="N1" s="53" t="inlineStr">
        <x:is>
          <x:t xml:space="preserve">常见误改（负例陷阱）</x:t>
        </x:is>
      </x:c>
      <x:c r="O1" s="53" t="inlineStr">
        <x:is>
          <x:t xml:space="preserve">难度</x:t>
        </x:is>
      </x:c>
      <x:c r="P1" s="53" t="inlineStr">
        <x:is>
          <x:t xml:space="preserve">是否争议</x:t>
        </x:is>
      </x:c>
      <x:c r="Q1" s="53" t="inlineStr">
        <x:is>
          <x:t xml:space="preserve">备注</x:t>
        </x:is>
      </x:c>
      <x:c r="R1" s="54" t="inlineStr">
        <x:is>
          <x:t xml:space="preserve">处置</x:t>
        </x:is>
      </x:c>
      <x:c r="S1" s="54" t="inlineStr">
        <x:is>
          <x:t xml:space="preserve">切分</x:t>
        </x:is>
      </x:c>
      <x:c r="T1" s="54" t="inlineStr">
        <x:is>
          <x:t xml:space="preserve">处置理由</x:t>
        </x:is>
      </x:c>
    </x:row>
    <x:row r="2" s="37" customFormat="1" ht="29.850000381469727" customHeight="1">
      <x:c r="A2" s="55" t="inlineStr">
        <x:is>
          <x:t xml:space="preserve">NEG-0001</x:t>
        </x:is>
      </x:c>
      <x:c r="B2" s="55" t="inlineStr">
        <x:is>
          <x:t xml:space="preserve">v2</x:t>
        </x:is>
      </x:c>
      <x:c r="C2" s="56" t="inlineStr">
        <x:is>
          <x:t xml:space="preserve">一、指称已知性别的具体个人</x:t>
        </x:is>
      </x:c>
      <x:c r="D2" s="56" t="inlineStr">
        <x:is>
          <x:t xml:space="preserve">1.1 姓名与社会称谓</x:t>
        </x:is>
      </x:c>
      <x:c r="E2" s="56" t="inlineStr">
        <x:is>
          <x:t xml:space="preserve">口语与私人交流</x:t>
        </x:is>
      </x:c>
      <x:c r="F2" s="56" t="inlineStr">
        <x:is>
          <x:t xml:space="preserve">即时通讯</x:t>
        </x:is>
      </x:c>
      <x:c r="G2" s="55" t="inlineStr">
        <x:is>
          <x:t xml:space="preserve">无</x:t>
        </x:is>
      </x:c>
      <x:c r="H2" s="55" t="str">
        <x:f>IF(LEN(I2)&lt;15,"短",IF(LEN(I2)&lt;=45,"中","长"))</x:f>
        <x:v>中</x:v>
      </x:c>
      <x:c r="I2" s="56" t="inlineStr">
        <x:is>
          <x:t xml:space="preserve">王姐说她那份材料下班前发我，你先别催。</x:t>
        </x:is>
      </x:c>
      <x:c r="J2" s="56" t="str">
        <x:f>I2</x:f>
        <x:v>王姐说她那份材料下班前发我，你先别催。</x:v>
      </x:c>
      <x:c r="K2" s="55" t="inlineStr">
        <x:is>
          <x:t xml:space="preserve">无需改写</x:t>
        </x:is>
      </x:c>
      <x:c r="L2" s="56" t="inlineStr">
        <x:is>
          <x:t xml:space="preserve">王姐/她</x:t>
        </x:is>
      </x:c>
      <x:c r="M2" s="56" t="inlineStr">
        <x:is>
          <x:t xml:space="preserve">同事间对特定个人的称呼与代词</x:t>
        </x:is>
      </x:c>
      <x:c r="N2" s="56" t="inlineStr">
        <x:is>
          <x:t xml:space="preserve">王某说其那份材料下班前发我</x:t>
        </x:is>
      </x:c>
      <x:c r="O2" s="55" t="inlineStr">
        <x:is>
          <x:t xml:space="preserve">难</x:t>
        </x:is>
      </x:c>
      <x:c r="P2" s="55" t="inlineStr">
        <x:is>
          <x:t xml:space="preserve">否</x:t>
        </x:is>
      </x:c>
      <x:c r="Q2" s="56" t="n"/>
      <x:c r="R2" s="57" t="inlineStr">
        <x:is>
          <x:t xml:space="preserve">主集</x:t>
        </x:is>
      </x:c>
      <x:c r="S2" s="57" t="inlineStr">
        <x:is>
          <x:t xml:space="preserve">test</x:t>
        </x:is>
      </x:c>
      <x:c r="T2" s="57" t="inlineStr">
        <x:is>
          <x:t xml:space="preserve"/>
        </x:is>
      </x:c>
    </x:row>
    <x:row r="3" s="37" customFormat="1" ht="29.850000381469727" customHeight="1">
      <x:c r="A3" s="55" t="inlineStr">
        <x:is>
          <x:t xml:space="preserve">NEG-0002</x:t>
        </x:is>
      </x:c>
      <x:c r="B3" s="55" t="inlineStr">
        <x:is>
          <x:t xml:space="preserve">v2</x:t>
        </x:is>
      </x:c>
      <x:c r="C3" s="56" t="inlineStr">
        <x:is>
          <x:t xml:space="preserve">一、指称已知性别的具体个人</x:t>
        </x:is>
      </x:c>
      <x:c r="D3" s="56" t="inlineStr">
        <x:is>
          <x:t xml:space="preserve">1.1 姓名与社会称谓</x:t>
        </x:is>
      </x:c>
      <x:c r="E3" s="56" t="inlineStr">
        <x:is>
          <x:t xml:space="preserve">口语与私人交流</x:t>
        </x:is>
      </x:c>
      <x:c r="F3" s="56" t="inlineStr">
        <x:is>
          <x:t xml:space="preserve">日常口语</x:t>
        </x:is>
      </x:c>
      <x:c r="G3" s="55" t="inlineStr">
        <x:is>
          <x:t xml:space="preserve">无</x:t>
        </x:is>
      </x:c>
      <x:c r="H3" s="55" t="str">
        <x:f>IF(LEN(I3)&lt;15,"短",IF(LEN(I3)&lt;=45,"中","长"))</x:f>
        <x:v>中</x:v>
      </x:c>
      <x:c r="I3" s="56" t="inlineStr">
        <x:is>
          <x:t xml:space="preserve">李阿姨每天六点在楼下打太极，风雨无阻。</x:t>
        </x:is>
      </x:c>
      <x:c r="J3" s="56" t="str">
        <x:f>I3</x:f>
        <x:v>李阿姨每天六点在楼下打太极，风雨无阻。</x:v>
      </x:c>
      <x:c r="K3" s="55" t="inlineStr">
        <x:is>
          <x:t xml:space="preserve">无需改写</x:t>
        </x:is>
      </x:c>
      <x:c r="L3" s="56" t="inlineStr">
        <x:is>
          <x:t xml:space="preserve">李阿姨</x:t>
        </x:is>
      </x:c>
      <x:c r="M3" s="56" t="inlineStr">
        <x:is>
          <x:t xml:space="preserve">邻里称谓，指称明确个体</x:t>
        </x:is>
      </x:c>
      <x:c r="N3" s="56" t="inlineStr">
        <x:is>
          <x:t xml:space="preserve">李某每天六点在楼下打太极</x:t>
        </x:is>
      </x:c>
      <x:c r="O3" s="55" t="inlineStr">
        <x:is>
          <x:t xml:space="preserve">中</x:t>
        </x:is>
      </x:c>
      <x:c r="P3" s="55" t="inlineStr">
        <x:is>
          <x:t xml:space="preserve">否</x:t>
        </x:is>
      </x:c>
      <x:c r="Q3" s="56" t="n"/>
      <x:c r="R3" s="57" t="inlineStr">
        <x:is>
          <x:t xml:space="preserve">主集</x:t>
        </x:is>
      </x:c>
      <x:c r="S3" s="57" t="inlineStr">
        <x:is>
          <x:t xml:space="preserve">dev</x:t>
        </x:is>
      </x:c>
      <x:c r="T3" s="57" t="inlineStr">
        <x:is>
          <x:t xml:space="preserve"/>
        </x:is>
      </x:c>
    </x:row>
    <x:row r="4" s="37" customFormat="1" ht="29.850000381469727" customHeight="1">
      <x:c r="A4" s="55" t="inlineStr">
        <x:is>
          <x:t xml:space="preserve">NEG-0003</x:t>
        </x:is>
      </x:c>
      <x:c r="B4" s="55" t="inlineStr">
        <x:is>
          <x:t xml:space="preserve">v2</x:t>
        </x:is>
      </x:c>
      <x:c r="C4" s="56" t="inlineStr">
        <x:is>
          <x:t xml:space="preserve">一、指称已知性别的具体个人</x:t>
        </x:is>
      </x:c>
      <x:c r="D4" s="56" t="inlineStr">
        <x:is>
          <x:t xml:space="preserve">1.1 姓名与社会称谓</x:t>
        </x:is>
      </x:c>
      <x:c r="E4" s="56" t="inlineStr">
        <x:is>
          <x:t xml:space="preserve">新闻报道</x:t>
        </x:is>
      </x:c>
      <x:c r="F4" s="56" t="inlineStr">
        <x:is>
          <x:t xml:space="preserve">新闻报道</x:t>
        </x:is>
      </x:c>
      <x:c r="G4" s="55" t="inlineStr">
        <x:is>
          <x:t xml:space="preserve">无</x:t>
        </x:is>
      </x:c>
      <x:c r="H4" s="55" t="str">
        <x:f>IF(LEN(I4)&lt;15,"短",IF(LEN(I4)&lt;=45,"中","长"))</x:f>
        <x:v>中</x:v>
      </x:c>
      <x:c r="I4" s="56" t="inlineStr">
        <x:is>
          <x:t xml:space="preserve">获奖者张桂梅是丽江华坪女子高级中学的创办人。</x:t>
        </x:is>
      </x:c>
      <x:c r="J4" s="56" t="str">
        <x:f>I4</x:f>
        <x:v>获奖者张桂梅是丽江华坪女子高级中学的创办人。</x:v>
      </x:c>
      <x:c r="K4" s="55" t="inlineStr">
        <x:is>
          <x:t xml:space="preserve">无需改写</x:t>
        </x:is>
      </x:c>
      <x:c r="L4" s="56" t="inlineStr">
        <x:is>
          <x:t xml:space="preserve">张桂梅/女子高级中学</x:t>
        </x:is>
      </x:c>
      <x:c r="M4" s="56" t="inlineStr">
        <x:is>
          <x:t xml:space="preserve">人名与学校专名均不可改</x:t>
        </x:is>
      </x:c>
      <x:c r="N4" s="56" t="inlineStr">
        <x:is>
          <x:t xml:space="preserve">获奖者是丽江华坪一所高级中学的创办人</x:t>
        </x:is>
      </x:c>
      <x:c r="O4" s="55" t="inlineStr">
        <x:is>
          <x:t xml:space="preserve">易</x:t>
        </x:is>
      </x:c>
      <x:c r="P4" s="55" t="inlineStr">
        <x:is>
          <x:t xml:space="preserve">否</x:t>
        </x:is>
      </x:c>
      <x:c r="Q4" s="56" t="inlineStr">
        <x:is>
          <x:t xml:space="preserve">同时涉第四类专名</x:t>
        </x:is>
      </x:c>
      <x:c r="R4" s="57" t="inlineStr">
        <x:is>
          <x:t xml:space="preserve">主集</x:t>
        </x:is>
      </x:c>
      <x:c r="S4" s="57" t="inlineStr">
        <x:is>
          <x:t xml:space="preserve">dev</x:t>
        </x:is>
      </x:c>
      <x:c r="T4" s="57" t="inlineStr">
        <x:is>
          <x:t xml:space="preserve"/>
        </x:is>
      </x:c>
    </x:row>
    <x:row r="5" s="37" customFormat="1" ht="29.850000381469727" customHeight="1">
      <x:c r="A5" s="55" t="inlineStr">
        <x:is>
          <x:t xml:space="preserve">NEG-0004</x:t>
        </x:is>
      </x:c>
      <x:c r="B5" s="55" t="inlineStr">
        <x:is>
          <x:t xml:space="preserve">v2</x:t>
        </x:is>
      </x:c>
      <x:c r="C5" s="56" t="inlineStr">
        <x:is>
          <x:t xml:space="preserve">一、指称已知性别的具体个人</x:t>
        </x:is>
      </x:c>
      <x:c r="D5" s="56" t="inlineStr">
        <x:is>
          <x:t xml:space="preserve">1.1 姓名与社会称谓</x:t>
        </x:is>
      </x:c>
      <x:c r="E5" s="56" t="inlineStr">
        <x:is>
          <x:t xml:space="preserve">公文与规章</x:t>
        </x:is>
      </x:c>
      <x:c r="F5" s="56" t="inlineStr">
        <x:is>
          <x:t xml:space="preserve">人事公文</x:t>
        </x:is>
      </x:c>
      <x:c r="G5" s="55" t="inlineStr">
        <x:is>
          <x:t xml:space="preserve">无</x:t>
        </x:is>
      </x:c>
      <x:c r="H5" s="55" t="str">
        <x:f>IF(LEN(I5)&lt;15,"短",IF(LEN(I5)&lt;=45,"中","长"))</x:f>
        <x:v>中</x:v>
      </x:c>
      <x:c r="I5" s="56" t="inlineStr">
        <x:is>
          <x:t xml:space="preserve">经研究，决定聘任刘敏同志为财务部副经理，她自下月一日起履职。</x:t>
        </x:is>
      </x:c>
      <x:c r="J5" s="56" t="str">
        <x:f>I5</x:f>
        <x:v>经研究，决定聘任刘敏同志为财务部副经理，她自下月一日起履职。</x:v>
      </x:c>
      <x:c r="K5" s="55" t="inlineStr">
        <x:is>
          <x:t xml:space="preserve">无需改写</x:t>
        </x:is>
      </x:c>
      <x:c r="L5" s="56" t="inlineStr">
        <x:is>
          <x:t xml:space="preserve">她</x:t>
        </x:is>
      </x:c>
      <x:c r="M5" s="56" t="inlineStr">
        <x:is>
          <x:t xml:space="preserve">公文中对特定任职人员的指称</x:t>
        </x:is>
      </x:c>
      <x:c r="N5" s="56" t="inlineStr">
        <x:is>
          <x:t xml:space="preserve">决定聘任刘敏同志为财务部副经理，其自下月一日起履职</x:t>
        </x:is>
      </x:c>
      <x:c r="O5" s="55" t="inlineStr">
        <x:is>
          <x:t xml:space="preserve">中</x:t>
        </x:is>
      </x:c>
      <x:c r="P5" s="55" t="inlineStr">
        <x:is>
          <x:t xml:space="preserve">否</x:t>
        </x:is>
      </x:c>
      <x:c r="Q5" s="56" t="n"/>
      <x:c r="R5" s="57" t="inlineStr">
        <x:is>
          <x:t xml:space="preserve">主集</x:t>
        </x:is>
      </x:c>
      <x:c r="S5" s="57" t="inlineStr">
        <x:is>
          <x:t xml:space="preserve">dev</x:t>
        </x:is>
      </x:c>
      <x:c r="T5" s="57" t="inlineStr">
        <x:is>
          <x:t xml:space="preserve"/>
        </x:is>
      </x:c>
    </x:row>
    <x:row r="6" s="37" customFormat="1" ht="29.850000381469727" customHeight="1">
      <x:c r="A6" s="55" t="inlineStr">
        <x:is>
          <x:t xml:space="preserve">NEG-0005</x:t>
        </x:is>
      </x:c>
      <x:c r="B6" s="55" t="inlineStr">
        <x:is>
          <x:t xml:space="preserve">v2</x:t>
        </x:is>
      </x:c>
      <x:c r="C6" s="56" t="inlineStr">
        <x:is>
          <x:t xml:space="preserve">一、指称已知性别的具体个人</x:t>
        </x:is>
      </x:c>
      <x:c r="D6" s="56" t="inlineStr">
        <x:is>
          <x:t xml:space="preserve">1.1 姓名与社会称谓</x:t>
        </x:is>
      </x:c>
      <x:c r="E6" s="56" t="inlineStr">
        <x:is>
          <x:t xml:space="preserve">公文与规章</x:t>
        </x:is>
      </x:c>
      <x:c r="F6" s="56" t="inlineStr">
        <x:is>
          <x:t xml:space="preserve">电商客服</x:t>
        </x:is>
      </x:c>
      <x:c r="G6" s="55" t="inlineStr">
        <x:is>
          <x:t xml:space="preserve">无</x:t>
        </x:is>
      </x:c>
      <x:c r="H6" s="55" t="str">
        <x:f>IF(LEN(I6)&lt;15,"短",IF(LEN(I6)&lt;=45,"中","长"))</x:f>
        <x:v>中</x:v>
      </x:c>
      <x:c r="I6" s="56" t="inlineStr">
        <x:is>
          <x:t xml:space="preserve">您好，订单上留的收货人是陈女士，尾号 3721 这个电话对吗？</x:t>
        </x:is>
      </x:c>
      <x:c r="J6" s="56" t="str">
        <x:f>I6</x:f>
        <x:v>您好，订单上留的收货人是陈女士，尾号 3721 这个电话对吗？</x:v>
      </x:c>
      <x:c r="K6" s="55" t="inlineStr">
        <x:is>
          <x:t xml:space="preserve">无需改写</x:t>
        </x:is>
      </x:c>
      <x:c r="L6" s="56" t="inlineStr">
        <x:is>
          <x:t xml:space="preserve">陈女士</x:t>
        </x:is>
      </x:c>
      <x:c r="M6" s="56" t="inlineStr">
        <x:is>
          <x:t xml:space="preserve">订单登记信息，改动会造成核对失败</x:t>
        </x:is>
      </x:c>
      <x:c r="N6" s="56" t="inlineStr">
        <x:is>
          <x:t xml:space="preserve">订单上留的收货人是陈某某</x:t>
        </x:is>
      </x:c>
      <x:c r="O6" s="55" t="inlineStr">
        <x:is>
          <x:t xml:space="preserve">易</x:t>
        </x:is>
      </x:c>
      <x:c r="P6" s="55" t="inlineStr">
        <x:is>
          <x:t xml:space="preserve">否</x:t>
        </x:is>
      </x:c>
      <x:c r="Q6" s="56" t="n"/>
      <x:c r="R6" s="57" t="inlineStr">
        <x:is>
          <x:t xml:space="preserve">主集</x:t>
        </x:is>
      </x:c>
      <x:c r="S6" s="57" t="inlineStr">
        <x:is>
          <x:t xml:space="preserve">index</x:t>
        </x:is>
      </x:c>
      <x:c r="T6" s="57" t="inlineStr">
        <x:is>
          <x:t xml:space="preserve"/>
        </x:is>
      </x:c>
    </x:row>
    <x:row r="7" s="37" customFormat="1" ht="29.850000381469727" customHeight="1">
      <x:c r="A7" s="58" t="inlineStr">
        <x:is>
          <x:t xml:space="preserve">NEG-0006</x:t>
        </x:is>
      </x:c>
      <x:c r="B7" s="58" t="inlineStr">
        <x:is>
          <x:t xml:space="preserve">v2</x:t>
        </x:is>
      </x:c>
      <x:c r="C7" s="59" t="inlineStr">
        <x:is>
          <x:t xml:space="preserve">一、指称已知性别的具体个人</x:t>
        </x:is>
      </x:c>
      <x:c r="D7" s="59" t="inlineStr">
        <x:is>
          <x:t xml:space="preserve">1.1 姓名与社会称谓</x:t>
        </x:is>
      </x:c>
      <x:c r="E7" s="59" t="inlineStr">
        <x:is>
          <x:t xml:space="preserve">学术与调研</x:t>
        </x:is>
      </x:c>
      <x:c r="F7" s="59" t="inlineStr">
        <x:is>
          <x:t xml:space="preserve">学术写作</x:t>
        </x:is>
      </x:c>
      <x:c r="G7" s="58" t="inlineStr">
        <x:is>
          <x:t xml:space="preserve">无</x:t>
        </x:is>
      </x:c>
      <x:c r="H7" s="58" t="str">
        <x:f>IF(LEN(I7)&lt;15,"短",IF(LEN(I7)&lt;=45,"中","长"))</x:f>
        <x:v>中</x:v>
      </x:c>
      <x:c r="I7" s="59" t="inlineStr">
        <x:is>
          <x:t xml:space="preserve">李清照的词风前后期差异明显，与其南渡后的经历直接相关。</x:t>
        </x:is>
      </x:c>
      <x:c r="J7" s="59" t="str">
        <x:f>I7</x:f>
        <x:v>李清照的词风前后期差异明显，与其南渡后的经历直接相关。</x:v>
      </x:c>
      <x:c r="K7" s="58" t="inlineStr">
        <x:is>
          <x:t xml:space="preserve">无需改写</x:t>
        </x:is>
      </x:c>
      <x:c r="L7" s="59" t="inlineStr">
        <x:is>
          <x:t xml:space="preserve">李清照</x:t>
        </x:is>
      </x:c>
      <x:c r="M7" s="59" t="inlineStr">
        <x:is>
          <x:t xml:space="preserve">历史人物专名</x:t>
        </x:is>
      </x:c>
      <x:c r="N7" s="59" t="inlineStr">
        <x:is>
          <x:t xml:space="preserve">该词人的词风前后期差异明显</x:t>
        </x:is>
      </x:c>
      <x:c r="O7" s="58" t="inlineStr">
        <x:is>
          <x:t xml:space="preserve">易</x:t>
        </x:is>
      </x:c>
      <x:c r="P7" s="58" t="inlineStr">
        <x:is>
          <x:t xml:space="preserve">否</x:t>
        </x:is>
      </x:c>
      <x:c r="Q7" s="59" t="n"/>
      <x:c r="R7" s="60" t="inlineStr">
        <x:is>
          <x:t xml:space="preserve">隔离·待确认</x:t>
        </x:is>
      </x:c>
      <x:c r="S7" s="60" t="inlineStr">
        <x:is>
          <x:t xml:space="preserve"/>
        </x:is>
      </x:c>
      <x:c r="T7" s="60" t="inlineStr">
        <x:is>
          <x:t xml:space="preserve">触发词不含性别编码——判断可能依赖世界知识而非句内信息</x:t>
        </x:is>
      </x:c>
    </x:row>
    <x:row r="8" s="37" customFormat="1" ht="29.850000381469727" customHeight="1">
      <x:c r="A8" s="55" t="inlineStr">
        <x:is>
          <x:t xml:space="preserve">NEG-0007</x:t>
        </x:is>
      </x:c>
      <x:c r="B8" s="55" t="inlineStr">
        <x:is>
          <x:t xml:space="preserve">v2</x:t>
        </x:is>
      </x:c>
      <x:c r="C8" s="56" t="inlineStr">
        <x:is>
          <x:t xml:space="preserve">一、指称已知性别的具体个人</x:t>
        </x:is>
      </x:c>
      <x:c r="D8" s="56" t="inlineStr">
        <x:is>
          <x:t xml:space="preserve">1.1 姓名与社会称谓</x:t>
        </x:is>
      </x:c>
      <x:c r="E8" s="56" t="inlineStr">
        <x:is>
          <x:t xml:space="preserve">社交与社区</x:t>
        </x:is>
      </x:c>
      <x:c r="F8" s="56" t="inlineStr">
        <x:is>
          <x:t xml:space="preserve">论坛回帖</x:t>
        </x:is>
      </x:c>
      <x:c r="G8" s="55" t="inlineStr">
        <x:is>
          <x:t xml:space="preserve">无</x:t>
        </x:is>
      </x:c>
      <x:c r="H8" s="55" t="str">
        <x:f>IF(LEN(I8)&lt;15,"短",IF(LEN(I8)&lt;=45,"中","长"))</x:f>
        <x:v>中</x:v>
      </x:c>
      <x:c r="I8" s="56" t="inlineStr">
        <x:is>
          <x:t xml:space="preserve">楼主别急，我表姐去年也走的这个流程，她两个月就办下来了。</x:t>
        </x:is>
      </x:c>
      <x:c r="J8" s="56" t="str">
        <x:f>I8</x:f>
        <x:v>楼主别急，我表姐去年也走的这个流程，她两个月就办下来了。</x:v>
      </x:c>
      <x:c r="K8" s="55" t="inlineStr">
        <x:is>
          <x:t xml:space="preserve">无需改写</x:t>
        </x:is>
      </x:c>
      <x:c r="L8" s="56" t="inlineStr">
        <x:is>
          <x:t xml:space="preserve">表姐/她</x:t>
        </x:is>
      </x:c>
      <x:c r="M8" s="56" t="inlineStr">
        <x:is>
          <x:t xml:space="preserve">亲属称谓＋代词，均为事实</x:t>
        </x:is>
      </x:c>
      <x:c r="N8" s="56" t="inlineStr">
        <x:is>
          <x:t xml:space="preserve">楼主别急，我亲戚去年也走的这个流程</x:t>
        </x:is>
      </x:c>
      <x:c r="O8" s="55" t="inlineStr">
        <x:is>
          <x:t xml:space="preserve">中</x:t>
        </x:is>
      </x:c>
      <x:c r="P8" s="55" t="inlineStr">
        <x:is>
          <x:t xml:space="preserve">否</x:t>
        </x:is>
      </x:c>
      <x:c r="Q8" s="56" t="n"/>
      <x:c r="R8" s="57" t="inlineStr">
        <x:is>
          <x:t xml:space="preserve">主集</x:t>
        </x:is>
      </x:c>
      <x:c r="S8" s="57" t="inlineStr">
        <x:is>
          <x:t xml:space="preserve">dev</x:t>
        </x:is>
      </x:c>
      <x:c r="T8" s="57" t="inlineStr">
        <x:is>
          <x:t xml:space="preserve"/>
        </x:is>
      </x:c>
    </x:row>
    <x:row r="9" s="37" customFormat="1" ht="29.850000381469727" customHeight="1">
      <x:c r="A9" s="55" t="inlineStr">
        <x:is>
          <x:t xml:space="preserve">NEG-0008</x:t>
        </x:is>
      </x:c>
      <x:c r="B9" s="55" t="inlineStr">
        <x:is>
          <x:t xml:space="preserve">v2</x:t>
        </x:is>
      </x:c>
      <x:c r="C9" s="56" t="inlineStr">
        <x:is>
          <x:t xml:space="preserve">一、指称已知性别的具体个人</x:t>
        </x:is>
      </x:c>
      <x:c r="D9" s="56" t="inlineStr">
        <x:is>
          <x:t xml:space="preserve">1.1 姓名与社会称谓</x:t>
        </x:is>
      </x:c>
      <x:c r="E9" s="56" t="inlineStr">
        <x:is>
          <x:t xml:space="preserve">文艺创作与评论</x:t>
        </x:is>
      </x:c>
      <x:c r="F9" s="56" t="inlineStr">
        <x:is>
          <x:t xml:space="preserve">讣告</x:t>
        </x:is>
      </x:c>
      <x:c r="G9" s="55" t="inlineStr">
        <x:is>
          <x:t xml:space="preserve">无</x:t>
        </x:is>
      </x:c>
      <x:c r="H9" s="55" t="str">
        <x:f>IF(LEN(I9)&lt;15,"短",IF(LEN(I9)&lt;=45,"中","长"))</x:f>
        <x:v>中</x:v>
      </x:c>
      <x:c r="I9" s="56" t="inlineStr">
        <x:is>
          <x:t xml:space="preserve">先母周秀兰女士于本月十二日安详辞世，享年八十九岁。</x:t>
        </x:is>
      </x:c>
      <x:c r="J9" s="56" t="str">
        <x:f>I9</x:f>
        <x:v>先母周秀兰女士于本月十二日安详辞世，享年八十九岁。</x:v>
      </x:c>
      <x:c r="K9" s="55" t="inlineStr">
        <x:is>
          <x:t xml:space="preserve">无需改写</x:t>
        </x:is>
      </x:c>
      <x:c r="L9" s="56" t="inlineStr">
        <x:is>
          <x:t xml:space="preserve">先母/女士</x:t>
        </x:is>
      </x:c>
      <x:c r="M9" s="56" t="inlineStr">
        <x:is>
          <x:t xml:space="preserve">讣告体例，称谓不可替换</x:t>
        </x:is>
      </x:c>
      <x:c r="N9" s="56" t="inlineStr">
        <x:is>
          <x:t xml:space="preserve">先母周秀兰于本月十二日安详辞世</x:t>
        </x:is>
      </x:c>
      <x:c r="O9" s="55" t="inlineStr">
        <x:is>
          <x:t xml:space="preserve">易</x:t>
        </x:is>
      </x:c>
      <x:c r="P9" s="55" t="inlineStr">
        <x:is>
          <x:t xml:space="preserve">否</x:t>
        </x:is>
      </x:c>
      <x:c r="Q9" s="56" t="n"/>
      <x:c r="R9" s="57" t="inlineStr">
        <x:is>
          <x:t xml:space="preserve">主集</x:t>
        </x:is>
      </x:c>
      <x:c r="S9" s="57" t="inlineStr">
        <x:is>
          <x:t xml:space="preserve">test</x:t>
        </x:is>
      </x:c>
      <x:c r="T9" s="57" t="inlineStr">
        <x:is>
          <x:t xml:space="preserve"/>
        </x:is>
      </x:c>
    </x:row>
    <x:row r="10" s="37" customFormat="1" ht="29.850000381469727" customHeight="1">
      <x:c r="A10" s="55" t="inlineStr">
        <x:is>
          <x:t xml:space="preserve">NEG-0009</x:t>
        </x:is>
      </x:c>
      <x:c r="B10" s="55" t="inlineStr">
        <x:is>
          <x:t xml:space="preserve">v2</x:t>
        </x:is>
      </x:c>
      <x:c r="C10" s="56" t="inlineStr">
        <x:is>
          <x:t xml:space="preserve">一、指称已知性别的具体个人</x:t>
        </x:is>
      </x:c>
      <x:c r="D10" s="56" t="inlineStr">
        <x:is>
          <x:t xml:space="preserve">1.2 人称代词</x:t>
        </x:is>
      </x:c>
      <x:c r="E10" s="56" t="inlineStr">
        <x:is>
          <x:t xml:space="preserve">口语与私人交流</x:t>
        </x:is>
      </x:c>
      <x:c r="F10" s="56" t="inlineStr">
        <x:is>
          <x:t xml:space="preserve">日常口语</x:t>
        </x:is>
      </x:c>
      <x:c r="G10" s="55" t="inlineStr">
        <x:is>
          <x:t xml:space="preserve">无</x:t>
        </x:is>
      </x:c>
      <x:c r="H10" s="55" t="str">
        <x:f>IF(LEN(I10)&lt;15,"短",IF(LEN(I10)&lt;=45,"中","长"))</x:f>
        <x:v>中</x:v>
      </x:c>
      <x:c r="I10" s="56" t="inlineStr">
        <x:is>
          <x:t xml:space="preserve">你别管她，她这人就这样，气头上说的话不算数。</x:t>
        </x:is>
      </x:c>
      <x:c r="J10" s="56" t="str">
        <x:f>I10</x:f>
        <x:v>你别管她，她这人就这样，气头上说的话不算数。</x:v>
      </x:c>
      <x:c r="K10" s="55" t="inlineStr">
        <x:is>
          <x:t xml:space="preserve">无需改写</x:t>
        </x:is>
      </x:c>
      <x:c r="L10" s="56" t="inlineStr">
        <x:is>
          <x:t xml:space="preserve">她</x:t>
        </x:is>
      </x:c>
      <x:c r="M10" s="56" t="inlineStr">
        <x:is>
          <x:t xml:space="preserve">口语中指向在场双方都知道的具体某人</x:t>
        </x:is>
      </x:c>
      <x:c r="N10" s="56" t="inlineStr">
        <x:is>
          <x:t xml:space="preserve">你别管TA，TA这人就这样</x:t>
        </x:is>
      </x:c>
      <x:c r="O10" s="55" t="inlineStr">
        <x:is>
          <x:t xml:space="preserve">难</x:t>
        </x:is>
      </x:c>
      <x:c r="P10" s="55" t="inlineStr">
        <x:is>
          <x:t xml:space="preserve">否</x:t>
        </x:is>
      </x:c>
      <x:c r="Q10" s="56" t="n"/>
      <x:c r="R10" s="57" t="inlineStr">
        <x:is>
          <x:t xml:space="preserve">主集</x:t>
        </x:is>
      </x:c>
      <x:c r="S10" s="57" t="inlineStr">
        <x:is>
          <x:t xml:space="preserve">index</x:t>
        </x:is>
      </x:c>
      <x:c r="T10" s="57" t="inlineStr">
        <x:is>
          <x:t xml:space="preserve"/>
        </x:is>
      </x:c>
    </x:row>
    <x:row r="11" s="37" customFormat="1" ht="29.850000381469727" customHeight="1">
      <x:c r="A11" s="55" t="inlineStr">
        <x:is>
          <x:t xml:space="preserve">NEG-0010</x:t>
        </x:is>
      </x:c>
      <x:c r="B11" s="55" t="inlineStr">
        <x:is>
          <x:t xml:space="preserve">v2</x:t>
        </x:is>
      </x:c>
      <x:c r="C11" s="56" t="inlineStr">
        <x:is>
          <x:t xml:space="preserve">一、指称已知性别的具体个人</x:t>
        </x:is>
      </x:c>
      <x:c r="D11" s="56" t="inlineStr">
        <x:is>
          <x:t xml:space="preserve">1.2 人称代词</x:t>
        </x:is>
      </x:c>
      <x:c r="E11" s="56" t="inlineStr">
        <x:is>
          <x:t xml:space="preserve">医疗健康</x:t>
        </x:is>
      </x:c>
      <x:c r="F11" s="56" t="inlineStr">
        <x:is>
          <x:t xml:space="preserve">病历</x:t>
        </x:is>
      </x:c>
      <x:c r="G11" s="55" t="inlineStr">
        <x:is>
          <x:t xml:space="preserve">无</x:t>
        </x:is>
      </x:c>
      <x:c r="H11" s="55" t="str">
        <x:f>IF(LEN(I11)&lt;15,"短",IF(LEN(I11)&lt;=45,"中","长"))</x:f>
        <x:v>中</x:v>
      </x:c>
      <x:c r="I11" s="56" t="inlineStr">
        <x:is>
          <x:t xml:space="preserve">患者女，58 岁，因反复头晕两周入院，她自述近期血压波动较大。</x:t>
        </x:is>
      </x:c>
      <x:c r="J11" s="56" t="str">
        <x:f>I11</x:f>
        <x:v>患者女，58 岁，因反复头晕两周入院，她自述近期血压波动较大。</x:v>
      </x:c>
      <x:c r="K11" s="55" t="inlineStr">
        <x:is>
          <x:t xml:space="preserve">无需改写</x:t>
        </x:is>
      </x:c>
      <x:c r="L11" s="56" t="inlineStr">
        <x:is>
          <x:t xml:space="preserve">女/她</x:t>
        </x:is>
      </x:c>
      <x:c r="M11" s="56" t="inlineStr">
        <x:is>
          <x:t xml:space="preserve">病历首程的规范格式</x:t>
        </x:is>
      </x:c>
      <x:c r="N11" s="56" t="inlineStr">
        <x:is>
          <x:t xml:space="preserve">患者 58 岁，因反复头晕两周入院</x:t>
        </x:is>
      </x:c>
      <x:c r="O11" s="55" t="inlineStr">
        <x:is>
          <x:t xml:space="preserve">易</x:t>
        </x:is>
      </x:c>
      <x:c r="P11" s="55" t="inlineStr">
        <x:is>
          <x:t xml:space="preserve">否</x:t>
        </x:is>
      </x:c>
      <x:c r="Q11" s="56" t="n"/>
      <x:c r="R11" s="57" t="inlineStr">
        <x:is>
          <x:t xml:space="preserve">主集</x:t>
        </x:is>
      </x:c>
      <x:c r="S11" s="57" t="inlineStr">
        <x:is>
          <x:t xml:space="preserve">dev</x:t>
        </x:is>
      </x:c>
      <x:c r="T11" s="57" t="inlineStr">
        <x:is>
          <x:t xml:space="preserve"/>
        </x:is>
      </x:c>
    </x:row>
    <x:row r="12" s="37" customFormat="1" ht="29.850000381469727" customHeight="1">
      <x:c r="A12" s="55" t="inlineStr">
        <x:is>
          <x:t xml:space="preserve">NEG-0011</x:t>
        </x:is>
      </x:c>
      <x:c r="B12" s="55" t="inlineStr">
        <x:is>
          <x:t xml:space="preserve">v2</x:t>
        </x:is>
      </x:c>
      <x:c r="C12" s="56" t="inlineStr">
        <x:is>
          <x:t xml:space="preserve">一、指称已知性别的具体个人</x:t>
        </x:is>
      </x:c>
      <x:c r="D12" s="56" t="inlineStr">
        <x:is>
          <x:t xml:space="preserve">1.2 人称代词</x:t>
        </x:is>
      </x:c>
      <x:c r="E12" s="56" t="inlineStr">
        <x:is>
          <x:t xml:space="preserve">新闻报道</x:t>
        </x:is>
      </x:c>
      <x:c r="F12" s="56" t="inlineStr">
        <x:is>
          <x:t xml:space="preserve">新闻报道</x:t>
        </x:is>
      </x:c>
      <x:c r="G12" s="55" t="inlineStr">
        <x:is>
          <x:t xml:space="preserve">无</x:t>
        </x:is>
      </x:c>
      <x:c r="H12" s="55" t="str">
        <x:f>IF(LEN(I12)&lt;15,"短",IF(LEN(I12)&lt;=45,"中","长"))</x:f>
        <x:v>中</x:v>
      </x:c>
      <x:c r="I12" s="56" t="inlineStr">
        <x:is>
          <x:t xml:space="preserve">被困者被抬出时意识清醒，他向救援人员比了个手势。</x:t>
        </x:is>
      </x:c>
      <x:c r="J12" s="56" t="str">
        <x:f>I12</x:f>
        <x:v>被困者被抬出时意识清醒，他向救援人员比了个手势。</x:v>
      </x:c>
      <x:c r="K12" s="55" t="inlineStr">
        <x:is>
          <x:t xml:space="preserve">无需改写</x:t>
        </x:is>
      </x:c>
      <x:c r="L12" s="56" t="inlineStr">
        <x:is>
          <x:t xml:space="preserve">他</x:t>
        </x:is>
      </x:c>
      <x:c r="M12" s="56" t="inlineStr">
        <x:is>
          <x:t xml:space="preserve">现场报道中对具体获救者的描述</x:t>
        </x:is>
      </x:c>
      <x:c r="N12" s="56" t="inlineStr">
        <x:is>
          <x:t xml:space="preserve">被困者被抬出时意识清醒，其向救援人员比了个手势</x:t>
        </x:is>
      </x:c>
      <x:c r="O12" s="55" t="inlineStr">
        <x:is>
          <x:t xml:space="preserve">中</x:t>
        </x:is>
      </x:c>
      <x:c r="P12" s="55" t="inlineStr">
        <x:is>
          <x:t xml:space="preserve">否</x:t>
        </x:is>
      </x:c>
      <x:c r="Q12" s="56" t="n"/>
      <x:c r="R12" s="57" t="inlineStr">
        <x:is>
          <x:t xml:space="preserve">主集</x:t>
        </x:is>
      </x:c>
      <x:c r="S12" s="57" t="inlineStr">
        <x:is>
          <x:t xml:space="preserve">test</x:t>
        </x:is>
      </x:c>
      <x:c r="T12" s="57" t="inlineStr">
        <x:is>
          <x:t xml:space="preserve"/>
        </x:is>
      </x:c>
    </x:row>
    <x:row r="13" s="37" customFormat="1" ht="29.850000381469727" customHeight="1">
      <x:c r="A13" s="55" t="inlineStr">
        <x:is>
          <x:t xml:space="preserve">NEG-0012</x:t>
        </x:is>
      </x:c>
      <x:c r="B13" s="55" t="inlineStr">
        <x:is>
          <x:t xml:space="preserve">v2</x:t>
        </x:is>
      </x:c>
      <x:c r="C13" s="56" t="inlineStr">
        <x:is>
          <x:t xml:space="preserve">一、指称已知性别的具体个人</x:t>
        </x:is>
      </x:c>
      <x:c r="D13" s="56" t="inlineStr">
        <x:is>
          <x:t xml:space="preserve">1.2 人称代词</x:t>
        </x:is>
      </x:c>
      <x:c r="E13" s="56" t="inlineStr">
        <x:is>
          <x:t xml:space="preserve">文艺创作与评论</x:t>
        </x:is>
      </x:c>
      <x:c r="F13" s="56" t="inlineStr">
        <x:is>
          <x:t xml:space="preserve">小说</x:t>
        </x:is>
      </x:c>
      <x:c r="G13" s="55" t="inlineStr">
        <x:is>
          <x:t xml:space="preserve">无</x:t>
        </x:is>
      </x:c>
      <x:c r="H13" s="55" t="str">
        <x:f>IF(LEN(I13)&lt;15,"短",IF(LEN(I13)&lt;=45,"中","长"))</x:f>
        <x:v>短</x:v>
      </x:c>
      <x:c r="I13" s="56" t="inlineStr">
        <x:is>
          <x:t xml:space="preserve">他把烟摁灭在花盆里，没回头。</x:t>
        </x:is>
      </x:c>
      <x:c r="J13" s="56" t="str">
        <x:f>I13</x:f>
        <x:v>他把烟摁灭在花盆里，没回头。</x:v>
      </x:c>
      <x:c r="K13" s="55" t="inlineStr">
        <x:is>
          <x:t xml:space="preserve">无需改写</x:t>
        </x:is>
      </x:c>
      <x:c r="L13" s="56" t="inlineStr">
        <x:is>
          <x:t xml:space="preserve">他</x:t>
        </x:is>
      </x:c>
      <x:c r="M13" s="56" t="inlineStr">
        <x:is>
          <x:t xml:space="preserve">叙事文本中的人物指代</x:t>
        </x:is>
      </x:c>
      <x:c r="N13" s="56" t="inlineStr">
        <x:is>
          <x:t xml:space="preserve">这个人把烟摁灭在花盆里，没回头</x:t>
        </x:is>
      </x:c>
      <x:c r="O13" s="55" t="inlineStr">
        <x:is>
          <x:t xml:space="preserve">易</x:t>
        </x:is>
      </x:c>
      <x:c r="P13" s="55" t="inlineStr">
        <x:is>
          <x:t xml:space="preserve">否</x:t>
        </x:is>
      </x:c>
      <x:c r="Q13" s="56" t="n"/>
      <x:c r="R13" s="57" t="inlineStr">
        <x:is>
          <x:t xml:space="preserve">主集</x:t>
        </x:is>
      </x:c>
      <x:c r="S13" s="57" t="inlineStr">
        <x:is>
          <x:t xml:space="preserve">index</x:t>
        </x:is>
      </x:c>
      <x:c r="T13" s="57" t="inlineStr">
        <x:is>
          <x:t xml:space="preserve"/>
        </x:is>
      </x:c>
    </x:row>
    <x:row r="14" s="37" customFormat="1" ht="29.850000381469727" customHeight="1">
      <x:c r="A14" s="55" t="inlineStr">
        <x:is>
          <x:t xml:space="preserve">NEG-0013</x:t>
        </x:is>
      </x:c>
      <x:c r="B14" s="55" t="inlineStr">
        <x:is>
          <x:t xml:space="preserve">v2</x:t>
        </x:is>
      </x:c>
      <x:c r="C14" s="56" t="inlineStr">
        <x:is>
          <x:t xml:space="preserve">一、指称已知性别的具体个人</x:t>
        </x:is>
      </x:c>
      <x:c r="D14" s="56" t="inlineStr">
        <x:is>
          <x:t xml:space="preserve">1.2 人称代词</x:t>
        </x:is>
      </x:c>
      <x:c r="E14" s="56" t="inlineStr">
        <x:is>
          <x:t xml:space="preserve">公文与规章</x:t>
        </x:is>
      </x:c>
      <x:c r="F14" s="56" t="inlineStr">
        <x:is>
          <x:t xml:space="preserve">会议纪要</x:t>
        </x:is>
      </x:c>
      <x:c r="G14" s="55" t="inlineStr">
        <x:is>
          <x:t xml:space="preserve">无</x:t>
        </x:is>
      </x:c>
      <x:c r="H14" s="55" t="str">
        <x:f>IF(LEN(I14)&lt;15,"短",IF(LEN(I14)&lt;=45,"中","长"))</x:f>
        <x:v>中</x:v>
      </x:c>
      <x:c r="I14" s="56" t="inlineStr">
        <x:is>
          <x:t xml:space="preserve">供应商对接由小赵负责，他这周会出一版比价表。</x:t>
        </x:is>
      </x:c>
      <x:c r="J14" s="56" t="str">
        <x:f>I14</x:f>
        <x:v>供应商对接由小赵负责，他这周会出一版比价表。</x:v>
      </x:c>
      <x:c r="K14" s="55" t="inlineStr">
        <x:is>
          <x:t xml:space="preserve">无需改写</x:t>
        </x:is>
      </x:c>
      <x:c r="L14" s="56" t="inlineStr">
        <x:is>
          <x:t xml:space="preserve">他</x:t>
        </x:is>
      </x:c>
      <x:c r="M14" s="56" t="inlineStr">
        <x:is>
          <x:t xml:space="preserve">纪要中对具体责任人的指称</x:t>
        </x:is>
      </x:c>
      <x:c r="N14" s="56" t="inlineStr">
        <x:is>
          <x:t xml:space="preserve">供应商对接由小赵负责，其这周会出一版比价表</x:t>
        </x:is>
      </x:c>
      <x:c r="O14" s="55" t="inlineStr">
        <x:is>
          <x:t xml:space="preserve">中</x:t>
        </x:is>
      </x:c>
      <x:c r="P14" s="55" t="inlineStr">
        <x:is>
          <x:t xml:space="preserve">否</x:t>
        </x:is>
      </x:c>
      <x:c r="Q14" s="56" t="n"/>
      <x:c r="R14" s="57" t="inlineStr">
        <x:is>
          <x:t xml:space="preserve">主集</x:t>
        </x:is>
      </x:c>
      <x:c r="S14" s="57" t="inlineStr">
        <x:is>
          <x:t xml:space="preserve">index</x:t>
        </x:is>
      </x:c>
      <x:c r="T14" s="57" t="inlineStr">
        <x:is>
          <x:t xml:space="preserve"/>
        </x:is>
      </x:c>
    </x:row>
    <x:row r="15" s="37" customFormat="1" ht="29.850000381469727" customHeight="1">
      <x:c r="A15" s="55" t="inlineStr">
        <x:is>
          <x:t xml:space="preserve">NEG-0014</x:t>
        </x:is>
      </x:c>
      <x:c r="B15" s="55" t="inlineStr">
        <x:is>
          <x:t xml:space="preserve">v2</x:t>
        </x:is>
      </x:c>
      <x:c r="C15" s="56" t="inlineStr">
        <x:is>
          <x:t xml:space="preserve">一、指称已知性别的具体个人</x:t>
        </x:is>
      </x:c>
      <x:c r="D15" s="56" t="inlineStr">
        <x:is>
          <x:t xml:space="preserve">1.2 人称代词</x:t>
        </x:is>
      </x:c>
      <x:c r="E15" s="56" t="inlineStr">
        <x:is>
          <x:t xml:space="preserve">社交与社区</x:t>
        </x:is>
      </x:c>
      <x:c r="F15" s="56" t="inlineStr">
        <x:is>
          <x:t xml:space="preserve">社交媒体</x:t>
        </x:is>
      </x:c>
      <x:c r="G15" s="55" t="inlineStr">
        <x:is>
          <x:t xml:space="preserve">无</x:t>
        </x:is>
      </x:c>
      <x:c r="H15" s="55" t="str">
        <x:f>IF(LEN(I15)&lt;15,"短",IF(LEN(I15)&lt;=45,"中","长"))</x:f>
        <x:v>中</x:v>
      </x:c>
      <x:c r="I15" s="56" t="inlineStr">
        <x:is>
          <x:t xml:space="preserve">我闺女三岁半，她现在最爱说的一句话是“我自己来”。</x:t>
        </x:is>
      </x:c>
      <x:c r="J15" s="56" t="str">
        <x:f>I15</x:f>
        <x:v>我闺女三岁半，她现在最爱说的一句话是“我自己来”。</x:v>
      </x:c>
      <x:c r="K15" s="55" t="inlineStr">
        <x:is>
          <x:t xml:space="preserve">无需改写</x:t>
        </x:is>
      </x:c>
      <x:c r="L15" s="56" t="inlineStr">
        <x:is>
          <x:t xml:space="preserve">闺女/她</x:t>
        </x:is>
      </x:c>
      <x:c r="M15" s="56" t="inlineStr">
        <x:is>
          <x:t xml:space="preserve">家长对自己孩子的描述</x:t>
        </x:is>
      </x:c>
      <x:c r="N15" s="56" t="inlineStr">
        <x:is>
          <x:t xml:space="preserve">我孩子三岁半，TA现在最爱说的一句话是“我自己来”</x:t>
        </x:is>
      </x:c>
      <x:c r="O15" s="55" t="inlineStr">
        <x:is>
          <x:t xml:space="preserve">难</x:t>
        </x:is>
      </x:c>
      <x:c r="P15" s="55" t="inlineStr">
        <x:is>
          <x:t xml:space="preserve">否</x:t>
        </x:is>
      </x:c>
      <x:c r="Q15" s="56" t="n"/>
      <x:c r="R15" s="57" t="inlineStr">
        <x:is>
          <x:t xml:space="preserve">主集</x:t>
        </x:is>
      </x:c>
      <x:c r="S15" s="57" t="inlineStr">
        <x:is>
          <x:t xml:space="preserve">test</x:t>
        </x:is>
      </x:c>
      <x:c r="T15" s="57" t="inlineStr">
        <x:is>
          <x:t xml:space="preserve"/>
        </x:is>
      </x:c>
    </x:row>
    <x:row r="16" s="37" customFormat="1" ht="29.850000381469727" customHeight="1">
      <x:c r="A16" s="55" t="inlineStr">
        <x:is>
          <x:t xml:space="preserve">NEG-0015</x:t>
        </x:is>
      </x:c>
      <x:c r="B16" s="55" t="inlineStr">
        <x:is>
          <x:t xml:space="preserve">v2</x:t>
        </x:is>
      </x:c>
      <x:c r="C16" s="56" t="inlineStr">
        <x:is>
          <x:t xml:space="preserve">一、指称已知性别的具体个人</x:t>
        </x:is>
      </x:c>
      <x:c r="D16" s="56" t="inlineStr">
        <x:is>
          <x:t xml:space="preserve">1.3 血亲与姻亲称谓</x:t>
        </x:is>
      </x:c>
      <x:c r="E16" s="56" t="inlineStr">
        <x:is>
          <x:t xml:space="preserve">口语与私人交流</x:t>
        </x:is>
      </x:c>
      <x:c r="F16" s="56" t="inlineStr">
        <x:is>
          <x:t xml:space="preserve">日常口语</x:t>
        </x:is>
      </x:c>
      <x:c r="G16" s="55" t="inlineStr">
        <x:is>
          <x:t xml:space="preserve">无</x:t>
        </x:is>
      </x:c>
      <x:c r="H16" s="55" t="str">
        <x:f>IF(LEN(I16)&lt;15,"短",IF(LEN(I16)&lt;=45,"中","长"))</x:f>
        <x:v>中</x:v>
      </x:c>
      <x:c r="I16" s="56" t="inlineStr">
        <x:is>
          <x:t xml:space="preserve">我爸退休以后迷上钓鱼，我妈说家里冰箱都快塞不下了。</x:t>
        </x:is>
      </x:c>
      <x:c r="J16" s="56" t="str">
        <x:f>I16</x:f>
        <x:v>我爸退休以后迷上钓鱼，我妈说家里冰箱都快塞不下了。</x:v>
      </x:c>
      <x:c r="K16" s="55" t="inlineStr">
        <x:is>
          <x:t xml:space="preserve">无需改写</x:t>
        </x:is>
      </x:c>
      <x:c r="L16" s="56" t="inlineStr">
        <x:is>
          <x:t xml:space="preserve">我爸/我妈</x:t>
        </x:is>
      </x:c>
      <x:c r="M16" s="56" t="inlineStr">
        <x:is>
          <x:t xml:space="preserve">家庭成员的具体指称</x:t>
        </x:is>
      </x:c>
      <x:c r="N16" s="56" t="inlineStr">
        <x:is>
          <x:t xml:space="preserve">我父母退休以后迷上钓鱼</x:t>
        </x:is>
      </x:c>
      <x:c r="O16" s="55" t="inlineStr">
        <x:is>
          <x:t xml:space="preserve">中</x:t>
        </x:is>
      </x:c>
      <x:c r="P16" s="55" t="inlineStr">
        <x:is>
          <x:t xml:space="preserve">否</x:t>
        </x:is>
      </x:c>
      <x:c r="Q16" s="56" t="inlineStr">
        <x:is>
          <x:t xml:space="preserve">改写会丢失“两个人各自做了什么”的信息</x:t>
        </x:is>
      </x:c>
      <x:c r="R16" s="57" t="inlineStr">
        <x:is>
          <x:t xml:space="preserve">主集</x:t>
        </x:is>
      </x:c>
      <x:c r="S16" s="57" t="inlineStr">
        <x:is>
          <x:t xml:space="preserve">index</x:t>
        </x:is>
      </x:c>
      <x:c r="T16" s="57" t="inlineStr">
        <x:is>
          <x:t xml:space="preserve"/>
        </x:is>
      </x:c>
    </x:row>
    <x:row r="17" s="37" customFormat="1" ht="29.850000381469727" customHeight="1">
      <x:c r="A17" s="55" t="inlineStr">
        <x:is>
          <x:t xml:space="preserve">NEG-0016</x:t>
        </x:is>
      </x:c>
      <x:c r="B17" s="55" t="inlineStr">
        <x:is>
          <x:t xml:space="preserve">v2</x:t>
        </x:is>
      </x:c>
      <x:c r="C17" s="56" t="inlineStr">
        <x:is>
          <x:t xml:space="preserve">一、指称已知性别的具体个人</x:t>
        </x:is>
      </x:c>
      <x:c r="D17" s="56" t="inlineStr">
        <x:is>
          <x:t xml:space="preserve">1.3 血亲与姻亲称谓</x:t>
        </x:is>
      </x:c>
      <x:c r="E17" s="56" t="inlineStr">
        <x:is>
          <x:t xml:space="preserve">口语与私人交流</x:t>
        </x:is>
      </x:c>
      <x:c r="F17" s="56" t="inlineStr">
        <x:is>
          <x:t xml:space="preserve">即时通讯</x:t>
        </x:is>
      </x:c>
      <x:c r="G17" s="55" t="inlineStr">
        <x:is>
          <x:t xml:space="preserve">无</x:t>
        </x:is>
      </x:c>
      <x:c r="H17" s="55" t="str">
        <x:f>IF(LEN(I17)&lt;15,"短",IF(LEN(I17)&lt;=45,"中","长"))</x:f>
        <x:v>中</x:v>
      </x:c>
      <x:c r="I17" s="56" t="inlineStr">
        <x:is>
          <x:t xml:space="preserve">今晚不回去吃了，跟我姐夫约了看球。</x:t>
        </x:is>
      </x:c>
      <x:c r="J17" s="56" t="str">
        <x:f>I17</x:f>
        <x:v>今晚不回去吃了，跟我姐夫约了看球。</x:v>
      </x:c>
      <x:c r="K17" s="55" t="inlineStr">
        <x:is>
          <x:t xml:space="preserve">无需改写</x:t>
        </x:is>
      </x:c>
      <x:c r="L17" s="56" t="inlineStr">
        <x:is>
          <x:t xml:space="preserve">姐夫</x:t>
        </x:is>
      </x:c>
      <x:c r="M17" s="56" t="inlineStr">
        <x:is>
          <x:t xml:space="preserve">姻亲称谓无中性对应词</x:t>
        </x:is>
      </x:c>
      <x:c r="N17" s="56" t="inlineStr">
        <x:is>
          <x:t xml:space="preserve">今晚不回去吃了，跟我亲戚约了看球</x:t>
        </x:is>
      </x:c>
      <x:c r="O17" s="55" t="inlineStr">
        <x:is>
          <x:t xml:space="preserve">中</x:t>
        </x:is>
      </x:c>
      <x:c r="P17" s="55" t="inlineStr">
        <x:is>
          <x:t xml:space="preserve">否</x:t>
        </x:is>
      </x:c>
      <x:c r="Q17" s="56" t="n"/>
      <x:c r="R17" s="57" t="inlineStr">
        <x:is>
          <x:t xml:space="preserve">主集</x:t>
        </x:is>
      </x:c>
      <x:c r="S17" s="57" t="inlineStr">
        <x:is>
          <x:t xml:space="preserve">test</x:t>
        </x:is>
      </x:c>
      <x:c r="T17" s="57" t="inlineStr">
        <x:is>
          <x:t xml:space="preserve"/>
        </x:is>
      </x:c>
    </x:row>
    <x:row r="18" s="37" customFormat="1" ht="29.850000381469727" customHeight="1">
      <x:c r="A18" s="55" t="inlineStr">
        <x:is>
          <x:t xml:space="preserve">NEG-0017</x:t>
        </x:is>
      </x:c>
      <x:c r="B18" s="55" t="inlineStr">
        <x:is>
          <x:t xml:space="preserve">v2</x:t>
        </x:is>
      </x:c>
      <x:c r="C18" s="56" t="inlineStr">
        <x:is>
          <x:t xml:space="preserve">一、指称已知性别的具体个人</x:t>
        </x:is>
      </x:c>
      <x:c r="D18" s="56" t="inlineStr">
        <x:is>
          <x:t xml:space="preserve">1.3 血亲与姻亲称谓</x:t>
        </x:is>
      </x:c>
      <x:c r="E18" s="56" t="inlineStr">
        <x:is>
          <x:t xml:space="preserve">公文与规章</x:t>
        </x:is>
      </x:c>
      <x:c r="F18" s="56" t="inlineStr">
        <x:is>
          <x:t xml:space="preserve">表单填写</x:t>
        </x:is>
      </x:c>
      <x:c r="G18" s="55" t="inlineStr">
        <x:is>
          <x:t xml:space="preserve">无</x:t>
        </x:is>
      </x:c>
      <x:c r="H18" s="55" t="str">
        <x:f>IF(LEN(I18)&lt;15,"短",IF(LEN(I18)&lt;=45,"中","长"))</x:f>
        <x:v>中</x:v>
      </x:c>
      <x:c r="I18" s="56" t="inlineStr">
        <x:is>
          <x:t xml:space="preserve">紧急联系人：配偶 张伟；备用联系人：其母 王秀英。</x:t>
        </x:is>
      </x:c>
      <x:c r="J18" s="56" t="str">
        <x:f>I18</x:f>
        <x:v>紧急联系人：配偶 张伟；备用联系人：其母 王秀英。</x:v>
      </x:c>
      <x:c r="K18" s="55" t="inlineStr">
        <x:is>
          <x:t xml:space="preserve">无需改写</x:t>
        </x:is>
      </x:c>
      <x:c r="L18" s="56" t="inlineStr">
        <x:is>
          <x:t xml:space="preserve">其母</x:t>
        </x:is>
      </x:c>
      <x:c r="M18" s="56" t="inlineStr">
        <x:is>
          <x:t xml:space="preserve">登记信息须与实际关系一致</x:t>
        </x:is>
      </x:c>
      <x:c r="N18" s="56" t="inlineStr">
        <x:is>
          <x:t xml:space="preserve">备用联系人：其家长 王秀英</x:t>
        </x:is>
      </x:c>
      <x:c r="O18" s="55" t="inlineStr">
        <x:is>
          <x:t xml:space="preserve">易</x:t>
        </x:is>
      </x:c>
      <x:c r="P18" s="55" t="inlineStr">
        <x:is>
          <x:t xml:space="preserve">否</x:t>
        </x:is>
      </x:c>
      <x:c r="Q18" s="56" t="n"/>
      <x:c r="R18" s="57" t="inlineStr">
        <x:is>
          <x:t xml:space="preserve">主集</x:t>
        </x:is>
      </x:c>
      <x:c r="S18" s="57" t="inlineStr">
        <x:is>
          <x:t xml:space="preserve">index</x:t>
        </x:is>
      </x:c>
      <x:c r="T18" s="57" t="inlineStr">
        <x:is>
          <x:t xml:space="preserve"/>
        </x:is>
      </x:c>
    </x:row>
    <x:row r="19" s="37" customFormat="1" ht="29.850000381469727" customHeight="1">
      <x:c r="A19" s="55" t="inlineStr">
        <x:is>
          <x:t xml:space="preserve">NEG-0018</x:t>
        </x:is>
      </x:c>
      <x:c r="B19" s="55" t="inlineStr">
        <x:is>
          <x:t xml:space="preserve">v2</x:t>
        </x:is>
      </x:c>
      <x:c r="C19" s="56" t="inlineStr">
        <x:is>
          <x:t xml:space="preserve">一、指称已知性别的具体个人</x:t>
        </x:is>
      </x:c>
      <x:c r="D19" s="56" t="inlineStr">
        <x:is>
          <x:t xml:space="preserve">1.3 血亲与姻亲称谓</x:t>
        </x:is>
      </x:c>
      <x:c r="E19" s="56" t="inlineStr">
        <x:is>
          <x:t xml:space="preserve">学术与调研</x:t>
        </x:is>
      </x:c>
      <x:c r="F19" s="56" t="inlineStr">
        <x:is>
          <x:t xml:space="preserve">族谱/史料</x:t>
        </x:is>
      </x:c>
      <x:c r="G19" s="55" t="inlineStr">
        <x:is>
          <x:t xml:space="preserve">无</x:t>
        </x:is>
      </x:c>
      <x:c r="H19" s="55" t="str">
        <x:f>IF(LEN(I19)&lt;15,"短",IF(LEN(I19)&lt;=45,"中","长"))</x:f>
        <x:v>中</x:v>
      </x:c>
      <x:c r="I19" s="56" t="inlineStr">
        <x:is>
          <x:t xml:space="preserve">曾祖父育有三子二女，长子早夭。</x:t>
        </x:is>
      </x:c>
      <x:c r="J19" s="56" t="str">
        <x:f>I19</x:f>
        <x:v>曾祖父育有三子二女，长子早夭。</x:v>
      </x:c>
      <x:c r="K19" s="55" t="inlineStr">
        <x:is>
          <x:t xml:space="preserve">无需改写</x:t>
        </x:is>
      </x:c>
      <x:c r="L19" s="56" t="inlineStr">
        <x:is>
          <x:t xml:space="preserve">三子二女/长子</x:t>
        </x:is>
      </x:c>
      <x:c r="M19" s="56" t="inlineStr">
        <x:is>
          <x:t xml:space="preserve">家族记录，数目与性别都是史实</x:t>
        </x:is>
      </x:c>
      <x:c r="N19" s="56" t="inlineStr">
        <x:is>
          <x:t xml:space="preserve">曾祖父育有五个子女，其中一人早夭</x:t>
        </x:is>
      </x:c>
      <x:c r="O19" s="55" t="inlineStr">
        <x:is>
          <x:t xml:space="preserve">易</x:t>
        </x:is>
      </x:c>
      <x:c r="P19" s="55" t="inlineStr">
        <x:is>
          <x:t xml:space="preserve">否</x:t>
        </x:is>
      </x:c>
      <x:c r="Q19" s="56" t="n"/>
      <x:c r="R19" s="57" t="inlineStr">
        <x:is>
          <x:t xml:space="preserve">主集</x:t>
        </x:is>
      </x:c>
      <x:c r="S19" s="57" t="inlineStr">
        <x:is>
          <x:t xml:space="preserve">dev</x:t>
        </x:is>
      </x:c>
      <x:c r="T19" s="57" t="inlineStr">
        <x:is>
          <x:t xml:space="preserve"/>
        </x:is>
      </x:c>
    </x:row>
    <x:row r="20" s="37" customFormat="1" ht="29.850000381469727" customHeight="1">
      <x:c r="A20" s="55" t="inlineStr">
        <x:is>
          <x:t xml:space="preserve">NEG-0019</x:t>
        </x:is>
      </x:c>
      <x:c r="B20" s="55" t="inlineStr">
        <x:is>
          <x:t xml:space="preserve">v2</x:t>
        </x:is>
      </x:c>
      <x:c r="C20" s="56" t="inlineStr">
        <x:is>
          <x:t xml:space="preserve">一、指称已知性别的具体个人</x:t>
        </x:is>
      </x:c>
      <x:c r="D20" s="56" t="inlineStr">
        <x:is>
          <x:t xml:space="preserve">1.3 血亲与姻亲称谓</x:t>
        </x:is>
      </x:c>
      <x:c r="E20" s="56" t="inlineStr">
        <x:is>
          <x:t xml:space="preserve">社交与社区</x:t>
        </x:is>
      </x:c>
      <x:c r="F20" s="56" t="inlineStr">
        <x:is>
          <x:t xml:space="preserve">论坛提问</x:t>
        </x:is>
      </x:c>
      <x:c r="G20" s="55" t="inlineStr">
        <x:is>
          <x:t xml:space="preserve">无</x:t>
        </x:is>
      </x:c>
      <x:c r="H20" s="55" t="str">
        <x:f>IF(LEN(I20)&lt;15,"短",IF(LEN(I20)&lt;=45,"中","长"))</x:f>
        <x:v>中</x:v>
      </x:c>
      <x:c r="I20" s="56" t="inlineStr">
        <x:is>
          <x:t xml:space="preserve">婆婆刚做完膝关节置换，想问下术后康复一般要多久。</x:t>
        </x:is>
      </x:c>
      <x:c r="J20" s="56" t="str">
        <x:f>I20</x:f>
        <x:v>婆婆刚做完膝关节置换，想问下术后康复一般要多久。</x:v>
      </x:c>
      <x:c r="K20" s="55" t="inlineStr">
        <x:is>
          <x:t xml:space="preserve">无需改写</x:t>
        </x:is>
      </x:c>
      <x:c r="L20" s="56" t="inlineStr">
        <x:is>
          <x:t xml:space="preserve">婆婆</x:t>
        </x:is>
      </x:c>
      <x:c r="M20" s="56" t="inlineStr">
        <x:is>
          <x:t xml:space="preserve">姻亲称谓，指称具体某人</x:t>
        </x:is>
      </x:c>
      <x:c r="N20" s="56" t="inlineStr">
        <x:is>
          <x:t xml:space="preserve">家人刚做完膝关节置换</x:t>
        </x:is>
      </x:c>
      <x:c r="O20" s="55" t="inlineStr">
        <x:is>
          <x:t xml:space="preserve">中</x:t>
        </x:is>
      </x:c>
      <x:c r="P20" s="55" t="inlineStr">
        <x:is>
          <x:t xml:space="preserve">否</x:t>
        </x:is>
      </x:c>
      <x:c r="Q20" s="56" t="n"/>
      <x:c r="R20" s="57" t="inlineStr">
        <x:is>
          <x:t xml:space="preserve">主集</x:t>
        </x:is>
      </x:c>
      <x:c r="S20" s="57" t="inlineStr">
        <x:is>
          <x:t xml:space="preserve">index</x:t>
        </x:is>
      </x:c>
      <x:c r="T20" s="57" t="inlineStr">
        <x:is>
          <x:t xml:space="preserve"/>
        </x:is>
      </x:c>
    </x:row>
    <x:row r="21" s="37" customFormat="1" ht="29.850000381469727" customHeight="1">
      <x:c r="A21" s="55" t="inlineStr">
        <x:is>
          <x:t xml:space="preserve">NEG-0020</x:t>
        </x:is>
      </x:c>
      <x:c r="B21" s="55" t="inlineStr">
        <x:is>
          <x:t xml:space="preserve">v2</x:t>
        </x:is>
      </x:c>
      <x:c r="C21" s="56" t="inlineStr">
        <x:is>
          <x:t xml:space="preserve">一、指称已知性别的具体个人</x:t>
        </x:is>
      </x:c>
      <x:c r="D21" s="56" t="inlineStr">
        <x:is>
          <x:t xml:space="preserve">1.3 血亲与姻亲称谓</x:t>
        </x:is>
      </x:c>
      <x:c r="E21" s="56" t="inlineStr">
        <x:is>
          <x:t xml:space="preserve">法律与司法</x:t>
        </x:is>
      </x:c>
      <x:c r="F21" s="56" t="inlineStr">
        <x:is>
          <x:t xml:space="preserve">法律文书</x:t>
        </x:is>
      </x:c>
      <x:c r="G21" s="55" t="inlineStr">
        <x:is>
          <x:t xml:space="preserve">无</x:t>
        </x:is>
      </x:c>
      <x:c r="H21" s="55" t="str">
        <x:f>IF(LEN(I21)&lt;15,"短",IF(LEN(I21)&lt;=45,"中","长"))</x:f>
        <x:v>中</x:v>
      </x:c>
      <x:c r="I21" s="56" t="inlineStr">
        <x:is>
          <x:t xml:space="preserve">本人名下位于朝阳区的房产，由长女李某某单独继承。</x:t>
        </x:is>
      </x:c>
      <x:c r="J21" s="56" t="str">
        <x:f>I21</x:f>
        <x:v>本人名下位于朝阳区的房产，由长女李某某单独继承。</x:v>
      </x:c>
      <x:c r="K21" s="55" t="inlineStr">
        <x:is>
          <x:t xml:space="preserve">无需改写</x:t>
        </x:is>
      </x:c>
      <x:c r="L21" s="56" t="inlineStr">
        <x:is>
          <x:t xml:space="preserve">长女</x:t>
        </x:is>
      </x:c>
      <x:c r="M21" s="56" t="inlineStr">
        <x:is>
          <x:t xml:space="preserve">继承法律关系须精确</x:t>
        </x:is>
      </x:c>
      <x:c r="N21" s="56" t="inlineStr">
        <x:is>
          <x:t xml:space="preserve">由子女李某某单独继承</x:t>
        </x:is>
      </x:c>
      <x:c r="O21" s="55" t="inlineStr">
        <x:is>
          <x:t xml:space="preserve">易</x:t>
        </x:is>
      </x:c>
      <x:c r="P21" s="55" t="inlineStr">
        <x:is>
          <x:t xml:space="preserve">否</x:t>
        </x:is>
      </x:c>
      <x:c r="Q21" s="56" t="n"/>
      <x:c r="R21" s="57" t="inlineStr">
        <x:is>
          <x:t xml:space="preserve">主集</x:t>
        </x:is>
      </x:c>
      <x:c r="S21" s="57" t="inlineStr">
        <x:is>
          <x:t xml:space="preserve">index</x:t>
        </x:is>
      </x:c>
      <x:c r="T21" s="57" t="inlineStr">
        <x:is>
          <x:t xml:space="preserve"/>
        </x:is>
      </x:c>
    </x:row>
    <x:row r="22" s="37" customFormat="1" ht="29.850000381469727" customHeight="1">
      <x:c r="A22" s="55" t="inlineStr">
        <x:is>
          <x:t xml:space="preserve">NEG-0021</x:t>
        </x:is>
      </x:c>
      <x:c r="B22" s="55" t="inlineStr">
        <x:is>
          <x:t xml:space="preserve">v2</x:t>
        </x:is>
      </x:c>
      <x:c r="C22" s="56" t="inlineStr">
        <x:is>
          <x:t xml:space="preserve">一、指称已知性别的具体个人</x:t>
        </x:is>
      </x:c>
      <x:c r="D22" s="56" t="inlineStr">
        <x:is>
          <x:t xml:space="preserve">1.3 血亲与姻亲称谓</x:t>
        </x:is>
      </x:c>
      <x:c r="E22" s="56" t="inlineStr">
        <x:is>
          <x:t xml:space="preserve">口语与私人交流</x:t>
        </x:is>
      </x:c>
      <x:c r="F22" s="56" t="inlineStr">
        <x:is>
          <x:t xml:space="preserve">日常口语</x:t>
        </x:is>
      </x:c>
      <x:c r="G22" s="55" t="inlineStr">
        <x:is>
          <x:t xml:space="preserve">无</x:t>
        </x:is>
      </x:c>
      <x:c r="H22" s="55" t="str">
        <x:f>IF(LEN(I22)&lt;15,"短",IF(LEN(I22)&lt;=45,"中","长"))</x:f>
        <x:v>中</x:v>
      </x:c>
      <x:c r="I22" s="56" t="inlineStr">
        <x:is>
          <x:t xml:space="preserve">我外婆是苏州人，她做的酱鸭我到现在没吃到过第二家。</x:t>
        </x:is>
      </x:c>
      <x:c r="J22" s="56" t="str">
        <x:f>I22</x:f>
        <x:v>我外婆是苏州人，她做的酱鸭我到现在没吃到过第二家。</x:v>
      </x:c>
      <x:c r="K22" s="55" t="inlineStr">
        <x:is>
          <x:t xml:space="preserve">无需改写</x:t>
        </x:is>
      </x:c>
      <x:c r="L22" s="56" t="inlineStr">
        <x:is>
          <x:t xml:space="preserve">外婆/她</x:t>
        </x:is>
      </x:c>
      <x:c r="M22" s="56" t="inlineStr">
        <x:is>
          <x:t xml:space="preserve">母系祖辈的特定称谓</x:t>
        </x:is>
      </x:c>
      <x:c r="N22" s="56" t="inlineStr">
        <x:is>
          <x:t xml:space="preserve">我祖辈是苏州人</x:t>
        </x:is>
      </x:c>
      <x:c r="O22" s="55" t="inlineStr">
        <x:is>
          <x:t xml:space="preserve">中</x:t>
        </x:is>
      </x:c>
      <x:c r="P22" s="55" t="inlineStr">
        <x:is>
          <x:t xml:space="preserve">否</x:t>
        </x:is>
      </x:c>
      <x:c r="Q22" s="56" t="inlineStr">
        <x:is>
          <x:t xml:space="preserve">“外婆”与“奶奶”在汉语中不可互换</x:t>
        </x:is>
      </x:c>
      <x:c r="R22" s="57" t="inlineStr">
        <x:is>
          <x:t xml:space="preserve">主集</x:t>
        </x:is>
      </x:c>
      <x:c r="S22" s="57" t="inlineStr">
        <x:is>
          <x:t xml:space="preserve">test</x:t>
        </x:is>
      </x:c>
      <x:c r="T22" s="57" t="inlineStr">
        <x:is>
          <x:t xml:space="preserve"/>
        </x:is>
      </x:c>
    </x:row>
    <x:row r="23" s="37" customFormat="1" ht="29.850000381469727" customHeight="1">
      <x:c r="A23" s="55" t="inlineStr">
        <x:is>
          <x:t xml:space="preserve">NEG-0022</x:t>
        </x:is>
      </x:c>
      <x:c r="B23" s="55" t="inlineStr">
        <x:is>
          <x:t xml:space="preserve">v2</x:t>
        </x:is>
      </x:c>
      <x:c r="C23" s="56" t="inlineStr">
        <x:is>
          <x:t xml:space="preserve">一、指称已知性别的具体个人</x:t>
        </x:is>
      </x:c>
      <x:c r="D23" s="56" t="inlineStr">
        <x:is>
          <x:t xml:space="preserve">1.4 伴侣与恋爱关系</x:t>
        </x:is>
      </x:c>
      <x:c r="E23" s="56" t="inlineStr">
        <x:is>
          <x:t xml:space="preserve">口语与私人交流</x:t>
        </x:is>
      </x:c>
      <x:c r="F23" s="56" t="inlineStr">
        <x:is>
          <x:t xml:space="preserve">即时通讯</x:t>
        </x:is>
      </x:c>
      <x:c r="G23" s="55" t="inlineStr">
        <x:is>
          <x:t xml:space="preserve">无</x:t>
        </x:is>
      </x:c>
      <x:c r="H23" s="55" t="str">
        <x:f>IF(LEN(I23)&lt;15,"短",IF(LEN(I23)&lt;=45,"中","长"))</x:f>
        <x:v>中</x:v>
      </x:c>
      <x:c r="I23" s="56" t="inlineStr">
        <x:is>
          <x:t xml:space="preserve">我女朋友说她那边开完会就过来，你们先点菜。</x:t>
        </x:is>
      </x:c>
      <x:c r="J23" s="56" t="str">
        <x:f>I23</x:f>
        <x:v>我女朋友说她那边开完会就过来，你们先点菜。</x:v>
      </x:c>
      <x:c r="K23" s="55" t="inlineStr">
        <x:is>
          <x:t xml:space="preserve">无需改写</x:t>
        </x:is>
      </x:c>
      <x:c r="L23" s="56" t="inlineStr">
        <x:is>
          <x:t xml:space="preserve">女朋友/她</x:t>
        </x:is>
      </x:c>
      <x:c r="M23" s="56" t="inlineStr">
        <x:is>
          <x:t xml:space="preserve">当事人对自身关系的描述</x:t>
        </x:is>
      </x:c>
      <x:c r="N23" s="56" t="inlineStr">
        <x:is>
          <x:t xml:space="preserve">我对象说TA那边开完会就过来</x:t>
        </x:is>
      </x:c>
      <x:c r="O23" s="55" t="inlineStr">
        <x:is>
          <x:t xml:space="preserve">难</x:t>
        </x:is>
      </x:c>
      <x:c r="P23" s="55" t="inlineStr">
        <x:is>
          <x:t xml:space="preserve">否</x:t>
        </x:is>
      </x:c>
      <x:c r="Q23" s="56" t="inlineStr">
        <x:is>
          <x:t xml:space="preserve">高频误改样本</x:t>
        </x:is>
      </x:c>
      <x:c r="R23" s="57" t="inlineStr">
        <x:is>
          <x:t xml:space="preserve">主集</x:t>
        </x:is>
      </x:c>
      <x:c r="S23" s="57" t="inlineStr">
        <x:is>
          <x:t xml:space="preserve">test</x:t>
        </x:is>
      </x:c>
      <x:c r="T23" s="57" t="inlineStr">
        <x:is>
          <x:t xml:space="preserve"/>
        </x:is>
      </x:c>
    </x:row>
    <x:row r="24" s="37" customFormat="1" ht="29.850000381469727" customHeight="1">
      <x:c r="A24" s="55" t="inlineStr">
        <x:is>
          <x:t xml:space="preserve">NEG-0023</x:t>
        </x:is>
      </x:c>
      <x:c r="B24" s="55" t="inlineStr">
        <x:is>
          <x:t xml:space="preserve">v2</x:t>
        </x:is>
      </x:c>
      <x:c r="C24" s="56" t="inlineStr">
        <x:is>
          <x:t xml:space="preserve">一、指称已知性别的具体个人</x:t>
        </x:is>
      </x:c>
      <x:c r="D24" s="56" t="inlineStr">
        <x:is>
          <x:t xml:space="preserve">1.4 伴侣与恋爱关系</x:t>
        </x:is>
      </x:c>
      <x:c r="E24" s="56" t="inlineStr">
        <x:is>
          <x:t xml:space="preserve">社交与社区</x:t>
        </x:is>
      </x:c>
      <x:c r="F24" s="56" t="inlineStr">
        <x:is>
          <x:t xml:space="preserve">论坛帖子</x:t>
        </x:is>
      </x:c>
      <x:c r="G24" s="55" t="inlineStr">
        <x:is>
          <x:t xml:space="preserve">无</x:t>
        </x:is>
      </x:c>
      <x:c r="H24" s="55" t="str">
        <x:f>IF(LEN(I24)&lt;15,"短",IF(LEN(I24)&lt;=45,"中","长"))</x:f>
        <x:v>中</x:v>
      </x:c>
      <x:c r="I24" s="56" t="inlineStr">
        <x:is>
          <x:t xml:space="preserve">和男朋友异地三年了，最近他工作调动，终于能到一个城市。</x:t>
        </x:is>
      </x:c>
      <x:c r="J24" s="56" t="str">
        <x:f>I24</x:f>
        <x:v>和男朋友异地三年了，最近他工作调动，终于能到一个城市。</x:v>
      </x:c>
      <x:c r="K24" s="55" t="inlineStr">
        <x:is>
          <x:t xml:space="preserve">无需改写</x:t>
        </x:is>
      </x:c>
      <x:c r="L24" s="56" t="inlineStr">
        <x:is>
          <x:t xml:space="preserve">男朋友/他</x:t>
        </x:is>
      </x:c>
      <x:c r="M24" s="56" t="inlineStr">
        <x:is>
          <x:t xml:space="preserve">同上</x:t>
        </x:is>
      </x:c>
      <x:c r="N24" s="56" t="inlineStr">
        <x:is>
          <x:t xml:space="preserve">和伴侣异地三年了，最近TA工作调动</x:t>
        </x:is>
      </x:c>
      <x:c r="O24" s="55" t="inlineStr">
        <x:is>
          <x:t xml:space="preserve">难</x:t>
        </x:is>
      </x:c>
      <x:c r="P24" s="55" t="inlineStr">
        <x:is>
          <x:t xml:space="preserve">否</x:t>
        </x:is>
      </x:c>
      <x:c r="Q24" s="56" t="n"/>
      <x:c r="R24" s="57" t="inlineStr">
        <x:is>
          <x:t xml:space="preserve">主集</x:t>
        </x:is>
      </x:c>
      <x:c r="S24" s="57" t="inlineStr">
        <x:is>
          <x:t xml:space="preserve">test</x:t>
        </x:is>
      </x:c>
      <x:c r="T24" s="57" t="inlineStr">
        <x:is>
          <x:t xml:space="preserve"/>
        </x:is>
      </x:c>
    </x:row>
    <x:row r="25" s="37" customFormat="1" ht="29.850000381469727" customHeight="1">
      <x:c r="A25" s="55" t="inlineStr">
        <x:is>
          <x:t xml:space="preserve">NEG-0024</x:t>
        </x:is>
      </x:c>
      <x:c r="B25" s="55" t="inlineStr">
        <x:is>
          <x:t xml:space="preserve">v2</x:t>
        </x:is>
      </x:c>
      <x:c r="C25" s="56" t="inlineStr">
        <x:is>
          <x:t xml:space="preserve">一、指称已知性别的具体个人</x:t>
        </x:is>
      </x:c>
      <x:c r="D25" s="56" t="inlineStr">
        <x:is>
          <x:t xml:space="preserve">1.4 伴侣与恋爱关系</x:t>
        </x:is>
      </x:c>
      <x:c r="E25" s="56" t="inlineStr">
        <x:is>
          <x:t xml:space="preserve">公文与规章</x:t>
        </x:is>
      </x:c>
      <x:c r="F25" s="56" t="inlineStr">
        <x:is>
          <x:t xml:space="preserve">申请材料</x:t>
        </x:is>
      </x:c>
      <x:c r="G25" s="55" t="inlineStr">
        <x:is>
          <x:t xml:space="preserve">无</x:t>
        </x:is>
      </x:c>
      <x:c r="H25" s="55" t="str">
        <x:f>IF(LEN(I25)&lt;15,"短",IF(LEN(I25)&lt;=45,"中","长"))</x:f>
        <x:v>中</x:v>
      </x:c>
      <x:c r="I25" s="56" t="inlineStr">
        <x:is>
          <x:t xml:space="preserve">申请人配偶（妻子）李某某，现于本市某中学任教。</x:t>
        </x:is>
      </x:c>
      <x:c r="J25" s="56" t="str">
        <x:f>I25</x:f>
        <x:v>申请人配偶（妻子）李某某，现于本市某中学任教。</x:v>
      </x:c>
      <x:c r="K25" s="55" t="inlineStr">
        <x:is>
          <x:t xml:space="preserve">无需改写</x:t>
        </x:is>
      </x:c>
      <x:c r="L25" s="56" t="inlineStr">
        <x:is>
          <x:t xml:space="preserve">妻子</x:t>
        </x:is>
      </x:c>
      <x:c r="M25" s="56" t="inlineStr">
        <x:is>
          <x:t xml:space="preserve">随迁材料中的亲属关系认定</x:t>
        </x:is>
      </x:c>
      <x:c r="N25" s="56" t="inlineStr">
        <x:is>
          <x:t xml:space="preserve">申请人配偶李某某，现于本市某中学任教</x:t>
        </x:is>
      </x:c>
      <x:c r="O25" s="55" t="inlineStr">
        <x:is>
          <x:t xml:space="preserve">中</x:t>
        </x:is>
      </x:c>
      <x:c r="P25" s="55" t="inlineStr">
        <x:is>
          <x:t xml:space="preserve">否</x:t>
        </x:is>
      </x:c>
      <x:c r="Q25" s="56" t="n"/>
      <x:c r="R25" s="57" t="inlineStr">
        <x:is>
          <x:t xml:space="preserve">主集</x:t>
        </x:is>
      </x:c>
      <x:c r="S25" s="57" t="inlineStr">
        <x:is>
          <x:t xml:space="preserve">test</x:t>
        </x:is>
      </x:c>
      <x:c r="T25" s="57" t="inlineStr">
        <x:is>
          <x:t xml:space="preserve"/>
        </x:is>
      </x:c>
    </x:row>
    <x:row r="26" s="37" customFormat="1" ht="29.850000381469727" customHeight="1">
      <x:c r="A26" s="55" t="inlineStr">
        <x:is>
          <x:t xml:space="preserve">NEG-0025</x:t>
        </x:is>
      </x:c>
      <x:c r="B26" s="55" t="inlineStr">
        <x:is>
          <x:t xml:space="preserve">v2</x:t>
        </x:is>
      </x:c>
      <x:c r="C26" s="56" t="inlineStr">
        <x:is>
          <x:t xml:space="preserve">一、指称已知性别的具体个人</x:t>
        </x:is>
      </x:c>
      <x:c r="D26" s="56" t="inlineStr">
        <x:is>
          <x:t xml:space="preserve">1.4 伴侣与恋爱关系</x:t>
        </x:is>
      </x:c>
      <x:c r="E26" s="56" t="inlineStr">
        <x:is>
          <x:t xml:space="preserve">新闻报道</x:t>
        </x:is>
      </x:c>
      <x:c r="F26" s="56" t="inlineStr">
        <x:is>
          <x:t xml:space="preserve">新闻报道</x:t>
        </x:is>
      </x:c>
      <x:c r="G26" s="55" t="inlineStr">
        <x:is>
          <x:t xml:space="preserve">无</x:t>
        </x:is>
      </x:c>
      <x:c r="H26" s="55" t="str">
        <x:f>IF(LEN(I26)&lt;15,"短",IF(LEN(I26)&lt;=45,"中","长"))</x:f>
        <x:v>中</x:v>
      </x:c>
      <x:c r="I26" s="56" t="inlineStr">
        <x:is>
          <x:t xml:space="preserve">遇难者的未婚妻在事故现场等了整整一夜。</x:t>
        </x:is>
      </x:c>
      <x:c r="J26" s="56" t="str">
        <x:f>I26</x:f>
        <x:v>遇难者的未婚妻在事故现场等了整整一夜。</x:v>
      </x:c>
      <x:c r="K26" s="55" t="inlineStr">
        <x:is>
          <x:t xml:space="preserve">无需改写</x:t>
        </x:is>
      </x:c>
      <x:c r="L26" s="56" t="inlineStr">
        <x:is>
          <x:t xml:space="preserve">未婚妻</x:t>
        </x:is>
      </x:c>
      <x:c r="M26" s="56" t="inlineStr">
        <x:is>
          <x:t xml:space="preserve">特定关系的既有称谓</x:t>
        </x:is>
      </x:c>
      <x:c r="N26" s="56" t="inlineStr">
        <x:is>
          <x:t xml:space="preserve">遇难者的未婚伴侣在事故现场等了整整一夜</x:t>
        </x:is>
      </x:c>
      <x:c r="O26" s="55" t="inlineStr">
        <x:is>
          <x:t xml:space="preserve">中</x:t>
        </x:is>
      </x:c>
      <x:c r="P26" s="55" t="inlineStr">
        <x:is>
          <x:t xml:space="preserve">否</x:t>
        </x:is>
      </x:c>
      <x:c r="Q26" s="56" t="n"/>
      <x:c r="R26" s="57" t="inlineStr">
        <x:is>
          <x:t xml:space="preserve">主集</x:t>
        </x:is>
      </x:c>
      <x:c r="S26" s="57" t="inlineStr">
        <x:is>
          <x:t xml:space="preserve">test</x:t>
        </x:is>
      </x:c>
      <x:c r="T26" s="57" t="inlineStr">
        <x:is>
          <x:t xml:space="preserve"/>
        </x:is>
      </x:c>
    </x:row>
    <x:row r="27" s="37" customFormat="1" ht="29.850000381469727" customHeight="1">
      <x:c r="A27" s="55" t="inlineStr">
        <x:is>
          <x:t xml:space="preserve">NEG-0026</x:t>
        </x:is>
      </x:c>
      <x:c r="B27" s="55" t="inlineStr">
        <x:is>
          <x:t xml:space="preserve">v2</x:t>
        </x:is>
      </x:c>
      <x:c r="C27" s="56" t="inlineStr">
        <x:is>
          <x:t xml:space="preserve">一、指称已知性别的具体个人</x:t>
        </x:is>
      </x:c>
      <x:c r="D27" s="56" t="inlineStr">
        <x:is>
          <x:t xml:space="preserve">1.4 伴侣与恋爱关系</x:t>
        </x:is>
      </x:c>
      <x:c r="E27" s="56" t="inlineStr">
        <x:is>
          <x:t xml:space="preserve">口语与私人交流</x:t>
        </x:is>
      </x:c>
      <x:c r="F27" s="56" t="inlineStr">
        <x:is>
          <x:t xml:space="preserve">日常口语</x:t>
        </x:is>
      </x:c>
      <x:c r="G27" s="55" t="inlineStr">
        <x:is>
          <x:t xml:space="preserve">无</x:t>
        </x:is>
      </x:c>
      <x:c r="H27" s="55" t="str">
        <x:f>IF(LEN(I27)&lt;15,"短",IF(LEN(I27)&lt;=45,"中","长"))</x:f>
        <x:v>中</x:v>
      </x:c>
      <x:c r="I27" s="56" t="inlineStr">
        <x:is>
          <x:t xml:space="preserve">我前夫每周三接孩子，这是当初协议里写好的。</x:t>
        </x:is>
      </x:c>
      <x:c r="J27" s="56" t="str">
        <x:f>I27</x:f>
        <x:v>我前夫每周三接孩子，这是当初协议里写好的。</x:v>
      </x:c>
      <x:c r="K27" s="55" t="inlineStr">
        <x:is>
          <x:t xml:space="preserve">无需改写</x:t>
        </x:is>
      </x:c>
      <x:c r="L27" s="56" t="inlineStr">
        <x:is>
          <x:t xml:space="preserve">前夫</x:t>
        </x:is>
      </x:c>
      <x:c r="M27" s="56" t="inlineStr">
        <x:is>
          <x:t xml:space="preserve">离婚后抚养安排的事实</x:t>
        </x:is>
      </x:c>
      <x:c r="N27" s="56" t="inlineStr">
        <x:is>
          <x:t xml:space="preserve">我前任配偶每周三接孩子</x:t>
        </x:is>
      </x:c>
      <x:c r="O27" s="55" t="inlineStr">
        <x:is>
          <x:t xml:space="preserve">中</x:t>
        </x:is>
      </x:c>
      <x:c r="P27" s="55" t="inlineStr">
        <x:is>
          <x:t xml:space="preserve">否</x:t>
        </x:is>
      </x:c>
      <x:c r="Q27" s="56" t="n"/>
      <x:c r="R27" s="57" t="inlineStr">
        <x:is>
          <x:t xml:space="preserve">主集</x:t>
        </x:is>
      </x:c>
      <x:c r="S27" s="57" t="inlineStr">
        <x:is>
          <x:t xml:space="preserve">test</x:t>
        </x:is>
      </x:c>
      <x:c r="T27" s="57" t="inlineStr">
        <x:is>
          <x:t xml:space="preserve"/>
        </x:is>
      </x:c>
    </x:row>
    <x:row r="28" s="37" customFormat="1" ht="29.850000381469727" customHeight="1">
      <x:c r="A28" s="55" t="inlineStr">
        <x:is>
          <x:t xml:space="preserve">NEG-0027</x:t>
        </x:is>
      </x:c>
      <x:c r="B28" s="55" t="inlineStr">
        <x:is>
          <x:t xml:space="preserve">v2</x:t>
        </x:is>
      </x:c>
      <x:c r="C28" s="56" t="inlineStr">
        <x:is>
          <x:t xml:space="preserve">一、指称已知性别的具体个人</x:t>
        </x:is>
      </x:c>
      <x:c r="D28" s="56" t="inlineStr">
        <x:is>
          <x:t xml:space="preserve">1.4 伴侣与恋爱关系</x:t>
        </x:is>
      </x:c>
      <x:c r="E28" s="56" t="inlineStr">
        <x:is>
          <x:t xml:space="preserve">学术与调研</x:t>
        </x:is>
      </x:c>
      <x:c r="F28" s="56" t="inlineStr">
        <x:is>
          <x:t xml:space="preserve">访谈/播客</x:t>
        </x:is>
      </x:c>
      <x:c r="G28" s="55" t="inlineStr">
        <x:is>
          <x:t xml:space="preserve">无</x:t>
        </x:is>
      </x:c>
      <x:c r="H28" s="55" t="str">
        <x:f>IF(LEN(I28)&lt;15,"短",IF(LEN(I28)&lt;=45,"中","长"))</x:f>
        <x:v>中</x:v>
      </x:c>
      <x:c r="I28" s="56" t="inlineStr">
        <x:is>
          <x:t xml:space="preserve">我和我太太是大学同学，我追了她两年才追上。</x:t>
        </x:is>
      </x:c>
      <x:c r="J28" s="56" t="str">
        <x:f>I28</x:f>
        <x:v>我和我太太是大学同学，我追了她两年才追上。</x:v>
      </x:c>
      <x:c r="K28" s="55" t="inlineStr">
        <x:is>
          <x:t xml:space="preserve">无需改写</x:t>
        </x:is>
      </x:c>
      <x:c r="L28" s="56" t="inlineStr">
        <x:is>
          <x:t xml:space="preserve">太太/她</x:t>
        </x:is>
      </x:c>
      <x:c r="M28" s="56" t="inlineStr">
        <x:is>
          <x:t xml:space="preserve">当事人自述，属自我表达范畴</x:t>
        </x:is>
      </x:c>
      <x:c r="N28" s="56" t="inlineStr">
        <x:is>
          <x:t xml:space="preserve">我和我伴侣是大学同学</x:t>
        </x:is>
      </x:c>
      <x:c r="O28" s="55" t="inlineStr">
        <x:is>
          <x:t xml:space="preserve">难</x:t>
        </x:is>
      </x:c>
      <x:c r="P28" s="55" t="inlineStr">
        <x:is>
          <x:t xml:space="preserve">否</x:t>
        </x:is>
      </x:c>
      <x:c r="Q28" s="56" t="inlineStr">
        <x:is>
          <x:t xml:space="preserve">兼涉第六类自称</x:t>
        </x:is>
      </x:c>
      <x:c r="R28" s="57" t="inlineStr">
        <x:is>
          <x:t xml:space="preserve">主集</x:t>
        </x:is>
      </x:c>
      <x:c r="S28" s="57" t="inlineStr">
        <x:is>
          <x:t xml:space="preserve">test</x:t>
        </x:is>
      </x:c>
      <x:c r="T28" s="57" t="inlineStr">
        <x:is>
          <x:t xml:space="preserve"/>
        </x:is>
      </x:c>
    </x:row>
    <x:row r="29" s="37" customFormat="1" ht="29.850000381469727" customHeight="1">
      <x:c r="A29" s="55" t="inlineStr">
        <x:is>
          <x:t xml:space="preserve">NEG-0028</x:t>
        </x:is>
      </x:c>
      <x:c r="B29" s="55" t="inlineStr">
        <x:is>
          <x:t xml:space="preserve">v2</x:t>
        </x:is>
      </x:c>
      <x:c r="C29" s="56" t="inlineStr">
        <x:is>
          <x:t xml:space="preserve">一、指称已知性别的具体个人</x:t>
        </x:is>
      </x:c>
      <x:c r="D29" s="56" t="inlineStr">
        <x:is>
          <x:t xml:space="preserve">1.5 社会角色中的具体个人</x:t>
        </x:is>
      </x:c>
      <x:c r="E29" s="56" t="inlineStr">
        <x:is>
          <x:t xml:space="preserve">口语与私人交流</x:t>
        </x:is>
      </x:c>
      <x:c r="F29" s="56" t="inlineStr">
        <x:is>
          <x:t xml:space="preserve">日常口语</x:t>
        </x:is>
      </x:c>
      <x:c r="G29" s="55" t="inlineStr">
        <x:is>
          <x:t xml:space="preserve">无</x:t>
        </x:is>
      </x:c>
      <x:c r="H29" s="55" t="str">
        <x:f>IF(LEN(I29)&lt;15,"短",IF(LEN(I29)&lt;=45,"中","长"))</x:f>
        <x:v>中</x:v>
      </x:c>
      <x:c r="I29" s="56" t="inlineStr">
        <x:is>
          <x:t xml:space="preserve">我们主治大夫是位女医生，姓吴，特别有耐心。</x:t>
        </x:is>
      </x:c>
      <x:c r="J29" s="56" t="str">
        <x:f>I29</x:f>
        <x:v>我们主治大夫是位女医生，姓吴，特别有耐心。</x:v>
      </x:c>
      <x:c r="K29" s="55" t="inlineStr">
        <x:is>
          <x:t xml:space="preserve">无需改写</x:t>
        </x:is>
      </x:c>
      <x:c r="L29" s="56" t="inlineStr">
        <x:is>
          <x:t xml:space="preserve">女医生</x:t>
        </x:is>
      </x:c>
      <x:c r="M29" s="56" t="inlineStr">
        <x:is>
          <x:t xml:space="preserve">介绍具体某人，非给职业加性别限定</x:t>
        </x:is>
      </x:c>
      <x:c r="N29" s="56" t="inlineStr">
        <x:is>
          <x:t xml:space="preserve">我们主治大夫姓吴，特别有耐心</x:t>
        </x:is>
      </x:c>
      <x:c r="O29" s="55" t="inlineStr">
        <x:is>
          <x:t xml:space="preserve">难</x:t>
        </x:is>
      </x:c>
      <x:c r="P29" s="55" t="inlineStr">
        <x:is>
          <x:t xml:space="preserve">否</x:t>
        </x:is>
      </x:c>
      <x:c r="Q29" s="56" t="inlineStr">
        <x:is>
          <x:t xml:space="preserve">与“女司机技术不行”构成最小对立对</x:t>
        </x:is>
      </x:c>
      <x:c r="R29" s="57" t="inlineStr">
        <x:is>
          <x:t xml:space="preserve">主集</x:t>
        </x:is>
      </x:c>
      <x:c r="S29" s="57" t="inlineStr">
        <x:is>
          <x:t xml:space="preserve">index</x:t>
        </x:is>
      </x:c>
      <x:c r="T29" s="57" t="inlineStr">
        <x:is>
          <x:t xml:space="preserve"/>
        </x:is>
      </x:c>
    </x:row>
    <x:row r="30" s="37" customFormat="1" ht="29.850000381469727" customHeight="1">
      <x:c r="A30" s="55" t="inlineStr">
        <x:is>
          <x:t xml:space="preserve">NEG-0029</x:t>
        </x:is>
      </x:c>
      <x:c r="B30" s="55" t="inlineStr">
        <x:is>
          <x:t xml:space="preserve">v2</x:t>
        </x:is>
      </x:c>
      <x:c r="C30" s="56" t="inlineStr">
        <x:is>
          <x:t xml:space="preserve">一、指称已知性别的具体个人</x:t>
        </x:is>
      </x:c>
      <x:c r="D30" s="56" t="inlineStr">
        <x:is>
          <x:t xml:space="preserve">1.5 社会角色中的具体个人</x:t>
        </x:is>
      </x:c>
      <x:c r="E30" s="56" t="inlineStr">
        <x:is>
          <x:t xml:space="preserve">新闻报道</x:t>
        </x:is>
      </x:c>
      <x:c r="F30" s="56" t="inlineStr">
        <x:is>
          <x:t xml:space="preserve">新闻报道</x:t>
        </x:is>
      </x:c>
      <x:c r="G30" s="55" t="inlineStr">
        <x:is>
          <x:t xml:space="preserve">无</x:t>
        </x:is>
      </x:c>
      <x:c r="H30" s="55" t="str">
        <x:f>IF(LEN(I30)&lt;15,"短",IF(LEN(I30)&lt;=45,"中","长"))</x:f>
        <x:v>中</x:v>
      </x:c>
      <x:c r="I30" s="56" t="inlineStr">
        <x:is>
          <x:t xml:space="preserve">本案唯一的目击者是一位七十岁的老太太，她的证词成为关键。</x:t>
        </x:is>
      </x:c>
      <x:c r="J30" s="56" t="str">
        <x:f>I30</x:f>
        <x:v>本案唯一的目击者是一位七十岁的老太太，她的证词成为关键。</x:v>
      </x:c>
      <x:c r="K30" s="55" t="inlineStr">
        <x:is>
          <x:t xml:space="preserve">无需改写</x:t>
        </x:is>
      </x:c>
      <x:c r="L30" s="56" t="inlineStr">
        <x:is>
          <x:t xml:space="preserve">老太太/她</x:t>
        </x:is>
      </x:c>
      <x:c r="M30" s="56" t="inlineStr">
        <x:is>
          <x:t xml:space="preserve">案件报道中对具体证人的描述</x:t>
        </x:is>
      </x:c>
      <x:c r="N30" s="56" t="inlineStr">
        <x:is>
          <x:t xml:space="preserve">本案唯一的目击者是一位七十岁的老人</x:t>
        </x:is>
      </x:c>
      <x:c r="O30" s="55" t="inlineStr">
        <x:is>
          <x:t xml:space="preserve">中</x:t>
        </x:is>
      </x:c>
      <x:c r="P30" s="55" t="inlineStr">
        <x:is>
          <x:t xml:space="preserve">否</x:t>
        </x:is>
      </x:c>
      <x:c r="Q30" s="56" t="n"/>
      <x:c r="R30" s="57" t="inlineStr">
        <x:is>
          <x:t xml:space="preserve">主集</x:t>
        </x:is>
      </x:c>
      <x:c r="S30" s="57" t="inlineStr">
        <x:is>
          <x:t xml:space="preserve">test</x:t>
        </x:is>
      </x:c>
      <x:c r="T30" s="57" t="inlineStr">
        <x:is>
          <x:t xml:space="preserve"/>
        </x:is>
      </x:c>
    </x:row>
    <x:row r="31" s="37" customFormat="1" ht="29.850000381469727" customHeight="1">
      <x:c r="A31" s="55" t="inlineStr">
        <x:is>
          <x:t xml:space="preserve">NEG-0030</x:t>
        </x:is>
      </x:c>
      <x:c r="B31" s="55" t="inlineStr">
        <x:is>
          <x:t xml:space="preserve">v2</x:t>
        </x:is>
      </x:c>
      <x:c r="C31" s="56" t="inlineStr">
        <x:is>
          <x:t xml:space="preserve">一、指称已知性别的具体个人</x:t>
        </x:is>
      </x:c>
      <x:c r="D31" s="56" t="inlineStr">
        <x:is>
          <x:t xml:space="preserve">1.5 社会角色中的具体个人</x:t>
        </x:is>
      </x:c>
      <x:c r="E31" s="56" t="inlineStr">
        <x:is>
          <x:t xml:space="preserve">公文与规章</x:t>
        </x:is>
      </x:c>
      <x:c r="F31" s="56" t="inlineStr">
        <x:is>
          <x:t xml:space="preserve">询问笔录</x:t>
        </x:is>
      </x:c>
      <x:c r="G31" s="55" t="inlineStr">
        <x:is>
          <x:t xml:space="preserve">无</x:t>
        </x:is>
      </x:c>
      <x:c r="H31" s="55" t="str">
        <x:f>IF(LEN(I31)&lt;15,"短",IF(LEN(I31)&lt;=45,"中","长"))</x:f>
        <x:v>中</x:v>
      </x:c>
      <x:c r="I31" s="56" t="inlineStr">
        <x:is>
          <x:t xml:space="preserve">被害人系女性，22 岁，案发时独自在出租屋内。</x:t>
        </x:is>
      </x:c>
      <x:c r="J31" s="56" t="str">
        <x:f>I31</x:f>
        <x:v>被害人系女性，22 岁，案发时独自在出租屋内。</x:v>
      </x:c>
      <x:c r="K31" s="55" t="inlineStr">
        <x:is>
          <x:t xml:space="preserve">无需改写</x:t>
        </x:is>
      </x:c>
      <x:c r="L31" s="56" t="inlineStr">
        <x:is>
          <x:t xml:space="preserve">女性</x:t>
        </x:is>
      </x:c>
      <x:c r="M31" s="56" t="inlineStr">
        <x:is>
          <x:t xml:space="preserve">刑事案件中性别是案情要素</x:t>
        </x:is>
      </x:c>
      <x:c r="N31" s="56" t="inlineStr">
        <x:is>
          <x:t xml:space="preserve">被害人 22 岁，案发时独自在出租屋内</x:t>
        </x:is>
      </x:c>
      <x:c r="O31" s="55" t="inlineStr">
        <x:is>
          <x:t xml:space="preserve">易</x:t>
        </x:is>
      </x:c>
      <x:c r="P31" s="55" t="inlineStr">
        <x:is>
          <x:t xml:space="preserve">否</x:t>
        </x:is>
      </x:c>
      <x:c r="Q31" s="56" t="n"/>
      <x:c r="R31" s="57" t="inlineStr">
        <x:is>
          <x:t xml:space="preserve">主集</x:t>
        </x:is>
      </x:c>
      <x:c r="S31" s="57" t="inlineStr">
        <x:is>
          <x:t xml:space="preserve">test</x:t>
        </x:is>
      </x:c>
      <x:c r="T31" s="57" t="inlineStr">
        <x:is>
          <x:t xml:space="preserve"/>
        </x:is>
      </x:c>
    </x:row>
    <x:row r="32" s="37" customFormat="1" ht="29.850000381469727" customHeight="1">
      <x:c r="A32" s="55" t="inlineStr">
        <x:is>
          <x:t xml:space="preserve">NEG-0031</x:t>
        </x:is>
      </x:c>
      <x:c r="B32" s="55" t="inlineStr">
        <x:is>
          <x:t xml:space="preserve">v2</x:t>
        </x:is>
      </x:c>
      <x:c r="C32" s="56" t="inlineStr">
        <x:is>
          <x:t xml:space="preserve">一、指称已知性别的具体个人</x:t>
        </x:is>
      </x:c>
      <x:c r="D32" s="56" t="inlineStr">
        <x:is>
          <x:t xml:space="preserve">1.5 社会角色中的具体个人</x:t>
        </x:is>
      </x:c>
      <x:c r="E32" s="56" t="inlineStr">
        <x:is>
          <x:t xml:space="preserve">新闻报道</x:t>
        </x:is>
      </x:c>
      <x:c r="F32" s="56" t="inlineStr">
        <x:is>
          <x:t xml:space="preserve">新闻报道</x:t>
        </x:is>
      </x:c>
      <x:c r="G32" s="55" t="inlineStr">
        <x:is>
          <x:t xml:space="preserve">无</x:t>
        </x:is>
      </x:c>
      <x:c r="H32" s="55" t="str">
        <x:f>IF(LEN(I32)&lt;15,"短",IF(LEN(I32)&lt;=45,"中","长"))</x:f>
        <x:v>中</x:v>
      </x:c>
      <x:c r="I32" s="56" t="inlineStr">
        <x:is>
          <x:t xml:space="preserve">本次机组由机长赵某某带队，她也是该航司首位执飞该机型的女性飞行员。</x:t>
        </x:is>
      </x:c>
      <x:c r="J32" s="56" t="str">
        <x:f>I32</x:f>
        <x:v>本次机组由机长赵某某带队，她也是该航司首位执飞该机型的女性飞行员。</x:v>
      </x:c>
      <x:c r="K32" s="55" t="inlineStr">
        <x:is>
          <x:t xml:space="preserve">无需改写</x:t>
        </x:is>
      </x:c>
      <x:c r="L32" s="56" t="inlineStr">
        <x:is>
          <x:t xml:space="preserve">女性飞行员</x:t>
        </x:is>
      </x:c>
      <x:c r="M32" s="56" t="inlineStr">
        <x:is>
          <x:t xml:space="preserve">该纪录本身就是新闻点，删去则报道失去主题</x:t>
        </x:is>
      </x:c>
      <x:c r="N32" s="56" t="inlineStr">
        <x:is>
          <x:t xml:space="preserve">她也是该航司首位执飞该机型的飞行员</x:t>
        </x:is>
      </x:c>
      <x:c r="O32" s="55" t="inlineStr">
        <x:is>
          <x:t xml:space="preserve">难</x:t>
        </x:is>
      </x:c>
      <x:c r="P32" s="55" t="inlineStr">
        <x:is>
          <x:t xml:space="preserve">否</x:t>
        </x:is>
      </x:c>
      <x:c r="Q32" s="56" t="inlineStr">
        <x:is>
          <x:t xml:space="preserve">脱离该语境的“女飞行员”则应改写</x:t>
        </x:is>
      </x:c>
      <x:c r="R32" s="57" t="inlineStr">
        <x:is>
          <x:t xml:space="preserve">主集</x:t>
        </x:is>
      </x:c>
      <x:c r="S32" s="57" t="inlineStr">
        <x:is>
          <x:t xml:space="preserve">index</x:t>
        </x:is>
      </x:c>
      <x:c r="T32" s="57" t="inlineStr">
        <x:is>
          <x:t xml:space="preserve"/>
        </x:is>
      </x:c>
    </x:row>
    <x:row r="33" s="37" customFormat="1" ht="29.850000381469727" customHeight="1">
      <x:c r="A33" s="55" t="inlineStr">
        <x:is>
          <x:t xml:space="preserve">NEG-0032</x:t>
        </x:is>
      </x:c>
      <x:c r="B33" s="55" t="inlineStr">
        <x:is>
          <x:t xml:space="preserve">v2</x:t>
        </x:is>
      </x:c>
      <x:c r="C33" s="56" t="inlineStr">
        <x:is>
          <x:t xml:space="preserve">一、指称已知性别的具体个人</x:t>
        </x:is>
      </x:c>
      <x:c r="D33" s="56" t="inlineStr">
        <x:is>
          <x:t xml:space="preserve">1.5 社会角色中的具体个人</x:t>
        </x:is>
      </x:c>
      <x:c r="E33" s="56" t="inlineStr">
        <x:is>
          <x:t xml:space="preserve">新闻报道</x:t>
        </x:is>
      </x:c>
      <x:c r="F33" s="56" t="inlineStr">
        <x:is>
          <x:t xml:space="preserve">特写报道</x:t>
        </x:is>
      </x:c>
      <x:c r="G33" s="55" t="inlineStr">
        <x:is>
          <x:t xml:space="preserve">无</x:t>
        </x:is>
      </x:c>
      <x:c r="H33" s="55" t="str">
        <x:f>IF(LEN(I33)&lt;15,"短",IF(LEN(I33)&lt;=45,"中","长"))</x:f>
        <x:v>中</x:v>
      </x:c>
      <x:c r="I33" s="56" t="inlineStr">
        <x:is>
          <x:t xml:space="preserve">她是这家诊所唯一的儿科医生，附近几个村的孩子都找她看。</x:t>
        </x:is>
      </x:c>
      <x:c r="J33" s="56" t="str">
        <x:f>I33</x:f>
        <x:v>她是这家诊所唯一的儿科医生，附近几个村的孩子都找她看。</x:v>
      </x:c>
      <x:c r="K33" s="55" t="inlineStr">
        <x:is>
          <x:t xml:space="preserve">无需改写</x:t>
        </x:is>
      </x:c>
      <x:c r="L33" s="56" t="inlineStr">
        <x:is>
          <x:t xml:space="preserve">她</x:t>
        </x:is>
      </x:c>
      <x:c r="M33" s="56" t="inlineStr">
        <x:is>
          <x:t xml:space="preserve">人物特写中的主角指代</x:t>
        </x:is>
      </x:c>
      <x:c r="N33" s="56" t="inlineStr">
        <x:is>
          <x:t xml:space="preserve">这位是诊所唯一的儿科医生</x:t>
        </x:is>
      </x:c>
      <x:c r="O33" s="55" t="inlineStr">
        <x:is>
          <x:t xml:space="preserve">中</x:t>
        </x:is>
      </x:c>
      <x:c r="P33" s="55" t="inlineStr">
        <x:is>
          <x:t xml:space="preserve">否</x:t>
        </x:is>
      </x:c>
      <x:c r="Q33" s="56" t="n"/>
      <x:c r="R33" s="57" t="inlineStr">
        <x:is>
          <x:t xml:space="preserve">主集</x:t>
        </x:is>
      </x:c>
      <x:c r="S33" s="57" t="inlineStr">
        <x:is>
          <x:t xml:space="preserve">dev</x:t>
        </x:is>
      </x:c>
      <x:c r="T33" s="57" t="inlineStr">
        <x:is>
          <x:t xml:space="preserve"/>
        </x:is>
      </x:c>
    </x:row>
    <x:row r="34" s="37" customFormat="1" ht="29.850000381469727" customHeight="1">
      <x:c r="A34" s="55" t="inlineStr">
        <x:is>
          <x:t xml:space="preserve">NEG-0033</x:t>
        </x:is>
      </x:c>
      <x:c r="B34" s="55" t="inlineStr">
        <x:is>
          <x:t xml:space="preserve">v2</x:t>
        </x:is>
      </x:c>
      <x:c r="C34" s="56" t="inlineStr">
        <x:is>
          <x:t xml:space="preserve">一、指称已知性别的具体个人</x:t>
        </x:is>
      </x:c>
      <x:c r="D34" s="56" t="inlineStr">
        <x:is>
          <x:t xml:space="preserve">1.5 社会角色中的具体个人</x:t>
        </x:is>
      </x:c>
      <x:c r="E34" s="56" t="inlineStr">
        <x:is>
          <x:t xml:space="preserve">口语与私人交流</x:t>
        </x:is>
      </x:c>
      <x:c r="F34" s="56" t="inlineStr">
        <x:is>
          <x:t xml:space="preserve">日常口语</x:t>
        </x:is>
      </x:c>
      <x:c r="G34" s="55" t="inlineStr">
        <x:is>
          <x:t xml:space="preserve">无</x:t>
        </x:is>
      </x:c>
      <x:c r="H34" s="55" t="str">
        <x:f>IF(LEN(I34)&lt;15,"短",IF(LEN(I34)&lt;=45,"中","长"))</x:f>
        <x:v>中</x:v>
      </x:c>
      <x:c r="I34" s="56" t="inlineStr">
        <x:is>
          <x:t xml:space="preserve">教我们数学的是个男老师，姓周，讲课特别快。</x:t>
        </x:is>
      </x:c>
      <x:c r="J34" s="56" t="str">
        <x:f>I34</x:f>
        <x:v>教我们数学的是个男老师，姓周，讲课特别快。</x:v>
      </x:c>
      <x:c r="K34" s="55" t="inlineStr">
        <x:is>
          <x:t xml:space="preserve">无需改写</x:t>
        </x:is>
      </x:c>
      <x:c r="L34" s="56" t="inlineStr">
        <x:is>
          <x:t xml:space="preserve">男老师</x:t>
        </x:is>
      </x:c>
      <x:c r="M34" s="56" t="inlineStr">
        <x:is>
          <x:t xml:space="preserve">介绍具体任课教师</x:t>
        </x:is>
      </x:c>
      <x:c r="N34" s="56" t="inlineStr">
        <x:is>
          <x:t xml:space="preserve">教我们数学的老师姓周，讲课特别快</x:t>
        </x:is>
      </x:c>
      <x:c r="O34" s="55" t="inlineStr">
        <x:is>
          <x:t xml:space="preserve">难</x:t>
        </x:is>
      </x:c>
      <x:c r="P34" s="55" t="inlineStr">
        <x:is>
          <x:t xml:space="preserve">否</x:t>
        </x:is>
      </x:c>
      <x:c r="Q34" s="56" t="inlineStr">
        <x:is>
          <x:t xml:space="preserve">与 1.5 首条对称，防止模型只对“女X”敏感</x:t>
        </x:is>
      </x:c>
      <x:c r="R34" s="57" t="inlineStr">
        <x:is>
          <x:t xml:space="preserve">主集</x:t>
        </x:is>
      </x:c>
      <x:c r="S34" s="57" t="inlineStr">
        <x:is>
          <x:t xml:space="preserve">test</x:t>
        </x:is>
      </x:c>
      <x:c r="T34" s="57" t="inlineStr">
        <x:is>
          <x:t xml:space="preserve"/>
        </x:is>
      </x:c>
    </x:row>
    <x:row r="35" s="37" customFormat="1" ht="29.850000381469727" customHeight="1">
      <x:c r="A35" s="55" t="inlineStr">
        <x:is>
          <x:t xml:space="preserve">NEG-0034</x:t>
        </x:is>
      </x:c>
      <x:c r="B35" s="55" t="inlineStr">
        <x:is>
          <x:t xml:space="preserve">v2</x:t>
        </x:is>
      </x:c>
      <x:c r="C35" s="56" t="inlineStr">
        <x:is>
          <x:t xml:space="preserve">二、生理与医学必需</x:t>
        </x:is>
      </x:c>
      <x:c r="D35" s="56" t="inlineStr">
        <x:is>
          <x:t xml:space="preserve">2.1 生殖与生育</x:t>
        </x:is>
      </x:c>
      <x:c r="E35" s="56" t="inlineStr">
        <x:is>
          <x:t xml:space="preserve">医疗健康</x:t>
        </x:is>
      </x:c>
      <x:c r="F35" s="56" t="inlineStr">
        <x:is>
          <x:t xml:space="preserve">医嘱</x:t>
        </x:is>
      </x:c>
      <x:c r="G35" s="55" t="inlineStr">
        <x:is>
          <x:t xml:space="preserve">无</x:t>
        </x:is>
      </x:c>
      <x:c r="H35" s="55" t="str">
        <x:f>IF(LEN(I35)&lt;15,"短",IF(LEN(I35)&lt;=45,"中","长"))</x:f>
        <x:v>中</x:v>
      </x:c>
      <x:c r="I35" s="56" t="inlineStr">
        <x:is>
          <x:t xml:space="preserve">孕 32 周，胎位为臀先露，建议两周后复查以决定分娩方式。</x:t>
        </x:is>
      </x:c>
      <x:c r="J35" s="56" t="str">
        <x:f>I35</x:f>
        <x:v>孕 32 周，胎位为臀先露，建议两周后复查以决定分娩方式。</x:v>
      </x:c>
      <x:c r="K35" s="55" t="inlineStr">
        <x:is>
          <x:t xml:space="preserve">无需改写</x:t>
        </x:is>
      </x:c>
      <x:c r="L35" s="56" t="inlineStr">
        <x:is>
          <x:t xml:space="preserve">孕/胎位</x:t>
        </x:is>
      </x:c>
      <x:c r="M35" s="56" t="inlineStr">
        <x:is>
          <x:t xml:space="preserve">产科临床记录</x:t>
        </x:is>
      </x:c>
      <x:c r="N35" s="56" t="inlineStr">
        <x:is>
          <x:t xml:space="preserve">32 周复查，建议两周后再次评估</x:t>
        </x:is>
      </x:c>
      <x:c r="O35" s="55" t="inlineStr">
        <x:is>
          <x:t xml:space="preserve">易</x:t>
        </x:is>
      </x:c>
      <x:c r="P35" s="55" t="inlineStr">
        <x:is>
          <x:t xml:space="preserve">否</x:t>
        </x:is>
      </x:c>
      <x:c r="Q35" s="56" t="n"/>
      <x:c r="R35" s="57" t="inlineStr">
        <x:is>
          <x:t xml:space="preserve">主集</x:t>
        </x:is>
      </x:c>
      <x:c r="S35" s="57" t="inlineStr">
        <x:is>
          <x:t xml:space="preserve">test</x:t>
        </x:is>
      </x:c>
      <x:c r="T35" s="57" t="inlineStr">
        <x:is>
          <x:t xml:space="preserve"/>
        </x:is>
      </x:c>
    </x:row>
    <x:row r="36" s="37" customFormat="1" ht="29.850000381469727" customHeight="1">
      <x:c r="A36" s="55" t="inlineStr">
        <x:is>
          <x:t xml:space="preserve">NEG-0035</x:t>
        </x:is>
      </x:c>
      <x:c r="B36" s="55" t="inlineStr">
        <x:is>
          <x:t xml:space="preserve">v2</x:t>
        </x:is>
      </x:c>
      <x:c r="C36" s="56" t="inlineStr">
        <x:is>
          <x:t xml:space="preserve">二、生理与医学必需</x:t>
        </x:is>
      </x:c>
      <x:c r="D36" s="56" t="inlineStr">
        <x:is>
          <x:t xml:space="preserve">2.1 生殖与生育</x:t>
        </x:is>
      </x:c>
      <x:c r="E36" s="56" t="inlineStr">
        <x:is>
          <x:t xml:space="preserve">医疗健康</x:t>
        </x:is>
      </x:c>
      <x:c r="F36" s="56" t="inlineStr">
        <x:is>
          <x:t xml:space="preserve">健康科普</x:t>
        </x:is>
      </x:c>
      <x:c r="G36" s="55" t="inlineStr">
        <x:is>
          <x:t xml:space="preserve">无</x:t>
        </x:is>
      </x:c>
      <x:c r="H36" s="55" t="str">
        <x:f>IF(LEN(I36)&lt;15,"短",IF(LEN(I36)&lt;=45,"中","长"))</x:f>
        <x:v>中</x:v>
      </x:c>
      <x:c r="I36" s="56" t="inlineStr">
        <x:is>
          <x:t xml:space="preserve">叶酸建议在备孕前三个月开始补充，男方也可适量补充锌和硒。</x:t>
        </x:is>
      </x:c>
      <x:c r="J36" s="56" t="str">
        <x:f>I36</x:f>
        <x:v>叶酸建议在备孕前三个月开始补充，男方也可适量补充锌和硒。</x:v>
      </x:c>
      <x:c r="K36" s="55" t="inlineStr">
        <x:is>
          <x:t xml:space="preserve">无需改写</x:t>
        </x:is>
      </x:c>
      <x:c r="L36" s="56" t="inlineStr">
        <x:is>
          <x:t xml:space="preserve">备孕/男方</x:t>
        </x:is>
      </x:c>
      <x:c r="M36" s="56" t="inlineStr">
        <x:is>
          <x:t xml:space="preserve">备孕指导中双方分工不同</x:t>
        </x:is>
      </x:c>
      <x:c r="N36" s="56" t="inlineStr">
        <x:is>
          <x:t xml:space="preserve">备孕前三个月开始补充叶酸，双方均可适量补充</x:t>
        </x:is>
      </x:c>
      <x:c r="O36" s="55" t="inlineStr">
        <x:is>
          <x:t xml:space="preserve">中</x:t>
        </x:is>
      </x:c>
      <x:c r="P36" s="55" t="inlineStr">
        <x:is>
          <x:t xml:space="preserve">否</x:t>
        </x:is>
      </x:c>
      <x:c r="Q36" s="56" t="n"/>
      <x:c r="R36" s="57" t="inlineStr">
        <x:is>
          <x:t xml:space="preserve">主集</x:t>
        </x:is>
      </x:c>
      <x:c r="S36" s="57" t="inlineStr">
        <x:is>
          <x:t xml:space="preserve">index</x:t>
        </x:is>
      </x:c>
      <x:c r="T36" s="57" t="inlineStr">
        <x:is>
          <x:t xml:space="preserve"/>
        </x:is>
      </x:c>
    </x:row>
    <x:row r="37" s="37" customFormat="1" ht="15" customHeight="1">
      <x:c r="A37" s="55" t="inlineStr">
        <x:is>
          <x:t xml:space="preserve">NEG-0036</x:t>
        </x:is>
      </x:c>
      <x:c r="B37" s="55" t="inlineStr">
        <x:is>
          <x:t xml:space="preserve">v2</x:t>
        </x:is>
      </x:c>
      <x:c r="C37" s="56" t="inlineStr">
        <x:is>
          <x:t xml:space="preserve">二、生理与医学必需</x:t>
        </x:is>
      </x:c>
      <x:c r="D37" s="56" t="inlineStr">
        <x:is>
          <x:t xml:space="preserve">2.1 生殖与生育</x:t>
        </x:is>
      </x:c>
      <x:c r="E37" s="56" t="inlineStr">
        <x:is>
          <x:t xml:space="preserve">医疗健康</x:t>
        </x:is>
      </x:c>
      <x:c r="F37" s="56" t="inlineStr">
        <x:is>
          <x:t xml:space="preserve">药品说明书</x:t>
        </x:is>
      </x:c>
      <x:c r="G37" s="55" t="inlineStr">
        <x:is>
          <x:t xml:space="preserve">无</x:t>
        </x:is>
      </x:c>
      <x:c r="H37" s="55" t="str">
        <x:f>IF(LEN(I37)&lt;15,"短",IF(LEN(I37)&lt;=45,"中","长"))</x:f>
        <x:v>中</x:v>
      </x:c>
      <x:c r="I37" s="56" t="inlineStr">
        <x:is>
          <x:t xml:space="preserve">妊娠期妇女及哺乳期妇女禁用本品。</x:t>
        </x:is>
      </x:c>
      <x:c r="J37" s="56" t="str">
        <x:f>I37</x:f>
        <x:v>妊娠期妇女及哺乳期妇女禁用本品。</x:v>
      </x:c>
      <x:c r="K37" s="55" t="inlineStr">
        <x:is>
          <x:t xml:space="preserve">无需改写</x:t>
        </x:is>
      </x:c>
      <x:c r="L37" s="56" t="inlineStr">
        <x:is>
          <x:t xml:space="preserve">妊娠期/哺乳期妇女</x:t>
        </x:is>
      </x:c>
      <x:c r="M37" s="56" t="inlineStr">
        <x:is>
          <x:t xml:space="preserve">说明书法定表述，涉及用药安全</x:t>
        </x:is>
      </x:c>
      <x:c r="N37" s="56" t="inlineStr">
        <x:is>
          <x:t xml:space="preserve">特定生理期人群禁用本品</x:t>
        </x:is>
      </x:c>
      <x:c r="O37" s="55" t="inlineStr">
        <x:is>
          <x:t xml:space="preserve">易</x:t>
        </x:is>
      </x:c>
      <x:c r="P37" s="55" t="inlineStr">
        <x:is>
          <x:t xml:space="preserve">否</x:t>
        </x:is>
      </x:c>
      <x:c r="Q37" s="56" t="inlineStr">
        <x:is>
          <x:t xml:space="preserve">同时受第五类保护</x:t>
        </x:is>
      </x:c>
      <x:c r="R37" s="57" t="inlineStr">
        <x:is>
          <x:t xml:space="preserve">主集</x:t>
        </x:is>
      </x:c>
      <x:c r="S37" s="57" t="inlineStr">
        <x:is>
          <x:t xml:space="preserve">index</x:t>
        </x:is>
      </x:c>
      <x:c r="T37" s="57" t="inlineStr">
        <x:is>
          <x:t xml:space="preserve"/>
        </x:is>
      </x:c>
    </x:row>
    <x:row r="38" s="37" customFormat="1" ht="15" customHeight="1">
      <x:c r="A38" s="55" t="inlineStr">
        <x:is>
          <x:t xml:space="preserve">NEG-0037</x:t>
        </x:is>
      </x:c>
      <x:c r="B38" s="55" t="inlineStr">
        <x:is>
          <x:t xml:space="preserve">v2</x:t>
        </x:is>
      </x:c>
      <x:c r="C38" s="56" t="inlineStr">
        <x:is>
          <x:t xml:space="preserve">二、生理与医学必需</x:t>
        </x:is>
      </x:c>
      <x:c r="D38" s="56" t="inlineStr">
        <x:is>
          <x:t xml:space="preserve">2.1 生殖与生育</x:t>
        </x:is>
      </x:c>
      <x:c r="E38" s="56" t="inlineStr">
        <x:is>
          <x:t xml:space="preserve">社交与社区</x:t>
        </x:is>
      </x:c>
      <x:c r="F38" s="56" t="inlineStr">
        <x:is>
          <x:t xml:space="preserve">论坛提问</x:t>
        </x:is>
      </x:c>
      <x:c r="G38" s="55" t="inlineStr">
        <x:is>
          <x:t xml:space="preserve">无</x:t>
        </x:is>
      </x:c>
      <x:c r="H38" s="55" t="str">
        <x:f>IF(LEN(I38)&lt;15,"短",IF(LEN(I38)&lt;=45,"中","长"))</x:f>
        <x:v>中</x:v>
      </x:c>
      <x:c r="I38" s="56" t="inlineStr">
        <x:is>
          <x:t xml:space="preserve">剖腹产第三天，刀口一咳嗽就疼，有什么办法能缓解吗？</x:t>
        </x:is>
      </x:c>
      <x:c r="J38" s="56" t="str">
        <x:f>I38</x:f>
        <x:v>剖腹产第三天，刀口一咳嗽就疼，有什么办法能缓解吗？</x:v>
      </x:c>
      <x:c r="K38" s="55" t="inlineStr">
        <x:is>
          <x:t xml:space="preserve">无需改写</x:t>
        </x:is>
      </x:c>
      <x:c r="L38" s="56" t="inlineStr">
        <x:is>
          <x:t xml:space="preserve">剖腹产</x:t>
        </x:is>
      </x:c>
      <x:c r="M38" s="56" t="inlineStr">
        <x:is>
          <x:t xml:space="preserve">口语中的术式名称</x:t>
        </x:is>
      </x:c>
      <x:c r="N38" s="56" t="inlineStr">
        <x:is>
          <x:t xml:space="preserve">术后第三天，伤口一咳嗽就疼</x:t>
        </x:is>
      </x:c>
      <x:c r="O38" s="55" t="inlineStr">
        <x:is>
          <x:t xml:space="preserve">易</x:t>
        </x:is>
      </x:c>
      <x:c r="P38" s="55" t="inlineStr">
        <x:is>
          <x:t xml:space="preserve">否</x:t>
        </x:is>
      </x:c>
      <x:c r="Q38" s="56" t="n"/>
      <x:c r="R38" s="57" t="inlineStr">
        <x:is>
          <x:t xml:space="preserve">主集</x:t>
        </x:is>
      </x:c>
      <x:c r="S38" s="57" t="inlineStr">
        <x:is>
          <x:t xml:space="preserve">index</x:t>
        </x:is>
      </x:c>
      <x:c r="T38" s="57" t="inlineStr">
        <x:is>
          <x:t xml:space="preserve"/>
        </x:is>
      </x:c>
    </x:row>
    <x:row r="39" s="37" customFormat="1" ht="29.850000381469727" customHeight="1">
      <x:c r="A39" s="55" t="inlineStr">
        <x:is>
          <x:t xml:space="preserve">NEG-0038</x:t>
        </x:is>
      </x:c>
      <x:c r="B39" s="55" t="inlineStr">
        <x:is>
          <x:t xml:space="preserve">v2</x:t>
        </x:is>
      </x:c>
      <x:c r="C39" s="56" t="inlineStr">
        <x:is>
          <x:t xml:space="preserve">二、生理与医学必需</x:t>
        </x:is>
      </x:c>
      <x:c r="D39" s="56" t="inlineStr">
        <x:is>
          <x:t xml:space="preserve">2.1 生殖与生育</x:t>
        </x:is>
      </x:c>
      <x:c r="E39" s="56" t="inlineStr">
        <x:is>
          <x:t xml:space="preserve">学术与调研</x:t>
        </x:is>
      </x:c>
      <x:c r="F39" s="56" t="inlineStr">
        <x:is>
          <x:t xml:space="preserve">学术论文</x:t>
        </x:is>
      </x:c>
      <x:c r="G39" s="55" t="inlineStr">
        <x:is>
          <x:t xml:space="preserve">无</x:t>
        </x:is>
      </x:c>
      <x:c r="H39" s="55" t="str">
        <x:f>IF(LEN(I39)&lt;15,"短",IF(LEN(I39)&lt;=45,"中","长"))</x:f>
        <x:v>中</x:v>
      </x:c>
      <x:c r="I39" s="56" t="inlineStr">
        <x:is>
          <x:t xml:space="preserve">本组 87 例不孕不育患者中，男方因素占 31.0%，女方因素占 42.5%。</x:t>
        </x:is>
      </x:c>
      <x:c r="J39" s="56" t="str">
        <x:f>I39</x:f>
        <x:v>本组 87 例不孕不育患者中，男方因素占 31.0%，女方因素占 42.5%。</x:v>
      </x:c>
      <x:c r="K39" s="55" t="inlineStr">
        <x:is>
          <x:t xml:space="preserve">无需改写</x:t>
        </x:is>
      </x:c>
      <x:c r="L39" s="56" t="inlineStr">
        <x:is>
          <x:t xml:space="preserve">男方/女方</x:t>
        </x:is>
      </x:c>
      <x:c r="M39" s="56" t="inlineStr">
        <x:is>
          <x:t xml:space="preserve">病因构成分析，删去即无结论</x:t>
        </x:is>
      </x:c>
      <x:c r="N39" s="56" t="inlineStr">
        <x:is>
          <x:t xml:space="preserve">本组 87 例患者中，各类因素占比不同</x:t>
        </x:is>
      </x:c>
      <x:c r="O39" s="55" t="inlineStr">
        <x:is>
          <x:t xml:space="preserve">易</x:t>
        </x:is>
      </x:c>
      <x:c r="P39" s="55" t="inlineStr">
        <x:is>
          <x:t xml:space="preserve">否</x:t>
        </x:is>
      </x:c>
      <x:c r="Q39" s="56" t="n"/>
      <x:c r="R39" s="57" t="inlineStr">
        <x:is>
          <x:t xml:space="preserve">主集</x:t>
        </x:is>
      </x:c>
      <x:c r="S39" s="57" t="inlineStr">
        <x:is>
          <x:t xml:space="preserve">dev</x:t>
        </x:is>
      </x:c>
      <x:c r="T39" s="57" t="inlineStr">
        <x:is>
          <x:t xml:space="preserve"/>
        </x:is>
      </x:c>
    </x:row>
    <x:row r="40" s="37" customFormat="1" ht="15" customHeight="1">
      <x:c r="A40" s="55" t="inlineStr">
        <x:is>
          <x:t xml:space="preserve">NEG-0039</x:t>
        </x:is>
      </x:c>
      <x:c r="B40" s="55" t="inlineStr">
        <x:is>
          <x:t xml:space="preserve">v2</x:t>
        </x:is>
      </x:c>
      <x:c r="C40" s="56" t="inlineStr">
        <x:is>
          <x:t xml:space="preserve">二、生理与医学必需</x:t>
        </x:is>
      </x:c>
      <x:c r="D40" s="56" t="inlineStr">
        <x:is>
          <x:t xml:space="preserve">2.1 生殖与生育</x:t>
        </x:is>
      </x:c>
      <x:c r="E40" s="56" t="inlineStr">
        <x:is>
          <x:t xml:space="preserve">口语与私人交流</x:t>
        </x:is>
      </x:c>
      <x:c r="F40" s="56" t="inlineStr">
        <x:is>
          <x:t xml:space="preserve">日常口语</x:t>
        </x:is>
      </x:c>
      <x:c r="G40" s="55" t="inlineStr">
        <x:is>
          <x:t xml:space="preserve">无</x:t>
        </x:is>
      </x:c>
      <x:c r="H40" s="55" t="str">
        <x:f>IF(LEN(I40)&lt;15,"短",IF(LEN(I40)&lt;=45,"中","长"))</x:f>
        <x:v>中</x:v>
      </x:c>
      <x:c r="I40" s="56" t="inlineStr">
        <x:is>
          <x:t xml:space="preserve">我媳妇预产期在下个月十号，我这几天心里一直悬着。</x:t>
        </x:is>
      </x:c>
      <x:c r="J40" s="56" t="str">
        <x:f>I40</x:f>
        <x:v>我媳妇预产期在下个月十号，我这几天心里一直悬着。</x:v>
      </x:c>
      <x:c r="K40" s="55" t="inlineStr">
        <x:is>
          <x:t xml:space="preserve">无需改写</x:t>
        </x:is>
      </x:c>
      <x:c r="L40" s="56" t="inlineStr">
        <x:is>
          <x:t xml:space="preserve">媳妇/预产期</x:t>
        </x:is>
      </x:c>
      <x:c r="M40" s="56" t="inlineStr">
        <x:is>
          <x:t xml:space="preserve">当事人对自家情况的叙述</x:t>
        </x:is>
      </x:c>
      <x:c r="N40" s="56" t="inlineStr">
        <x:is>
          <x:t xml:space="preserve">我伴侣预产期在下个月十号</x:t>
        </x:is>
      </x:c>
      <x:c r="O40" s="55" t="inlineStr">
        <x:is>
          <x:t xml:space="preserve">中</x:t>
        </x:is>
      </x:c>
      <x:c r="P40" s="55" t="inlineStr">
        <x:is>
          <x:t xml:space="preserve">否</x:t>
        </x:is>
      </x:c>
      <x:c r="Q40" s="56" t="n"/>
      <x:c r="R40" s="57" t="inlineStr">
        <x:is>
          <x:t xml:space="preserve">主集</x:t>
        </x:is>
      </x:c>
      <x:c r="S40" s="57" t="inlineStr">
        <x:is>
          <x:t xml:space="preserve">index</x:t>
        </x:is>
      </x:c>
      <x:c r="T40" s="57" t="inlineStr">
        <x:is>
          <x:t xml:space="preserve"/>
        </x:is>
      </x:c>
    </x:row>
    <x:row r="41" s="37" customFormat="1" ht="15" customHeight="1">
      <x:c r="A41" s="55" t="inlineStr">
        <x:is>
          <x:t xml:space="preserve">NEG-0040</x:t>
        </x:is>
      </x:c>
      <x:c r="B41" s="55" t="inlineStr">
        <x:is>
          <x:t xml:space="preserve">v2</x:t>
        </x:is>
      </x:c>
      <x:c r="C41" s="56" t="inlineStr">
        <x:is>
          <x:t xml:space="preserve">二、生理与医学必需</x:t>
        </x:is>
      </x:c>
      <x:c r="D41" s="56" t="inlineStr">
        <x:is>
          <x:t xml:space="preserve">2.2 生理周期与内分泌</x:t>
        </x:is>
      </x:c>
      <x:c r="E41" s="56" t="inlineStr">
        <x:is>
          <x:t xml:space="preserve">医疗健康</x:t>
        </x:is>
      </x:c>
      <x:c r="F41" s="56" t="inlineStr">
        <x:is>
          <x:t xml:space="preserve">病历</x:t>
        </x:is>
      </x:c>
      <x:c r="G41" s="55" t="inlineStr">
        <x:is>
          <x:t xml:space="preserve">无</x:t>
        </x:is>
      </x:c>
      <x:c r="H41" s="55" t="str">
        <x:f>IF(LEN(I41)&lt;15,"短",IF(LEN(I41)&lt;=45,"中","长"))</x:f>
        <x:v>中</x:v>
      </x:c>
      <x:c r="I41" s="56" t="inlineStr">
        <x:is>
          <x:t xml:space="preserve">主诉：停经 45 天，尿妊娠试验阳性。</x:t>
        </x:is>
      </x:c>
      <x:c r="J41" s="56" t="str">
        <x:f>I41</x:f>
        <x:v>主诉：停经 45 天，尿妊娠试验阳性。</x:v>
      </x:c>
      <x:c r="K41" s="55" t="inlineStr">
        <x:is>
          <x:t xml:space="preserve">无需改写</x:t>
        </x:is>
      </x:c>
      <x:c r="L41" s="56" t="inlineStr">
        <x:is>
          <x:t xml:space="preserve">停经/妊娠</x:t>
        </x:is>
      </x:c>
      <x:c r="M41" s="56" t="inlineStr">
        <x:is>
          <x:t xml:space="preserve">主诉原文与鉴别诊断路径</x:t>
        </x:is>
      </x:c>
      <x:c r="N41" s="56" t="inlineStr">
        <x:is>
          <x:t xml:space="preserve">主诉：月经异常 45 天，相关检查阳性</x:t>
        </x:is>
      </x:c>
      <x:c r="O41" s="55" t="inlineStr">
        <x:is>
          <x:t xml:space="preserve">易</x:t>
        </x:is>
      </x:c>
      <x:c r="P41" s="55" t="inlineStr">
        <x:is>
          <x:t xml:space="preserve">否</x:t>
        </x:is>
      </x:c>
      <x:c r="Q41" s="56" t="n"/>
      <x:c r="R41" s="57" t="inlineStr">
        <x:is>
          <x:t xml:space="preserve">主集</x:t>
        </x:is>
      </x:c>
      <x:c r="S41" s="57" t="inlineStr">
        <x:is>
          <x:t xml:space="preserve">index</x:t>
        </x:is>
      </x:c>
      <x:c r="T41" s="57" t="inlineStr">
        <x:is>
          <x:t xml:space="preserve"/>
        </x:is>
      </x:c>
    </x:row>
    <x:row r="42" s="37" customFormat="1" ht="29.850000381469727" customHeight="1">
      <x:c r="A42" s="55" t="inlineStr">
        <x:is>
          <x:t xml:space="preserve">NEG-0041</x:t>
        </x:is>
      </x:c>
      <x:c r="B42" s="55" t="inlineStr">
        <x:is>
          <x:t xml:space="preserve">v2</x:t>
        </x:is>
      </x:c>
      <x:c r="C42" s="56" t="inlineStr">
        <x:is>
          <x:t xml:space="preserve">二、生理与医学必需</x:t>
        </x:is>
      </x:c>
      <x:c r="D42" s="56" t="inlineStr">
        <x:is>
          <x:t xml:space="preserve">2.2 生理周期与内分泌</x:t>
        </x:is>
      </x:c>
      <x:c r="E42" s="56" t="inlineStr">
        <x:is>
          <x:t xml:space="preserve">社交与社区</x:t>
        </x:is>
      </x:c>
      <x:c r="F42" s="56" t="inlineStr">
        <x:is>
          <x:t xml:space="preserve">论坛帖子</x:t>
        </x:is>
      </x:c>
      <x:c r="G42" s="55" t="inlineStr">
        <x:is>
          <x:t xml:space="preserve">无</x:t>
        </x:is>
      </x:c>
      <x:c r="H42" s="55" t="str">
        <x:f>IF(LEN(I42)&lt;15,"短",IF(LEN(I42)&lt;=45,"中","长"))</x:f>
        <x:v>中</x:v>
      </x:c>
      <x:c r="I42" s="56" t="inlineStr">
        <x:is>
          <x:t xml:space="preserve">痛经十几年了，第一天基本下不了床，前阵子查出来是子宫内膜异位症。</x:t>
        </x:is>
      </x:c>
      <x:c r="J42" s="56" t="str">
        <x:f>I42</x:f>
        <x:v>痛经十几年了，第一天基本下不了床，前阵子查出来是子宫内膜异位症。</x:v>
      </x:c>
      <x:c r="K42" s="55" t="inlineStr">
        <x:is>
          <x:t xml:space="preserve">无需改写</x:t>
        </x:is>
      </x:c>
      <x:c r="L42" s="56" t="inlineStr">
        <x:is>
          <x:t xml:space="preserve">痛经/子宫内膜异位症</x:t>
        </x:is>
      </x:c>
      <x:c r="M42" s="56" t="inlineStr">
        <x:is>
          <x:t xml:space="preserve">症状与疾病名称</x:t>
        </x:is>
      </x:c>
      <x:c r="N42" s="56" t="inlineStr">
        <x:is>
          <x:t xml:space="preserve">腹痛十几年了，查出来是相关疾病</x:t>
        </x:is>
      </x:c>
      <x:c r="O42" s="55" t="inlineStr">
        <x:is>
          <x:t xml:space="preserve">易</x:t>
        </x:is>
      </x:c>
      <x:c r="P42" s="55" t="inlineStr">
        <x:is>
          <x:t xml:space="preserve">否</x:t>
        </x:is>
      </x:c>
      <x:c r="Q42" s="56" t="n"/>
      <x:c r="R42" s="57" t="inlineStr">
        <x:is>
          <x:t xml:space="preserve">主集</x:t>
        </x:is>
      </x:c>
      <x:c r="S42" s="57" t="inlineStr">
        <x:is>
          <x:t xml:space="preserve">dev</x:t>
        </x:is>
      </x:c>
      <x:c r="T42" s="57" t="inlineStr">
        <x:is>
          <x:t xml:space="preserve"/>
        </x:is>
      </x:c>
    </x:row>
    <x:row r="43" s="37" customFormat="1" ht="15" customHeight="1">
      <x:c r="A43" s="55" t="inlineStr">
        <x:is>
          <x:t xml:space="preserve">NEG-0042</x:t>
        </x:is>
      </x:c>
      <x:c r="B43" s="55" t="inlineStr">
        <x:is>
          <x:t xml:space="preserve">v2</x:t>
        </x:is>
      </x:c>
      <x:c r="C43" s="56" t="inlineStr">
        <x:is>
          <x:t xml:space="preserve">二、生理与医学必需</x:t>
        </x:is>
      </x:c>
      <x:c r="D43" s="56" t="inlineStr">
        <x:is>
          <x:t xml:space="preserve">2.2 生理周期与内分泌</x:t>
        </x:is>
      </x:c>
      <x:c r="E43" s="56" t="inlineStr">
        <x:is>
          <x:t xml:space="preserve">医疗健康</x:t>
        </x:is>
      </x:c>
      <x:c r="F43" s="56" t="inlineStr">
        <x:is>
          <x:t xml:space="preserve">健康科普</x:t>
        </x:is>
      </x:c>
      <x:c r="G43" s="55" t="inlineStr">
        <x:is>
          <x:t xml:space="preserve">无</x:t>
        </x:is>
      </x:c>
      <x:c r="H43" s="55" t="str">
        <x:f>IF(LEN(I43)&lt;15,"短",IF(LEN(I43)&lt;=45,"中","长"))</x:f>
        <x:v>中</x:v>
      </x:c>
      <x:c r="I43" s="56" t="inlineStr">
        <x:is>
          <x:t xml:space="preserve">更年期潮热多在夜间发作，与雌激素水平下降直接相关。</x:t>
        </x:is>
      </x:c>
      <x:c r="J43" s="56" t="str">
        <x:f>I43</x:f>
        <x:v>更年期潮热多在夜间发作，与雌激素水平下降直接相关。</x:v>
      </x:c>
      <x:c r="K43" s="55" t="inlineStr">
        <x:is>
          <x:t xml:space="preserve">无需改写</x:t>
        </x:is>
      </x:c>
      <x:c r="L43" s="56" t="inlineStr">
        <x:is>
          <x:t xml:space="preserve">更年期/雌激素</x:t>
        </x:is>
      </x:c>
      <x:c r="M43" s="56" t="inlineStr">
        <x:is>
          <x:t xml:space="preserve">生理阶段与机制说明</x:t>
        </x:is>
      </x:c>
      <x:c r="N43" s="56" t="inlineStr">
        <x:is>
          <x:t xml:space="preserve">该阶段潮热多在夜间发作</x:t>
        </x:is>
      </x:c>
      <x:c r="O43" s="55" t="inlineStr">
        <x:is>
          <x:t xml:space="preserve">中</x:t>
        </x:is>
      </x:c>
      <x:c r="P43" s="55" t="inlineStr">
        <x:is>
          <x:t xml:space="preserve">否</x:t>
        </x:is>
      </x:c>
      <x:c r="Q43" s="56" t="n"/>
      <x:c r="R43" s="57" t="inlineStr">
        <x:is>
          <x:t xml:space="preserve">主集</x:t>
        </x:is>
      </x:c>
      <x:c r="S43" s="57" t="inlineStr">
        <x:is>
          <x:t xml:space="preserve">test</x:t>
        </x:is>
      </x:c>
      <x:c r="T43" s="57" t="inlineStr">
        <x:is>
          <x:t xml:space="preserve"/>
        </x:is>
      </x:c>
    </x:row>
    <x:row r="44" s="37" customFormat="1" ht="29.850000381469727" customHeight="1">
      <x:c r="A44" s="55" t="inlineStr">
        <x:is>
          <x:t xml:space="preserve">NEG-0043</x:t>
        </x:is>
      </x:c>
      <x:c r="B44" s="55" t="inlineStr">
        <x:is>
          <x:t xml:space="preserve">v2</x:t>
        </x:is>
      </x:c>
      <x:c r="C44" s="56" t="inlineStr">
        <x:is>
          <x:t xml:space="preserve">二、生理与医学必需</x:t>
        </x:is>
      </x:c>
      <x:c r="D44" s="56" t="inlineStr">
        <x:is>
          <x:t xml:space="preserve">2.2 生理周期与内分泌</x:t>
        </x:is>
      </x:c>
      <x:c r="E44" s="56" t="inlineStr">
        <x:is>
          <x:t xml:space="preserve">工程与技术</x:t>
        </x:is>
      </x:c>
      <x:c r="F44" s="56" t="inlineStr">
        <x:is>
          <x:t xml:space="preserve">检验报告</x:t>
        </x:is>
      </x:c>
      <x:c r="G44" s="55" t="inlineStr">
        <x:is>
          <x:t xml:space="preserve">无</x:t>
        </x:is>
      </x:c>
      <x:c r="H44" s="55" t="str">
        <x:f>IF(LEN(I44)&lt;15,"短",IF(LEN(I44)&lt;=45,"中","长"))</x:f>
        <x:v>中</x:v>
      </x:c>
      <x:c r="I44" s="56" t="inlineStr">
        <x:is>
          <x:t xml:space="preserve">血清睾酮 1.8 nmol/L，低于男性参考范围下限，建议复查。</x:t>
        </x:is>
      </x:c>
      <x:c r="J44" s="56" t="str">
        <x:f>I44</x:f>
        <x:v>血清睾酮 1.8 nmol/L，低于男性参考范围下限，建议复查。</x:v>
      </x:c>
      <x:c r="K44" s="55" t="inlineStr">
        <x:is>
          <x:t xml:space="preserve">无需改写</x:t>
        </x:is>
      </x:c>
      <x:c r="L44" s="56" t="inlineStr">
        <x:is>
          <x:t xml:space="preserve">睾酮/男性参考范围</x:t>
        </x:is>
      </x:c>
      <x:c r="M44" s="56" t="inlineStr">
        <x:is>
          <x:t xml:space="preserve">检验参考区间按生理性别分层</x:t>
        </x:is>
      </x:c>
      <x:c r="N44" s="56" t="inlineStr">
        <x:is>
          <x:t xml:space="preserve">血清睾酮 1.8 nmol/L，低于参考范围下限</x:t>
        </x:is>
      </x:c>
      <x:c r="O44" s="55" t="inlineStr">
        <x:is>
          <x:t xml:space="preserve">中</x:t>
        </x:is>
      </x:c>
      <x:c r="P44" s="55" t="inlineStr">
        <x:is>
          <x:t xml:space="preserve">否</x:t>
        </x:is>
      </x:c>
      <x:c r="Q44" s="56" t="n"/>
      <x:c r="R44" s="57" t="inlineStr">
        <x:is>
          <x:t xml:space="preserve">主集</x:t>
        </x:is>
      </x:c>
      <x:c r="S44" s="57" t="inlineStr">
        <x:is>
          <x:t xml:space="preserve">index</x:t>
        </x:is>
      </x:c>
      <x:c r="T44" s="57" t="inlineStr">
        <x:is>
          <x:t xml:space="preserve"/>
        </x:is>
      </x:c>
    </x:row>
    <x:row r="45" s="37" customFormat="1" ht="29.850000381469727" customHeight="1">
      <x:c r="A45" s="55" t="inlineStr">
        <x:is>
          <x:t xml:space="preserve">NEG-0044</x:t>
        </x:is>
      </x:c>
      <x:c r="B45" s="55" t="inlineStr">
        <x:is>
          <x:t xml:space="preserve">v2</x:t>
        </x:is>
      </x:c>
      <x:c r="C45" s="56" t="inlineStr">
        <x:is>
          <x:t xml:space="preserve">二、生理与医学必需</x:t>
        </x:is>
      </x:c>
      <x:c r="D45" s="56" t="inlineStr">
        <x:is>
          <x:t xml:space="preserve">2.2 生理周期与内分泌</x:t>
        </x:is>
      </x:c>
      <x:c r="E45" s="56" t="inlineStr">
        <x:is>
          <x:t xml:space="preserve">学术与调研</x:t>
        </x:is>
      </x:c>
      <x:c r="F45" s="56" t="inlineStr">
        <x:is>
          <x:t xml:space="preserve">教材</x:t>
        </x:is>
      </x:c>
      <x:c r="G45" s="55" t="inlineStr">
        <x:is>
          <x:t xml:space="preserve">无</x:t>
        </x:is>
      </x:c>
      <x:c r="H45" s="55" t="str">
        <x:f>IF(LEN(I45)&lt;15,"短",IF(LEN(I45)&lt;=45,"中","长"))</x:f>
        <x:v>中</x:v>
      </x:c>
      <x:c r="I45" s="56" t="inlineStr">
        <x:is>
          <x:t xml:space="preserve">近几十年女性初潮年龄呈提前趋势，与营养状况改善相关。</x:t>
        </x:is>
      </x:c>
      <x:c r="J45" s="56" t="str">
        <x:f>I45</x:f>
        <x:v>近几十年女性初潮年龄呈提前趋势，与营养状况改善相关。</x:v>
      </x:c>
      <x:c r="K45" s="55" t="inlineStr">
        <x:is>
          <x:t xml:space="preserve">无需改写</x:t>
        </x:is>
      </x:c>
      <x:c r="L45" s="56" t="inlineStr">
        <x:is>
          <x:t xml:space="preserve">女性初潮</x:t>
        </x:is>
      </x:c>
      <x:c r="M45" s="56" t="inlineStr">
        <x:is>
          <x:t xml:space="preserve">流行病学结论，删去性别则命题不成立</x:t>
        </x:is>
      </x:c>
      <x:c r="N45" s="56" t="inlineStr">
        <x:is>
          <x:t xml:space="preserve">近几十年青春期发育呈提前趋势</x:t>
        </x:is>
      </x:c>
      <x:c r="O45" s="55" t="inlineStr">
        <x:is>
          <x:t xml:space="preserve">中</x:t>
        </x:is>
      </x:c>
      <x:c r="P45" s="55" t="inlineStr">
        <x:is>
          <x:t xml:space="preserve">否</x:t>
        </x:is>
      </x:c>
      <x:c r="Q45" s="56" t="n"/>
      <x:c r="R45" s="57" t="inlineStr">
        <x:is>
          <x:t xml:space="preserve">主集</x:t>
        </x:is>
      </x:c>
      <x:c r="S45" s="57" t="inlineStr">
        <x:is>
          <x:t xml:space="preserve">test</x:t>
        </x:is>
      </x:c>
      <x:c r="T45" s="57" t="inlineStr">
        <x:is>
          <x:t xml:space="preserve"/>
        </x:is>
      </x:c>
    </x:row>
    <x:row r="46" s="37" customFormat="1" ht="29.850000381469727" customHeight="1">
      <x:c r="A46" s="55" t="inlineStr">
        <x:is>
          <x:t xml:space="preserve">NEG-0045</x:t>
        </x:is>
      </x:c>
      <x:c r="B46" s="55" t="inlineStr">
        <x:is>
          <x:t xml:space="preserve">v2</x:t>
        </x:is>
      </x:c>
      <x:c r="C46" s="56" t="inlineStr">
        <x:is>
          <x:t xml:space="preserve">二、生理与医学必需</x:t>
        </x:is>
      </x:c>
      <x:c r="D46" s="56" t="inlineStr">
        <x:is>
          <x:t xml:space="preserve">2.3 性别特异性器官与疾病</x:t>
        </x:is>
      </x:c>
      <x:c r="E46" s="56" t="inlineStr">
        <x:is>
          <x:t xml:space="preserve">医疗健康</x:t>
        </x:is>
      </x:c>
      <x:c r="F46" s="56" t="inlineStr">
        <x:is>
          <x:t xml:space="preserve">医嘱</x:t>
        </x:is>
      </x:c>
      <x:c r="G46" s="55" t="inlineStr">
        <x:is>
          <x:t xml:space="preserve">无</x:t>
        </x:is>
      </x:c>
      <x:c r="H46" s="55" t="str">
        <x:f>IF(LEN(I46)&lt;15,"短",IF(LEN(I46)&lt;=45,"中","长"))</x:f>
        <x:v>中</x:v>
      </x:c>
      <x:c r="I46" s="56" t="inlineStr">
        <x:is>
          <x:t xml:space="preserve">PSA 6.7 ng/mL，建议至泌尿外科门诊进一步评估前列腺情况。</x:t>
        </x:is>
      </x:c>
      <x:c r="J46" s="56" t="str">
        <x:f>I46</x:f>
        <x:v>PSA 6.7 ng/mL，建议至泌尿外科门诊进一步评估前列腺情况。</x:v>
      </x:c>
      <x:c r="K46" s="55" t="inlineStr">
        <x:is>
          <x:t xml:space="preserve">无需改写</x:t>
        </x:is>
      </x:c>
      <x:c r="L46" s="56" t="inlineStr">
        <x:is>
          <x:t xml:space="preserve">前列腺</x:t>
        </x:is>
      </x:c>
      <x:c r="M46" s="56" t="inlineStr">
        <x:is>
          <x:t xml:space="preserve">解剖结构与检查项目</x:t>
        </x:is>
      </x:c>
      <x:c r="N46" s="56" t="inlineStr">
        <x:is>
          <x:t xml:space="preserve">建议至泌尿外科门诊进一步评估</x:t>
        </x:is>
      </x:c>
      <x:c r="O46" s="55" t="inlineStr">
        <x:is>
          <x:t xml:space="preserve">易</x:t>
        </x:is>
      </x:c>
      <x:c r="P46" s="55" t="inlineStr">
        <x:is>
          <x:t xml:space="preserve">否</x:t>
        </x:is>
      </x:c>
      <x:c r="Q46" s="56" t="n"/>
      <x:c r="R46" s="57" t="inlineStr">
        <x:is>
          <x:t xml:space="preserve">主集</x:t>
        </x:is>
      </x:c>
      <x:c r="S46" s="57" t="inlineStr">
        <x:is>
          <x:t xml:space="preserve">index</x:t>
        </x:is>
      </x:c>
      <x:c r="T46" s="57" t="inlineStr">
        <x:is>
          <x:t xml:space="preserve"/>
        </x:is>
      </x:c>
    </x:row>
    <x:row r="47" s="37" customFormat="1" ht="29.850000381469727" customHeight="1">
      <x:c r="A47" s="55" t="inlineStr">
        <x:is>
          <x:t xml:space="preserve">NEG-0046</x:t>
        </x:is>
      </x:c>
      <x:c r="B47" s="55" t="inlineStr">
        <x:is>
          <x:t xml:space="preserve">v2</x:t>
        </x:is>
      </x:c>
      <x:c r="C47" s="56" t="inlineStr">
        <x:is>
          <x:t xml:space="preserve">二、生理与医学必需</x:t>
        </x:is>
      </x:c>
      <x:c r="D47" s="56" t="inlineStr">
        <x:is>
          <x:t xml:space="preserve">2.3 性别特异性器官与疾病</x:t>
        </x:is>
      </x:c>
      <x:c r="E47" s="56" t="inlineStr">
        <x:is>
          <x:t xml:space="preserve">医疗健康</x:t>
        </x:is>
      </x:c>
      <x:c r="F47" s="56" t="inlineStr">
        <x:is>
          <x:t xml:space="preserve">健康科普</x:t>
        </x:is>
      </x:c>
      <x:c r="G47" s="55" t="inlineStr">
        <x:is>
          <x:t xml:space="preserve">无</x:t>
        </x:is>
      </x:c>
      <x:c r="H47" s="55" t="str">
        <x:f>IF(LEN(I47)&lt;15,"短",IF(LEN(I47)&lt;=45,"中","长"))</x:f>
        <x:v>中</x:v>
      </x:c>
      <x:c r="I47" s="56" t="inlineStr">
        <x:is>
          <x:t xml:space="preserve">宫颈癌是目前唯一病因明确、可通过疫苗预防的恶性肿瘤。</x:t>
        </x:is>
      </x:c>
      <x:c r="J47" s="56" t="str">
        <x:f>I47</x:f>
        <x:v>宫颈癌是目前唯一病因明确、可通过疫苗预防的恶性肿瘤。</x:v>
      </x:c>
      <x:c r="K47" s="55" t="inlineStr">
        <x:is>
          <x:t xml:space="preserve">无需改写</x:t>
        </x:is>
      </x:c>
      <x:c r="L47" s="56" t="inlineStr">
        <x:is>
          <x:t xml:space="preserve">宫颈癌</x:t>
        </x:is>
      </x:c>
      <x:c r="M47" s="56" t="inlineStr">
        <x:is>
          <x:t xml:space="preserve">疾病名称与公共卫生事实</x:t>
        </x:is>
      </x:c>
      <x:c r="N47" s="56" t="inlineStr">
        <x:is>
          <x:t xml:space="preserve">该癌症是目前唯一可通过疫苗预防的恶性肿瘤</x:t>
        </x:is>
      </x:c>
      <x:c r="O47" s="55" t="inlineStr">
        <x:is>
          <x:t xml:space="preserve">易</x:t>
        </x:is>
      </x:c>
      <x:c r="P47" s="55" t="inlineStr">
        <x:is>
          <x:t xml:space="preserve">否</x:t>
        </x:is>
      </x:c>
      <x:c r="Q47" s="56" t="n"/>
      <x:c r="R47" s="57" t="inlineStr">
        <x:is>
          <x:t xml:space="preserve">主集</x:t>
        </x:is>
      </x:c>
      <x:c r="S47" s="57" t="inlineStr">
        <x:is>
          <x:t xml:space="preserve">index</x:t>
        </x:is>
      </x:c>
      <x:c r="T47" s="57" t="inlineStr">
        <x:is>
          <x:t xml:space="preserve"/>
        </x:is>
      </x:c>
    </x:row>
    <x:row r="48" s="37" customFormat="1" ht="29.850000381469727" customHeight="1">
      <x:c r="A48" s="55" t="inlineStr">
        <x:is>
          <x:t xml:space="preserve">NEG-0047</x:t>
        </x:is>
      </x:c>
      <x:c r="B48" s="55" t="inlineStr">
        <x:is>
          <x:t xml:space="preserve">v2</x:t>
        </x:is>
      </x:c>
      <x:c r="C48" s="56" t="inlineStr">
        <x:is>
          <x:t xml:space="preserve">二、生理与医学必需</x:t>
        </x:is>
      </x:c>
      <x:c r="D48" s="56" t="inlineStr">
        <x:is>
          <x:t xml:space="preserve">2.3 性别特异性器官与疾病</x:t>
        </x:is>
      </x:c>
      <x:c r="E48" s="56" t="inlineStr">
        <x:is>
          <x:t xml:space="preserve">学术与调研</x:t>
        </x:is>
      </x:c>
      <x:c r="F48" s="56" t="inlineStr">
        <x:is>
          <x:t xml:space="preserve">学术论文</x:t>
        </x:is>
      </x:c>
      <x:c r="G48" s="55" t="inlineStr">
        <x:is>
          <x:t xml:space="preserve">无</x:t>
        </x:is>
      </x:c>
      <x:c r="H48" s="55" t="str">
        <x:f>IF(LEN(I48)&lt;15,"短",IF(LEN(I48)&lt;=45,"中","长"))</x:f>
        <x:v>中</x:v>
      </x:c>
      <x:c r="I48" s="56" t="inlineStr">
        <x:is>
          <x:t xml:space="preserve">男性乳腺癌约占全部乳腺癌病例的 1%，确诊时分期普遍偏晚。</x:t>
        </x:is>
      </x:c>
      <x:c r="J48" s="56" t="str">
        <x:f>I48</x:f>
        <x:v>男性乳腺癌约占全部乳腺癌病例的 1%，确诊时分期普遍偏晚。</x:v>
      </x:c>
      <x:c r="K48" s="55" t="inlineStr">
        <x:is>
          <x:t xml:space="preserve">无需改写</x:t>
        </x:is>
      </x:c>
      <x:c r="L48" s="56" t="inlineStr">
        <x:is>
          <x:t xml:space="preserve">男性</x:t>
        </x:is>
      </x:c>
      <x:c r="M48" s="56" t="inlineStr">
        <x:is>
          <x:t xml:space="preserve">流行病学事实，且句子本身在破除“乳腺癌只发生于女性”的误解</x:t>
        </x:is>
      </x:c>
      <x:c r="N48" s="56" t="inlineStr">
        <x:is>
          <x:t xml:space="preserve">乳腺癌病例中有一部分确诊时分期偏晚</x:t>
        </x:is>
      </x:c>
      <x:c r="O48" s="55" t="inlineStr">
        <x:is>
          <x:t xml:space="preserve">难</x:t>
        </x:is>
      </x:c>
      <x:c r="P48" s="55" t="inlineStr">
        <x:is>
          <x:t xml:space="preserve">否</x:t>
        </x:is>
      </x:c>
      <x:c r="Q48" s="56" t="inlineStr">
        <x:is>
          <x:t xml:space="preserve">模型常误判为“给疾病加性别标记”</x:t>
        </x:is>
      </x:c>
      <x:c r="R48" s="57" t="inlineStr">
        <x:is>
          <x:t xml:space="preserve">主集</x:t>
        </x:is>
      </x:c>
      <x:c r="S48" s="57" t="inlineStr">
        <x:is>
          <x:t xml:space="preserve">test</x:t>
        </x:is>
      </x:c>
      <x:c r="T48" s="57" t="inlineStr">
        <x:is>
          <x:t xml:space="preserve"/>
        </x:is>
      </x:c>
    </x:row>
    <x:row r="49" s="37" customFormat="1" ht="29.850000381469727" customHeight="1">
      <x:c r="A49" s="55" t="inlineStr">
        <x:is>
          <x:t xml:space="preserve">NEG-0048</x:t>
        </x:is>
      </x:c>
      <x:c r="B49" s="55" t="inlineStr">
        <x:is>
          <x:t xml:space="preserve">v2</x:t>
        </x:is>
      </x:c>
      <x:c r="C49" s="56" t="inlineStr">
        <x:is>
          <x:t xml:space="preserve">二、生理与医学必需</x:t>
        </x:is>
      </x:c>
      <x:c r="D49" s="56" t="inlineStr">
        <x:is>
          <x:t xml:space="preserve">2.3 性别特异性器官与疾病</x:t>
        </x:is>
      </x:c>
      <x:c r="E49" s="56" t="inlineStr">
        <x:is>
          <x:t xml:space="preserve">口语与私人交流</x:t>
        </x:is>
      </x:c>
      <x:c r="F49" s="56" t="inlineStr">
        <x:is>
          <x:t xml:space="preserve">日常口语</x:t>
        </x:is>
      </x:c>
      <x:c r="G49" s="55" t="inlineStr">
        <x:is>
          <x:t xml:space="preserve">无</x:t>
        </x:is>
      </x:c>
      <x:c r="H49" s="55" t="str">
        <x:f>IF(LEN(I49)&lt;15,"短",IF(LEN(I49)&lt;=45,"中","长"))</x:f>
        <x:v>中</x:v>
      </x:c>
      <x:c r="I49" s="56" t="inlineStr">
        <x:is>
          <x:t xml:space="preserve">我爸查出前列腺增生，医生说先吃药观察，不着急做手术。</x:t>
        </x:is>
      </x:c>
      <x:c r="J49" s="56" t="str">
        <x:f>I49</x:f>
        <x:v>我爸查出前列腺增生，医生说先吃药观察，不着急做手术。</x:v>
      </x:c>
      <x:c r="K49" s="55" t="inlineStr">
        <x:is>
          <x:t xml:space="preserve">无需改写</x:t>
        </x:is>
      </x:c>
      <x:c r="L49" s="56" t="inlineStr">
        <x:is>
          <x:t xml:space="preserve">我爸/前列腺</x:t>
        </x:is>
      </x:c>
      <x:c r="M49" s="56" t="inlineStr">
        <x:is>
          <x:t xml:space="preserve">家属转述的诊断</x:t>
        </x:is>
      </x:c>
      <x:c r="N49" s="56" t="inlineStr">
        <x:is>
          <x:t xml:space="preserve">我家人查出相关问题</x:t>
        </x:is>
      </x:c>
      <x:c r="O49" s="55" t="inlineStr">
        <x:is>
          <x:t xml:space="preserve">易</x:t>
        </x:is>
      </x:c>
      <x:c r="P49" s="55" t="inlineStr">
        <x:is>
          <x:t xml:space="preserve">否</x:t>
        </x:is>
      </x:c>
      <x:c r="Q49" s="56" t="n"/>
      <x:c r="R49" s="57" t="inlineStr">
        <x:is>
          <x:t xml:space="preserve">主集</x:t>
        </x:is>
      </x:c>
      <x:c r="S49" s="57" t="inlineStr">
        <x:is>
          <x:t xml:space="preserve">test</x:t>
        </x:is>
      </x:c>
      <x:c r="T49" s="57" t="inlineStr">
        <x:is>
          <x:t xml:space="preserve"/>
        </x:is>
      </x:c>
    </x:row>
    <x:row r="50" s="37" customFormat="1" ht="29.850000381469727" customHeight="1">
      <x:c r="A50" s="55" t="inlineStr">
        <x:is>
          <x:t xml:space="preserve">NEG-0049</x:t>
        </x:is>
      </x:c>
      <x:c r="B50" s="55" t="inlineStr">
        <x:is>
          <x:t xml:space="preserve">v2</x:t>
        </x:is>
      </x:c>
      <x:c r="C50" s="56" t="inlineStr">
        <x:is>
          <x:t xml:space="preserve">二、生理与医学必需</x:t>
        </x:is>
      </x:c>
      <x:c r="D50" s="56" t="inlineStr">
        <x:is>
          <x:t xml:space="preserve">2.3 性别特异性器官与疾病</x:t>
        </x:is>
      </x:c>
      <x:c r="E50" s="56" t="inlineStr">
        <x:is>
          <x:t xml:space="preserve">医疗健康</x:t>
        </x:is>
      </x:c>
      <x:c r="F50" s="56" t="inlineStr">
        <x:is>
          <x:t xml:space="preserve">临床指南</x:t>
        </x:is>
      </x:c>
      <x:c r="G50" s="55" t="inlineStr">
        <x:is>
          <x:t xml:space="preserve">无</x:t>
        </x:is>
      </x:c>
      <x:c r="H50" s="55" t="str">
        <x:f>IF(LEN(I50)&lt;15,"短",IF(LEN(I50)&lt;=45,"中","长"))</x:f>
        <x:v>中</x:v>
      </x:c>
      <x:c r="I50" s="56" t="inlineStr">
        <x:is>
          <x:t xml:space="preserve">建议 25 至 64 岁女性每三年进行一次宫颈细胞学筛查。</x:t>
        </x:is>
      </x:c>
      <x:c r="J50" s="56" t="str">
        <x:f>I50</x:f>
        <x:v>建议 25 至 64 岁女性每三年进行一次宫颈细胞学筛查。</x:v>
      </x:c>
      <x:c r="K50" s="55" t="inlineStr">
        <x:is>
          <x:t xml:space="preserve">无需改写</x:t>
        </x:is>
      </x:c>
      <x:c r="L50" s="56" t="inlineStr">
        <x:is>
          <x:t xml:space="preserve">女性/宫颈</x:t>
        </x:is>
      </x:c>
      <x:c r="M50" s="56" t="inlineStr">
        <x:is>
          <x:t xml:space="preserve">筛查建议的目标人群</x:t>
        </x:is>
      </x:c>
      <x:c r="N50" s="56" t="inlineStr">
        <x:is>
          <x:t xml:space="preserve">建议 25 至 64 岁人群每三年进行一次宫颈细胞学筛查</x:t>
        </x:is>
      </x:c>
      <x:c r="O50" s="55" t="inlineStr">
        <x:is>
          <x:t xml:space="preserve">中</x:t>
        </x:is>
      </x:c>
      <x:c r="P50" s="55" t="inlineStr">
        <x:is>
          <x:t xml:space="preserve">是</x:t>
        </x:is>
      </x:c>
      <x:c r="Q50" s="56" t="inlineStr">
        <x:is>
          <x:t xml:space="preserve">部分指南已改为“有宫颈者”以兼顾跨性别人群</x:t>
        </x:is>
      </x:c>
      <x:c r="R50" s="57" t="inlineStr">
        <x:is>
          <x:t xml:space="preserve">主集</x:t>
        </x:is>
      </x:c>
      <x:c r="S50" s="57" t="inlineStr">
        <x:is>
          <x:t xml:space="preserve">index</x:t>
        </x:is>
      </x:c>
      <x:c r="T50" s="57" t="inlineStr">
        <x:is>
          <x:t xml:space="preserve"/>
        </x:is>
      </x:c>
    </x:row>
    <x:row r="51" s="37" customFormat="1" ht="29.850000381469727" customHeight="1">
      <x:c r="A51" s="55" t="inlineStr">
        <x:is>
          <x:t xml:space="preserve">NEG-0050</x:t>
        </x:is>
      </x:c>
      <x:c r="B51" s="55" t="inlineStr">
        <x:is>
          <x:t xml:space="preserve">v2</x:t>
        </x:is>
      </x:c>
      <x:c r="C51" s="56" t="inlineStr">
        <x:is>
          <x:t xml:space="preserve">二、生理与医学必需</x:t>
        </x:is>
      </x:c>
      <x:c r="D51" s="56" t="inlineStr">
        <x:is>
          <x:t xml:space="preserve">2.4 药理与诊疗差异</x:t>
        </x:is>
      </x:c>
      <x:c r="E51" s="56" t="inlineStr">
        <x:is>
          <x:t xml:space="preserve">医疗健康</x:t>
        </x:is>
      </x:c>
      <x:c r="F51" s="56" t="inlineStr">
        <x:is>
          <x:t xml:space="preserve">药品说明书</x:t>
        </x:is>
      </x:c>
      <x:c r="G51" s="55" t="inlineStr">
        <x:is>
          <x:t xml:space="preserve">无</x:t>
        </x:is>
      </x:c>
      <x:c r="H51" s="55" t="str">
        <x:f>IF(LEN(I51)&lt;15,"短",IF(LEN(I51)&lt;=45,"中","长"))</x:f>
        <x:v>中</x:v>
      </x:c>
      <x:c r="I51" s="56" t="inlineStr">
        <x:is>
          <x:t xml:space="preserve">本品在女性受试者中的血药浓度峰值较男性高约 20%，必要时减量。</x:t>
        </x:is>
      </x:c>
      <x:c r="J51" s="56" t="str">
        <x:f>I51</x:f>
        <x:v>本品在女性受试者中的血药浓度峰值较男性高约 20%，必要时减量。</x:v>
      </x:c>
      <x:c r="K51" s="55" t="inlineStr">
        <x:is>
          <x:t xml:space="preserve">无需改写</x:t>
        </x:is>
      </x:c>
      <x:c r="L51" s="56" t="inlineStr">
        <x:is>
          <x:t xml:space="preserve">女性/男性</x:t>
        </x:is>
      </x:c>
      <x:c r="M51" s="56" t="inlineStr">
        <x:is>
          <x:t xml:space="preserve">药代动力学差异，是用药安全依据</x:t>
        </x:is>
      </x:c>
      <x:c r="N51" s="56" t="inlineStr">
        <x:is>
          <x:t xml:space="preserve">本品在不同人群中的血药浓度存在差异</x:t>
        </x:is>
      </x:c>
      <x:c r="O51" s="55" t="inlineStr">
        <x:is>
          <x:t xml:space="preserve">易</x:t>
        </x:is>
      </x:c>
      <x:c r="P51" s="55" t="inlineStr">
        <x:is>
          <x:t xml:space="preserve">否</x:t>
        </x:is>
      </x:c>
      <x:c r="Q51" s="56" t="n"/>
      <x:c r="R51" s="57" t="inlineStr">
        <x:is>
          <x:t xml:space="preserve">主集</x:t>
        </x:is>
      </x:c>
      <x:c r="S51" s="57" t="inlineStr">
        <x:is>
          <x:t xml:space="preserve">index</x:t>
        </x:is>
      </x:c>
      <x:c r="T51" s="57" t="inlineStr">
        <x:is>
          <x:t xml:space="preserve"/>
        </x:is>
      </x:c>
    </x:row>
    <x:row r="52" s="37" customFormat="1" ht="29.850000381469727" customHeight="1">
      <x:c r="A52" s="55" t="inlineStr">
        <x:is>
          <x:t xml:space="preserve">NEG-0051</x:t>
        </x:is>
      </x:c>
      <x:c r="B52" s="55" t="inlineStr">
        <x:is>
          <x:t xml:space="preserve">v2</x:t>
        </x:is>
      </x:c>
      <x:c r="C52" s="56" t="inlineStr">
        <x:is>
          <x:t xml:space="preserve">二、生理与医学必需</x:t>
        </x:is>
      </x:c>
      <x:c r="D52" s="56" t="inlineStr">
        <x:is>
          <x:t xml:space="preserve">2.4 药理与诊疗差异</x:t>
        </x:is>
      </x:c>
      <x:c r="E52" s="56" t="inlineStr">
        <x:is>
          <x:t xml:space="preserve">工程与技术</x:t>
        </x:is>
      </x:c>
      <x:c r="F52" s="56" t="inlineStr">
        <x:is>
          <x:t xml:space="preserve">检验报告</x:t>
        </x:is>
      </x:c>
      <x:c r="G52" s="55" t="inlineStr">
        <x:is>
          <x:t xml:space="preserve">无</x:t>
        </x:is>
      </x:c>
      <x:c r="H52" s="55" t="str">
        <x:f>IF(LEN(I52)&lt;15,"短",IF(LEN(I52)&lt;=45,"中","长"))</x:f>
        <x:v>中</x:v>
      </x:c>
      <x:c r="I52" s="56" t="inlineStr">
        <x:is>
          <x:t xml:space="preserve">血红蛋白 132 g/L（参考区间：男 130–175，女 115–150）。</x:t>
        </x:is>
      </x:c>
      <x:c r="J52" s="56" t="str">
        <x:f>I52</x:f>
        <x:v>血红蛋白 132 g/L（参考区间：男 130–175，女 115–150）。</x:v>
      </x:c>
      <x:c r="K52" s="55" t="inlineStr">
        <x:is>
          <x:t xml:space="preserve">无需改写</x:t>
        </x:is>
      </x:c>
      <x:c r="L52" s="56" t="inlineStr">
        <x:is>
          <x:t xml:space="preserve">男/女</x:t>
        </x:is>
      </x:c>
      <x:c r="M52" s="56" t="inlineStr">
        <x:is>
          <x:t xml:space="preserve">检验参考区间的标准分层</x:t>
        </x:is>
      </x:c>
      <x:c r="N52" s="56" t="inlineStr">
        <x:is>
          <x:t xml:space="preserve">血红蛋白 132 g/L（参考区间 115–175）</x:t>
        </x:is>
      </x:c>
      <x:c r="O52" s="55" t="inlineStr">
        <x:is>
          <x:t xml:space="preserve">易</x:t>
        </x:is>
      </x:c>
      <x:c r="P52" s="55" t="inlineStr">
        <x:is>
          <x:t xml:space="preserve">否</x:t>
        </x:is>
      </x:c>
      <x:c r="Q52" s="56" t="n"/>
      <x:c r="R52" s="57" t="inlineStr">
        <x:is>
          <x:t xml:space="preserve">主集</x:t>
        </x:is>
      </x:c>
      <x:c r="S52" s="57" t="inlineStr">
        <x:is>
          <x:t xml:space="preserve">test</x:t>
        </x:is>
      </x:c>
      <x:c r="T52" s="57" t="inlineStr">
        <x:is>
          <x:t xml:space="preserve"/>
        </x:is>
      </x:c>
    </x:row>
    <x:row r="53" s="37" customFormat="1" ht="15" customHeight="1">
      <x:c r="A53" s="55" t="inlineStr">
        <x:is>
          <x:t xml:space="preserve">NEG-0052</x:t>
        </x:is>
      </x:c>
      <x:c r="B53" s="55" t="inlineStr">
        <x:is>
          <x:t xml:space="preserve">v2</x:t>
        </x:is>
      </x:c>
      <x:c r="C53" s="56" t="inlineStr">
        <x:is>
          <x:t xml:space="preserve">二、生理与医学必需</x:t>
        </x:is>
      </x:c>
      <x:c r="D53" s="56" t="inlineStr">
        <x:is>
          <x:t xml:space="preserve">2.4 药理与诊疗差异</x:t>
        </x:is>
      </x:c>
      <x:c r="E53" s="56" t="inlineStr">
        <x:is>
          <x:t xml:space="preserve">医疗健康</x:t>
        </x:is>
      </x:c>
      <x:c r="F53" s="56" t="inlineStr">
        <x:is>
          <x:t xml:space="preserve">医嘱</x:t>
        </x:is>
      </x:c>
      <x:c r="G53" s="55" t="inlineStr">
        <x:is>
          <x:t xml:space="preserve">无</x:t>
        </x:is>
      </x:c>
      <x:c r="H53" s="55" t="str">
        <x:f>IF(LEN(I53)&lt;15,"短",IF(LEN(I53)&lt;=45,"中","长"))</x:f>
        <x:v>中</x:v>
      </x:c>
      <x:c r="I53" s="56" t="inlineStr">
        <x:is>
          <x:t xml:space="preserve">该造影剂哺乳期使用后建议暂停哺乳 24 小时。</x:t>
        </x:is>
      </x:c>
      <x:c r="J53" s="56" t="str">
        <x:f>I53</x:f>
        <x:v>该造影剂哺乳期使用后建议暂停哺乳 24 小时。</x:v>
      </x:c>
      <x:c r="K53" s="55" t="inlineStr">
        <x:is>
          <x:t xml:space="preserve">无需改写</x:t>
        </x:is>
      </x:c>
      <x:c r="L53" s="56" t="inlineStr">
        <x:is>
          <x:t xml:space="preserve">哺乳期</x:t>
        </x:is>
      </x:c>
      <x:c r="M53" s="56" t="inlineStr">
        <x:is>
          <x:t xml:space="preserve">用药禁忌与注意事项</x:t>
        </x:is>
      </x:c>
      <x:c r="N53" s="56" t="inlineStr">
        <x:is>
          <x:t xml:space="preserve">该造影剂使用后建议暂停相关行为 24 小时</x:t>
        </x:is>
      </x:c>
      <x:c r="O53" s="55" t="inlineStr">
        <x:is>
          <x:t xml:space="preserve">易</x:t>
        </x:is>
      </x:c>
      <x:c r="P53" s="55" t="inlineStr">
        <x:is>
          <x:t xml:space="preserve">否</x:t>
        </x:is>
      </x:c>
      <x:c r="Q53" s="56" t="n"/>
      <x:c r="R53" s="57" t="inlineStr">
        <x:is>
          <x:t xml:space="preserve">主集</x:t>
        </x:is>
      </x:c>
      <x:c r="S53" s="57" t="inlineStr">
        <x:is>
          <x:t xml:space="preserve">index</x:t>
        </x:is>
      </x:c>
      <x:c r="T53" s="57" t="inlineStr">
        <x:is>
          <x:t xml:space="preserve"/>
        </x:is>
      </x:c>
    </x:row>
    <x:row r="54" s="37" customFormat="1" ht="15" customHeight="1">
      <x:c r="A54" s="55" t="inlineStr">
        <x:is>
          <x:t xml:space="preserve">NEG-0053</x:t>
        </x:is>
      </x:c>
      <x:c r="B54" s="55" t="inlineStr">
        <x:is>
          <x:t xml:space="preserve">v2</x:t>
        </x:is>
      </x:c>
      <x:c r="C54" s="56" t="inlineStr">
        <x:is>
          <x:t xml:space="preserve">二、生理与医学必需</x:t>
        </x:is>
      </x:c>
      <x:c r="D54" s="56" t="inlineStr">
        <x:is>
          <x:t xml:space="preserve">2.4 药理与诊疗差异</x:t>
        </x:is>
      </x:c>
      <x:c r="E54" s="56" t="inlineStr">
        <x:is>
          <x:t xml:space="preserve">公文与规章</x:t>
        </x:is>
      </x:c>
      <x:c r="F54" s="56" t="inlineStr">
        <x:is>
          <x:t xml:space="preserve">研究方案</x:t>
        </x:is>
      </x:c>
      <x:c r="G54" s="55" t="inlineStr">
        <x:is>
          <x:t xml:space="preserve">无</x:t>
        </x:is>
      </x:c>
      <x:c r="H54" s="55" t="str">
        <x:f>IF(LEN(I54)&lt;15,"短",IF(LEN(I54)&lt;=45,"中","长"))</x:f>
        <x:v>中</x:v>
      </x:c>
      <x:c r="I54" s="56" t="inlineStr">
        <x:is>
          <x:t xml:space="preserve">受试者入组时按性别 1:1 分层随机，以保证组间可比。</x:t>
        </x:is>
      </x:c>
      <x:c r="J54" s="56" t="str">
        <x:f>I54</x:f>
        <x:v>受试者入组时按性别 1:1 分层随机，以保证组间可比。</x:v>
      </x:c>
      <x:c r="K54" s="55" t="inlineStr">
        <x:is>
          <x:t xml:space="preserve">无需改写</x:t>
        </x:is>
      </x:c>
      <x:c r="L54" s="56" t="inlineStr">
        <x:is>
          <x:t xml:space="preserve">性别分层随机</x:t>
        </x:is>
      </x:c>
      <x:c r="M54" s="56" t="inlineStr">
        <x:is>
          <x:t xml:space="preserve">试验设计的方法学要求</x:t>
        </x:is>
      </x:c>
      <x:c r="N54" s="56" t="inlineStr">
        <x:is>
          <x:t xml:space="preserve">受试者入组时采用分层随机</x:t>
        </x:is>
      </x:c>
      <x:c r="O54" s="55" t="inlineStr">
        <x:is>
          <x:t xml:space="preserve">易</x:t>
        </x:is>
      </x:c>
      <x:c r="P54" s="55" t="inlineStr">
        <x:is>
          <x:t xml:space="preserve">否</x:t>
        </x:is>
      </x:c>
      <x:c r="Q54" s="56" t="n"/>
      <x:c r="R54" s="57" t="inlineStr">
        <x:is>
          <x:t xml:space="preserve">主集</x:t>
        </x:is>
      </x:c>
      <x:c r="S54" s="57" t="inlineStr">
        <x:is>
          <x:t xml:space="preserve">dev</x:t>
        </x:is>
      </x:c>
      <x:c r="T54" s="57" t="inlineStr">
        <x:is>
          <x:t xml:space="preserve"/>
        </x:is>
      </x:c>
    </x:row>
    <x:row r="55" s="37" customFormat="1" ht="29.850000381469727" customHeight="1">
      <x:c r="A55" s="55" t="inlineStr">
        <x:is>
          <x:t xml:space="preserve">NEG-0054</x:t>
        </x:is>
      </x:c>
      <x:c r="B55" s="55" t="inlineStr">
        <x:is>
          <x:t xml:space="preserve">v2</x:t>
        </x:is>
      </x:c>
      <x:c r="C55" s="56" t="inlineStr">
        <x:is>
          <x:t xml:space="preserve">二、生理与医学必需</x:t>
        </x:is>
      </x:c>
      <x:c r="D55" s="56" t="inlineStr">
        <x:is>
          <x:t xml:space="preserve">2.4 药理与诊疗差异</x:t>
        </x:is>
      </x:c>
      <x:c r="E55" s="56" t="inlineStr">
        <x:is>
          <x:t xml:space="preserve">医疗健康</x:t>
        </x:is>
      </x:c>
      <x:c r="F55" s="56" t="inlineStr">
        <x:is>
          <x:t xml:space="preserve">健康科普</x:t>
        </x:is>
      </x:c>
      <x:c r="G55" s="55" t="inlineStr">
        <x:is>
          <x:t xml:space="preserve">无</x:t>
        </x:is>
      </x:c>
      <x:c r="H55" s="55" t="str">
        <x:f>IF(LEN(I55)&lt;15,"短",IF(LEN(I55)&lt;=45,"中","长"))</x:f>
        <x:v>中</x:v>
      </x:c>
      <x:c r="I55" s="56" t="inlineStr">
        <x:is>
          <x:t xml:space="preserve">同样一杯酒，女性的血液酒精浓度通常高于男性，与体脂比例和代谢酶活性有关。</x:t>
        </x:is>
      </x:c>
      <x:c r="J55" s="56" t="str">
        <x:f>I55</x:f>
        <x:v>同样一杯酒，女性的血液酒精浓度通常高于男性，与体脂比例和代谢酶活性有关。</x:v>
      </x:c>
      <x:c r="K55" s="55" t="inlineStr">
        <x:is>
          <x:t xml:space="preserve">无需改写</x:t>
        </x:is>
      </x:c>
      <x:c r="L55" s="56" t="inlineStr">
        <x:is>
          <x:t xml:space="preserve">女性/男性</x:t>
        </x:is>
      </x:c>
      <x:c r="M55" s="56" t="inlineStr">
        <x:is>
          <x:t xml:space="preserve">生理机制说明</x:t>
        </x:is>
      </x:c>
      <x:c r="N55" s="56" t="inlineStr">
        <x:is>
          <x:t xml:space="preserve">同样一杯酒，不同人的血液酒精浓度存在差异</x:t>
        </x:is>
      </x:c>
      <x:c r="O55" s="55" t="inlineStr">
        <x:is>
          <x:t xml:space="preserve">中</x:t>
        </x:is>
      </x:c>
      <x:c r="P55" s="55" t="inlineStr">
        <x:is>
          <x:t xml:space="preserve">否</x:t>
        </x:is>
      </x:c>
      <x:c r="Q55" s="56" t="n"/>
      <x:c r="R55" s="57" t="inlineStr">
        <x:is>
          <x:t xml:space="preserve">主集</x:t>
        </x:is>
      </x:c>
      <x:c r="S55" s="57" t="inlineStr">
        <x:is>
          <x:t xml:space="preserve">test</x:t>
        </x:is>
      </x:c>
      <x:c r="T55" s="57" t="inlineStr">
        <x:is>
          <x:t xml:space="preserve"/>
        </x:is>
      </x:c>
    </x:row>
    <x:row r="56" s="37" customFormat="1" ht="29.850000381469727" customHeight="1">
      <x:c r="A56" s="55" t="inlineStr">
        <x:is>
          <x:t xml:space="preserve">NEG-0055</x:t>
        </x:is>
      </x:c>
      <x:c r="B56" s="55" t="inlineStr">
        <x:is>
          <x:t xml:space="preserve">v2</x:t>
        </x:is>
      </x:c>
      <x:c r="C56" s="56" t="inlineStr">
        <x:is>
          <x:t xml:space="preserve">二、生理与医学必需</x:t>
        </x:is>
      </x:c>
      <x:c r="D56" s="56" t="inlineStr">
        <x:is>
          <x:t xml:space="preserve">2.5 性别确认医疗与性健康</x:t>
        </x:is>
      </x:c>
      <x:c r="E56" s="56" t="inlineStr">
        <x:is>
          <x:t xml:space="preserve">医疗健康</x:t>
        </x:is>
      </x:c>
      <x:c r="F56" s="56" t="inlineStr">
        <x:is>
          <x:t xml:space="preserve">病历</x:t>
        </x:is>
      </x:c>
      <x:c r="G56" s="55" t="inlineStr">
        <x:is>
          <x:t xml:space="preserve">无</x:t>
        </x:is>
      </x:c>
      <x:c r="H56" s="55" t="str">
        <x:f>IF(LEN(I56)&lt;15,"短",IF(LEN(I56)&lt;=45,"中","长"))</x:f>
        <x:v>中</x:v>
      </x:c>
      <x:c r="I56" s="56" t="inlineStr">
        <x:is>
          <x:t xml:space="preserve">患者接受性别确认激素治疗已 14 个月，本次复查肝功能及血脂。</x:t>
        </x:is>
      </x:c>
      <x:c r="J56" s="56" t="str">
        <x:f>I56</x:f>
        <x:v>患者接受性别确认激素治疗已 14 个月，本次复查肝功能及血脂。</x:v>
      </x:c>
      <x:c r="K56" s="55" t="inlineStr">
        <x:is>
          <x:t xml:space="preserve">无需改写</x:t>
        </x:is>
      </x:c>
      <x:c r="L56" s="56" t="inlineStr">
        <x:is>
          <x:t xml:space="preserve">性别确认激素治疗</x:t>
        </x:is>
      </x:c>
      <x:c r="M56" s="56" t="inlineStr">
        <x:is>
          <x:t xml:space="preserve">治疗方案名称与患者本人的医疗事实</x:t>
        </x:is>
      </x:c>
      <x:c r="N56" s="56" t="inlineStr">
        <x:is>
          <x:t xml:space="preserve">患者接受激素治疗已 14 个月</x:t>
        </x:is>
      </x:c>
      <x:c r="O56" s="55" t="inlineStr">
        <x:is>
          <x:t xml:space="preserve">中</x:t>
        </x:is>
      </x:c>
      <x:c r="P56" s="55" t="inlineStr">
        <x:is>
          <x:t xml:space="preserve">否</x:t>
        </x:is>
      </x:c>
      <x:c r="Q56" s="56" t="n"/>
      <x:c r="R56" s="57" t="inlineStr">
        <x:is>
          <x:t xml:space="preserve">主集</x:t>
        </x:is>
      </x:c>
      <x:c r="S56" s="57" t="inlineStr">
        <x:is>
          <x:t xml:space="preserve">test</x:t>
        </x:is>
      </x:c>
      <x:c r="T56" s="57" t="inlineStr">
        <x:is>
          <x:t xml:space="preserve"/>
        </x:is>
      </x:c>
    </x:row>
    <x:row r="57" s="37" customFormat="1" ht="29.850000381469727" customHeight="1">
      <x:c r="A57" s="58" t="inlineStr">
        <x:is>
          <x:t xml:space="preserve">NEG-0056</x:t>
        </x:is>
      </x:c>
      <x:c r="B57" s="58" t="inlineStr">
        <x:is>
          <x:t xml:space="preserve">v2</x:t>
        </x:is>
      </x:c>
      <x:c r="C57" s="59" t="inlineStr">
        <x:is>
          <x:t xml:space="preserve">二、生理与医学必需</x:t>
        </x:is>
      </x:c>
      <x:c r="D57" s="59" t="inlineStr">
        <x:is>
          <x:t xml:space="preserve">2.5 性别确认医疗与性健康</x:t>
        </x:is>
      </x:c>
      <x:c r="E57" s="59" t="inlineStr">
        <x:is>
          <x:t xml:space="preserve">医疗健康</x:t>
        </x:is>
      </x:c>
      <x:c r="F57" s="59" t="inlineStr">
        <x:is>
          <x:t xml:space="preserve">临床共识</x:t>
        </x:is>
      </x:c>
      <x:c r="G57" s="58" t="inlineStr">
        <x:is>
          <x:t xml:space="preserve">无</x:t>
        </x:is>
      </x:c>
      <x:c r="H57" s="58" t="str">
        <x:f>IF(LEN(I57)&lt;15,"短",IF(LEN(I57)&lt;=45,"中","长"))</x:f>
        <x:v>中</x:v>
      </x:c>
      <x:c r="I57" s="59" t="inlineStr">
        <x:is>
          <x:t xml:space="preserve">青春期阻断剂的使用需经多学科评估，并取得本人与监护人的知情同意。</x:t>
        </x:is>
      </x:c>
      <x:c r="J57" s="59" t="str">
        <x:f>I57</x:f>
        <x:v>青春期阻断剂的使用需经多学科评估，并取得本人与监护人的知情同意。</x:v>
      </x:c>
      <x:c r="K57" s="58" t="inlineStr">
        <x:is>
          <x:t xml:space="preserve">无需改写</x:t>
        </x:is>
      </x:c>
      <x:c r="L57" s="59" t="inlineStr">
        <x:is>
          <x:t xml:space="preserve">青春期阻断剂</x:t>
        </x:is>
      </x:c>
      <x:c r="M57" s="59" t="inlineStr">
        <x:is>
          <x:t xml:space="preserve">医疗规范表述</x:t>
        </x:is>
      </x:c>
      <x:c r="N57" s="59" t="inlineStr">
        <x:is>
          <x:t xml:space="preserve">相关药物的使用需经多学科评估</x:t>
        </x:is>
      </x:c>
      <x:c r="O57" s="58" t="inlineStr">
        <x:is>
          <x:t xml:space="preserve">易</x:t>
        </x:is>
      </x:c>
      <x:c r="P57" s="58" t="inlineStr">
        <x:is>
          <x:t xml:space="preserve">否</x:t>
        </x:is>
      </x:c>
      <x:c r="Q57" s="59" t="n"/>
      <x:c r="R57" s="60" t="inlineStr">
        <x:is>
          <x:t xml:space="preserve">隔离·待确认</x:t>
        </x:is>
      </x:c>
      <x:c r="S57" s="60" t="inlineStr">
        <x:is>
          <x:t xml:space="preserve"/>
        </x:is>
      </x:c>
      <x:c r="T57" s="60" t="inlineStr">
        <x:is>
          <x:t xml:space="preserve">触发词不含性别编码——判断可能依赖世界知识而非句内信息</x:t>
        </x:is>
      </x:c>
    </x:row>
    <x:row r="58" s="37" customFormat="1" ht="29.850000381469727" customHeight="1">
      <x:c r="A58" s="55" t="inlineStr">
        <x:is>
          <x:t xml:space="preserve">NEG-0057</x:t>
        </x:is>
      </x:c>
      <x:c r="B58" s="55" t="inlineStr">
        <x:is>
          <x:t xml:space="preserve">v2</x:t>
        </x:is>
      </x:c>
      <x:c r="C58" s="56" t="inlineStr">
        <x:is>
          <x:t xml:space="preserve">二、生理与医学必需</x:t>
        </x:is>
      </x:c>
      <x:c r="D58" s="56" t="inlineStr">
        <x:is>
          <x:t xml:space="preserve">2.5 性别确认医疗与性健康</x:t>
        </x:is>
      </x:c>
      <x:c r="E58" s="56" t="inlineStr">
        <x:is>
          <x:t xml:space="preserve">医疗健康</x:t>
        </x:is>
      </x:c>
      <x:c r="F58" s="56" t="inlineStr">
        <x:is>
          <x:t xml:space="preserve">门诊记录</x:t>
        </x:is>
      </x:c>
      <x:c r="G58" s="55" t="inlineStr">
        <x:is>
          <x:t xml:space="preserve">无</x:t>
        </x:is>
      </x:c>
      <x:c r="H58" s="55" t="str">
        <x:f>IF(LEN(I58)&lt;15,"短",IF(LEN(I58)&lt;=45,"中","长"))</x:f>
        <x:v>中</x:v>
      </x:c>
      <x:c r="I58" s="56" t="inlineStr">
        <x:is>
          <x:t xml:space="preserve">跨性别女性长期使用雌激素者，需定期评估静脉血栓风险。</x:t>
        </x:is>
      </x:c>
      <x:c r="J58" s="56" t="str">
        <x:f>I58</x:f>
        <x:v>跨性别女性长期使用雌激素者，需定期评估静脉血栓风险。</x:v>
      </x:c>
      <x:c r="K58" s="55" t="inlineStr">
        <x:is>
          <x:t xml:space="preserve">无需改写</x:t>
        </x:is>
      </x:c>
      <x:c r="L58" s="56" t="inlineStr">
        <x:is>
          <x:t xml:space="preserve">跨性别女性/雌激素</x:t>
        </x:is>
      </x:c>
      <x:c r="M58" s="56" t="inlineStr">
        <x:is>
          <x:t xml:space="preserve">特定人群的用药监测要求</x:t>
        </x:is>
      </x:c>
      <x:c r="N58" s="56" t="inlineStr">
        <x:is>
          <x:t xml:space="preserve">长期使用相关激素者需定期评估血栓风险</x:t>
        </x:is>
      </x:c>
      <x:c r="O58" s="55" t="inlineStr">
        <x:is>
          <x:t xml:space="preserve">中</x:t>
        </x:is>
      </x:c>
      <x:c r="P58" s="55" t="inlineStr">
        <x:is>
          <x:t xml:space="preserve">否</x:t>
        </x:is>
      </x:c>
      <x:c r="Q58" s="56" t="n"/>
      <x:c r="R58" s="57" t="inlineStr">
        <x:is>
          <x:t xml:space="preserve">主集</x:t>
        </x:is>
      </x:c>
      <x:c r="S58" s="57" t="inlineStr">
        <x:is>
          <x:t xml:space="preserve">dev</x:t>
        </x:is>
      </x:c>
      <x:c r="T58" s="57" t="inlineStr">
        <x:is>
          <x:t xml:space="preserve"/>
        </x:is>
      </x:c>
    </x:row>
    <x:row r="59" s="37" customFormat="1" ht="29.850000381469727" customHeight="1">
      <x:c r="A59" s="55" t="inlineStr">
        <x:is>
          <x:t xml:space="preserve">NEG-0058</x:t>
        </x:is>
      </x:c>
      <x:c r="B59" s="55" t="inlineStr">
        <x:is>
          <x:t xml:space="preserve">v2</x:t>
        </x:is>
      </x:c>
      <x:c r="C59" s="56" t="inlineStr">
        <x:is>
          <x:t xml:space="preserve">二、生理与医学必需</x:t>
        </x:is>
      </x:c>
      <x:c r="D59" s="56" t="inlineStr">
        <x:is>
          <x:t xml:space="preserve">2.5 性别确认医疗与性健康</x:t>
        </x:is>
      </x:c>
      <x:c r="E59" s="56" t="inlineStr">
        <x:is>
          <x:t xml:space="preserve">医疗健康</x:t>
        </x:is>
      </x:c>
      <x:c r="F59" s="56" t="inlineStr">
        <x:is>
          <x:t xml:space="preserve">公共卫生</x:t>
        </x:is>
      </x:c>
      <x:c r="G59" s="55" t="inlineStr">
        <x:is>
          <x:t xml:space="preserve">无</x:t>
        </x:is>
      </x:c>
      <x:c r="H59" s="55" t="str">
        <x:f>IF(LEN(I59)&lt;15,"短",IF(LEN(I59)&lt;=45,"中","长"))</x:f>
        <x:v>中</x:v>
      </x:c>
      <x:c r="I59" s="56" t="inlineStr">
        <x:is>
          <x:t xml:space="preserve">男男性行为人群的 HIV 感染风险显著高于一般人群，建议定期检测。</x:t>
        </x:is>
      </x:c>
      <x:c r="J59" s="56" t="str">
        <x:f>I59</x:f>
        <x:v>男男性行为人群的 HIV 感染风险显著高于一般人群，建议定期检测。</x:v>
      </x:c>
      <x:c r="K59" s="55" t="inlineStr">
        <x:is>
          <x:t xml:space="preserve">无需改写</x:t>
        </x:is>
      </x:c>
      <x:c r="L59" s="56" t="inlineStr">
        <x:is>
          <x:t xml:space="preserve">男男性行为人群</x:t>
        </x:is>
      </x:c>
      <x:c r="M59" s="56" t="inlineStr">
        <x:is>
          <x:t xml:space="preserve">流行病学高危人群界定</x:t>
        </x:is>
      </x:c>
      <x:c r="N59" s="56" t="inlineStr">
        <x:is>
          <x:t xml:space="preserve">部分人群的 HIV 感染风险较高，建议定期检测</x:t>
        </x:is>
      </x:c>
      <x:c r="O59" s="55" t="inlineStr">
        <x:is>
          <x:t xml:space="preserve">中</x:t>
        </x:is>
      </x:c>
      <x:c r="P59" s="55" t="inlineStr">
        <x:is>
          <x:t xml:space="preserve">否</x:t>
        </x:is>
      </x:c>
      <x:c r="Q59" s="56" t="inlineStr">
        <x:is>
          <x:t xml:space="preserve">模糊化会削弱公共卫生干预的针对性</x:t>
        </x:is>
      </x:c>
      <x:c r="R59" s="57" t="inlineStr">
        <x:is>
          <x:t xml:space="preserve">主集</x:t>
        </x:is>
      </x:c>
      <x:c r="S59" s="57" t="inlineStr">
        <x:is>
          <x:t xml:space="preserve">index</x:t>
        </x:is>
      </x:c>
      <x:c r="T59" s="57" t="inlineStr">
        <x:is>
          <x:t xml:space="preserve"/>
        </x:is>
      </x:c>
    </x:row>
    <x:row r="60" s="37" customFormat="1" ht="29.850000381469727" customHeight="1">
      <x:c r="A60" s="55" t="inlineStr">
        <x:is>
          <x:t xml:space="preserve">NEG-0059</x:t>
        </x:is>
      </x:c>
      <x:c r="B60" s="55" t="inlineStr">
        <x:is>
          <x:t xml:space="preserve">v2</x:t>
        </x:is>
      </x:c>
      <x:c r="C60" s="56" t="inlineStr">
        <x:is>
          <x:t xml:space="preserve">二、生理与医学必需</x:t>
        </x:is>
      </x:c>
      <x:c r="D60" s="56" t="inlineStr">
        <x:is>
          <x:t xml:space="preserve">2.5 性别确认医疗与性健康</x:t>
        </x:is>
      </x:c>
      <x:c r="E60" s="56" t="inlineStr">
        <x:is>
          <x:t xml:space="preserve">医疗健康</x:t>
        </x:is>
      </x:c>
      <x:c r="F60" s="56" t="inlineStr">
        <x:is>
          <x:t xml:space="preserve">科普问答</x:t>
        </x:is>
      </x:c>
      <x:c r="G60" s="55" t="inlineStr">
        <x:is>
          <x:t xml:space="preserve">无</x:t>
        </x:is>
      </x:c>
      <x:c r="H60" s="55" t="str">
        <x:f>IF(LEN(I60)&lt;15,"短",IF(LEN(I60)&lt;=45,"中","长"))</x:f>
        <x:v>中</x:v>
      </x:c>
      <x:c r="I60" s="56" t="inlineStr">
        <x:is>
          <x:t xml:space="preserve">长效可逆避孕方式包括宫内节育器和皮下埋植剂，适用于暂无生育计划的女性。</x:t>
        </x:is>
      </x:c>
      <x:c r="J60" s="56" t="str">
        <x:f>I60</x:f>
        <x:v>长效可逆避孕方式包括宫内节育器和皮下埋植剂，适用于暂无生育计划的女性。</x:v>
      </x:c>
      <x:c r="K60" s="55" t="inlineStr">
        <x:is>
          <x:t xml:space="preserve">无需改写</x:t>
        </x:is>
      </x:c>
      <x:c r="L60" s="56" t="inlineStr">
        <x:is>
          <x:t xml:space="preserve">宫内节育器/女性</x:t>
        </x:is>
      </x:c>
      <x:c r="M60" s="56" t="inlineStr">
        <x:is>
          <x:t xml:space="preserve">避孕方式的适用人群</x:t>
        </x:is>
      </x:c>
      <x:c r="N60" s="56" t="inlineStr">
        <x:is>
          <x:t xml:space="preserve">长效可逆避孕方式适用于暂无生育计划的人群</x:t>
        </x:is>
      </x:c>
      <x:c r="O60" s="55" t="inlineStr">
        <x:is>
          <x:t xml:space="preserve">中</x:t>
        </x:is>
      </x:c>
      <x:c r="P60" s="55" t="inlineStr">
        <x:is>
          <x:t xml:space="preserve">否</x:t>
        </x:is>
      </x:c>
      <x:c r="Q60" s="56" t="n"/>
      <x:c r="R60" s="57" t="inlineStr">
        <x:is>
          <x:t xml:space="preserve">主集</x:t>
        </x:is>
      </x:c>
      <x:c r="S60" s="57" t="inlineStr">
        <x:is>
          <x:t xml:space="preserve">dev</x:t>
        </x:is>
      </x:c>
      <x:c r="T60" s="57" t="inlineStr">
        <x:is>
          <x:t xml:space="preserve"/>
        </x:is>
      </x:c>
    </x:row>
    <x:row r="61" s="37" customFormat="1" ht="29.850000381469727" customHeight="1">
      <x:c r="A61" s="55" t="inlineStr">
        <x:is>
          <x:t xml:space="preserve">NEG-0060</x:t>
        </x:is>
      </x:c>
      <x:c r="B61" s="55" t="inlineStr">
        <x:is>
          <x:t xml:space="preserve">v2</x:t>
        </x:is>
      </x:c>
      <x:c r="C61" s="56" t="inlineStr">
        <x:is>
          <x:t xml:space="preserve">二、生理与医学必需</x:t>
        </x:is>
      </x:c>
      <x:c r="D61" s="56" t="inlineStr">
        <x:is>
          <x:t xml:space="preserve">2.6 鉴定与研究场景</x:t>
        </x:is>
      </x:c>
      <x:c r="E61" s="56" t="inlineStr">
        <x:is>
          <x:t xml:space="preserve">法律与司法</x:t>
        </x:is>
      </x:c>
      <x:c r="F61" s="56" t="inlineStr">
        <x:is>
          <x:t xml:space="preserve">鉴定意见书</x:t>
        </x:is>
      </x:c>
      <x:c r="G61" s="55" t="inlineStr">
        <x:is>
          <x:t xml:space="preserve">无</x:t>
        </x:is>
      </x:c>
      <x:c r="H61" s="55" t="str">
        <x:f>IF(LEN(I61)&lt;15,"短",IF(LEN(I61)&lt;=45,"中","长"))</x:f>
        <x:v>中</x:v>
      </x:c>
      <x:c r="I61" s="56" t="inlineStr">
        <x:is>
          <x:t xml:space="preserve">根据耻骨联合面形态及骨盆入口指数，推断死者为女性，年龄 30 至 40 岁。</x:t>
        </x:is>
      </x:c>
      <x:c r="J61" s="56" t="str">
        <x:f>I61</x:f>
        <x:v>根据耻骨联合面形态及骨盆入口指数，推断死者为女性，年龄 30 至 40 岁。</x:v>
      </x:c>
      <x:c r="K61" s="55" t="inlineStr">
        <x:is>
          <x:t xml:space="preserve">无需改写</x:t>
        </x:is>
      </x:c>
      <x:c r="L61" s="56" t="inlineStr">
        <x:is>
          <x:t xml:space="preserve">女性</x:t>
        </x:is>
      </x:c>
      <x:c r="M61" s="56" t="inlineStr">
        <x:is>
          <x:t xml:space="preserve">法医学鉴定结论</x:t>
        </x:is>
      </x:c>
      <x:c r="N61" s="56" t="inlineStr">
        <x:is>
          <x:t xml:space="preserve">推断死者年龄为 30 至 40 岁</x:t>
        </x:is>
      </x:c>
      <x:c r="O61" s="55" t="inlineStr">
        <x:is>
          <x:t xml:space="preserve">易</x:t>
        </x:is>
      </x:c>
      <x:c r="P61" s="55" t="inlineStr">
        <x:is>
          <x:t xml:space="preserve">否</x:t>
        </x:is>
      </x:c>
      <x:c r="Q61" s="56" t="n"/>
      <x:c r="R61" s="57" t="inlineStr">
        <x:is>
          <x:t xml:space="preserve">主集</x:t>
        </x:is>
      </x:c>
      <x:c r="S61" s="57" t="inlineStr">
        <x:is>
          <x:t xml:space="preserve">test</x:t>
        </x:is>
      </x:c>
      <x:c r="T61" s="57" t="inlineStr">
        <x:is>
          <x:t xml:space="preserve"/>
        </x:is>
      </x:c>
    </x:row>
    <x:row r="62" s="37" customFormat="1" ht="29.850000381469727" customHeight="1">
      <x:c r="A62" s="55" t="inlineStr">
        <x:is>
          <x:t xml:space="preserve">NEG-0061</x:t>
        </x:is>
      </x:c>
      <x:c r="B62" s="55" t="inlineStr">
        <x:is>
          <x:t xml:space="preserve">v2</x:t>
        </x:is>
      </x:c>
      <x:c r="C62" s="56" t="inlineStr">
        <x:is>
          <x:t xml:space="preserve">二、生理与医学必需</x:t>
        </x:is>
      </x:c>
      <x:c r="D62" s="56" t="inlineStr">
        <x:is>
          <x:t xml:space="preserve">2.6 鉴定与研究场景</x:t>
        </x:is>
      </x:c>
      <x:c r="E62" s="56" t="inlineStr">
        <x:is>
          <x:t xml:space="preserve">学术与调研</x:t>
        </x:is>
      </x:c>
      <x:c r="F62" s="56" t="inlineStr">
        <x:is>
          <x:t xml:space="preserve">考古报告</x:t>
        </x:is>
      </x:c>
      <x:c r="G62" s="55" t="inlineStr">
        <x:is>
          <x:t xml:space="preserve">无</x:t>
        </x:is>
      </x:c>
      <x:c r="H62" s="55" t="str">
        <x:f>IF(LEN(I62)&lt;15,"短",IF(LEN(I62)&lt;=45,"中","长"))</x:f>
        <x:v>中</x:v>
      </x:c>
      <x:c r="I62" s="56" t="inlineStr">
        <x:is>
          <x:t xml:space="preserve">M12 号墓主为男性，随葬品以兵器为主，未见纺织工具。</x:t>
        </x:is>
      </x:c>
      <x:c r="J62" s="56" t="str">
        <x:f>I62</x:f>
        <x:v>M12 号墓主为男性，随葬品以兵器为主，未见纺织工具。</x:v>
      </x:c>
      <x:c r="K62" s="55" t="inlineStr">
        <x:is>
          <x:t xml:space="preserve">无需改写</x:t>
        </x:is>
      </x:c>
      <x:c r="L62" s="56" t="inlineStr">
        <x:is>
          <x:t xml:space="preserve">男性</x:t>
        </x:is>
      </x:c>
      <x:c r="M62" s="56" t="inlineStr">
        <x:is>
          <x:t xml:space="preserve">考古学个体鉴定与随葬品组合分析</x:t>
        </x:is>
      </x:c>
      <x:c r="N62" s="56" t="inlineStr">
        <x:is>
          <x:t xml:space="preserve">M12 号墓主随葬品以兵器为主</x:t>
        </x:is>
      </x:c>
      <x:c r="O62" s="55" t="inlineStr">
        <x:is>
          <x:t xml:space="preserve">易</x:t>
        </x:is>
      </x:c>
      <x:c r="P62" s="55" t="inlineStr">
        <x:is>
          <x:t xml:space="preserve">否</x:t>
        </x:is>
      </x:c>
      <x:c r="Q62" s="56" t="n"/>
      <x:c r="R62" s="57" t="inlineStr">
        <x:is>
          <x:t xml:space="preserve">主集</x:t>
        </x:is>
      </x:c>
      <x:c r="S62" s="57" t="inlineStr">
        <x:is>
          <x:t xml:space="preserve">index</x:t>
        </x:is>
      </x:c>
      <x:c r="T62" s="57" t="inlineStr">
        <x:is>
          <x:t xml:space="preserve"/>
        </x:is>
      </x:c>
    </x:row>
    <x:row r="63" s="37" customFormat="1" ht="29.850000381469727" customHeight="1">
      <x:c r="A63" s="55" t="inlineStr">
        <x:is>
          <x:t xml:space="preserve">NEG-0062</x:t>
        </x:is>
      </x:c>
      <x:c r="B63" s="55" t="inlineStr">
        <x:is>
          <x:t xml:space="preserve">v2</x:t>
        </x:is>
      </x:c>
      <x:c r="C63" s="56" t="inlineStr">
        <x:is>
          <x:t xml:space="preserve">二、生理与医学必需</x:t>
        </x:is>
      </x:c>
      <x:c r="D63" s="56" t="inlineStr">
        <x:is>
          <x:t xml:space="preserve">2.6 鉴定与研究场景</x:t>
        </x:is>
      </x:c>
      <x:c r="E63" s="56" t="inlineStr">
        <x:is>
          <x:t xml:space="preserve">学术与调研</x:t>
        </x:is>
      </x:c>
      <x:c r="F63" s="56" t="inlineStr">
        <x:is>
          <x:t xml:space="preserve">学术论文</x:t>
        </x:is>
      </x:c>
      <x:c r="G63" s="55" t="inlineStr">
        <x:is>
          <x:t xml:space="preserve">无</x:t>
        </x:is>
      </x:c>
      <x:c r="H63" s="55" t="str">
        <x:f>IF(LEN(I63)&lt;15,"短",IF(LEN(I63)&lt;=45,"中","长"))</x:f>
        <x:v>中</x:v>
      </x:c>
      <x:c r="I63" s="56" t="inlineStr">
        <x:is>
          <x:t xml:space="preserve">本研究对 12 万名受试者按性别分层，分别估计吸烟与肺癌的关联强度。</x:t>
        </x:is>
      </x:c>
      <x:c r="J63" s="56" t="str">
        <x:f>I63</x:f>
        <x:v>本研究对 12 万名受试者按性别分层，分别估计吸烟与肺癌的关联强度。</x:v>
      </x:c>
      <x:c r="K63" s="55" t="inlineStr">
        <x:is>
          <x:t xml:space="preserve">无需改写</x:t>
        </x:is>
      </x:c>
      <x:c r="L63" s="56" t="inlineStr">
        <x:is>
          <x:t xml:space="preserve">性别分层</x:t>
        </x:is>
      </x:c>
      <x:c r="M63" s="56" t="inlineStr">
        <x:is>
          <x:t xml:space="preserve">研究方法学</x:t>
        </x:is>
      </x:c>
      <x:c r="N63" s="56" t="inlineStr">
        <x:is>
          <x:t xml:space="preserve">本研究对 12 万名受试者进行了分层分析</x:t>
        </x:is>
      </x:c>
      <x:c r="O63" s="55" t="inlineStr">
        <x:is>
          <x:t xml:space="preserve">易</x:t>
        </x:is>
      </x:c>
      <x:c r="P63" s="55" t="inlineStr">
        <x:is>
          <x:t xml:space="preserve">否</x:t>
        </x:is>
      </x:c>
      <x:c r="Q63" s="56" t="n"/>
      <x:c r="R63" s="57" t="inlineStr">
        <x:is>
          <x:t xml:space="preserve">主集</x:t>
        </x:is>
      </x:c>
      <x:c r="S63" s="57" t="inlineStr">
        <x:is>
          <x:t xml:space="preserve">index</x:t>
        </x:is>
      </x:c>
      <x:c r="T63" s="57" t="inlineStr">
        <x:is>
          <x:t xml:space="preserve"/>
        </x:is>
      </x:c>
    </x:row>
    <x:row r="64" s="37" customFormat="1" ht="29.850000381469727" customHeight="1">
      <x:c r="A64" s="55" t="inlineStr">
        <x:is>
          <x:t xml:space="preserve">NEG-0063</x:t>
        </x:is>
      </x:c>
      <x:c r="B64" s="55" t="inlineStr">
        <x:is>
          <x:t xml:space="preserve">v2</x:t>
        </x:is>
      </x:c>
      <x:c r="C64" s="56" t="inlineStr">
        <x:is>
          <x:t xml:space="preserve">二、生理与医学必需</x:t>
        </x:is>
      </x:c>
      <x:c r="D64" s="56" t="inlineStr">
        <x:is>
          <x:t xml:space="preserve">2.6 鉴定与研究场景</x:t>
        </x:is>
      </x:c>
      <x:c r="E64" s="56" t="inlineStr">
        <x:is>
          <x:t xml:space="preserve">新闻报道</x:t>
        </x:is>
      </x:c>
      <x:c r="F64" s="56" t="inlineStr">
        <x:is>
          <x:t xml:space="preserve">新闻报道</x:t>
        </x:is>
      </x:c>
      <x:c r="G64" s="55" t="inlineStr">
        <x:is>
          <x:t xml:space="preserve">无</x:t>
        </x:is>
      </x:c>
      <x:c r="H64" s="55" t="str">
        <x:f>IF(LEN(I64)&lt;15,"短",IF(LEN(I64)&lt;=45,"中","长"))</x:f>
        <x:v>中</x:v>
      </x:c>
      <x:c r="I64" s="56" t="inlineStr">
        <x:is>
          <x:t xml:space="preserve">DNA 比对已确认，遇难的五人中包含两名女性和一名未成年人。</x:t>
        </x:is>
      </x:c>
      <x:c r="J64" s="56" t="str">
        <x:f>I64</x:f>
        <x:v>DNA 比对已确认，遇难的五人中包含两名女性和一名未成年人。</x:v>
      </x:c>
      <x:c r="K64" s="55" t="inlineStr">
        <x:is>
          <x:t xml:space="preserve">无需改写</x:t>
        </x:is>
      </x:c>
      <x:c r="L64" s="56" t="inlineStr">
        <x:is>
          <x:t xml:space="preserve">女性</x:t>
        </x:is>
      </x:c>
      <x:c r="M64" s="56" t="inlineStr">
        <x:is>
          <x:t xml:space="preserve">事故通报中的遇难者构成</x:t>
        </x:is>
      </x:c>
      <x:c r="N64" s="56" t="inlineStr">
        <x:is>
          <x:t xml:space="preserve">DNA 比对已确认遇难者共五人</x:t>
        </x:is>
      </x:c>
      <x:c r="O64" s="55" t="inlineStr">
        <x:is>
          <x:t xml:space="preserve">易</x:t>
        </x:is>
      </x:c>
      <x:c r="P64" s="55" t="inlineStr">
        <x:is>
          <x:t xml:space="preserve">否</x:t>
        </x:is>
      </x:c>
      <x:c r="Q64" s="56" t="n"/>
      <x:c r="R64" s="57" t="inlineStr">
        <x:is>
          <x:t xml:space="preserve">主集</x:t>
        </x:is>
      </x:c>
      <x:c r="S64" s="57" t="inlineStr">
        <x:is>
          <x:t xml:space="preserve">dev</x:t>
        </x:is>
      </x:c>
      <x:c r="T64" s="57" t="inlineStr">
        <x:is>
          <x:t xml:space="preserve"/>
        </x:is>
      </x:c>
    </x:row>
    <x:row r="65" s="37" customFormat="1" ht="29.850000381469727" customHeight="1">
      <x:c r="A65" s="55" t="inlineStr">
        <x:is>
          <x:t xml:space="preserve">NEG-0064</x:t>
        </x:is>
      </x:c>
      <x:c r="B65" s="55" t="inlineStr">
        <x:is>
          <x:t xml:space="preserve">v2</x:t>
        </x:is>
      </x:c>
      <x:c r="C65" s="56" t="inlineStr">
        <x:is>
          <x:t xml:space="preserve">二、生理与医学必需</x:t>
        </x:is>
      </x:c>
      <x:c r="D65" s="56" t="inlineStr">
        <x:is>
          <x:t xml:space="preserve">2.6 鉴定与研究场景</x:t>
        </x:is>
      </x:c>
      <x:c r="E65" s="56" t="inlineStr">
        <x:is>
          <x:t xml:space="preserve">学术与调研</x:t>
        </x:is>
      </x:c>
      <x:c r="F65" s="56" t="inlineStr">
        <x:is>
          <x:t xml:space="preserve">教材</x:t>
        </x:is>
      </x:c>
      <x:c r="G65" s="55" t="inlineStr">
        <x:is>
          <x:t xml:space="preserve">无</x:t>
        </x:is>
      </x:c>
      <x:c r="H65" s="55" t="str">
        <x:f>IF(LEN(I65)&lt;15,"短",IF(LEN(I65)&lt;=45,"中","长"))</x:f>
        <x:v>中</x:v>
      </x:c>
      <x:c r="I65" s="56" t="inlineStr">
        <x:is>
          <x:t xml:space="preserve">体质人类学常用颅骨眉弓隆起与乳突大小辅助判断个体性别。</x:t>
        </x:is>
      </x:c>
      <x:c r="J65" s="56" t="str">
        <x:f>I65</x:f>
        <x:v>体质人类学常用颅骨眉弓隆起与乳突大小辅助判断个体性别。</x:v>
      </x:c>
      <x:c r="K65" s="55" t="inlineStr">
        <x:is>
          <x:t xml:space="preserve">无需改写</x:t>
        </x:is>
      </x:c>
      <x:c r="L65" s="56" t="inlineStr">
        <x:is>
          <x:t xml:space="preserve">个体性别</x:t>
        </x:is>
      </x:c>
      <x:c r="M65" s="56" t="inlineStr">
        <x:is>
          <x:t xml:space="preserve">学科方法介绍</x:t>
        </x:is>
      </x:c>
      <x:c r="N65" s="56" t="inlineStr">
        <x:is>
          <x:t xml:space="preserve">体质人类学常用颅骨特征辅助个体识别</x:t>
        </x:is>
      </x:c>
      <x:c r="O65" s="55" t="inlineStr">
        <x:is>
          <x:t xml:space="preserve">易</x:t>
        </x:is>
      </x:c>
      <x:c r="P65" s="55" t="inlineStr">
        <x:is>
          <x:t xml:space="preserve">否</x:t>
        </x:is>
      </x:c>
      <x:c r="Q65" s="56" t="n"/>
      <x:c r="R65" s="57" t="inlineStr">
        <x:is>
          <x:t xml:space="preserve">主集</x:t>
        </x:is>
      </x:c>
      <x:c r="S65" s="57" t="inlineStr">
        <x:is>
          <x:t xml:space="preserve">index</x:t>
        </x:is>
      </x:c>
      <x:c r="T65" s="57" t="inlineStr">
        <x:is>
          <x:t xml:space="preserve"/>
        </x:is>
      </x:c>
    </x:row>
    <x:row r="66" s="37" customFormat="1" ht="15" customHeight="1">
      <x:c r="A66" s="55" t="inlineStr">
        <x:is>
          <x:t xml:space="preserve">NEG-0065</x:t>
        </x:is>
      </x:c>
      <x:c r="B66" s="55" t="inlineStr">
        <x:is>
          <x:t xml:space="preserve">v2</x:t>
        </x:is>
      </x:c>
      <x:c r="C66" s="56" t="inlineStr">
        <x:is>
          <x:t xml:space="preserve">三、制度性与统计性区分</x:t>
        </x:is>
      </x:c>
      <x:c r="D66" s="56" t="inlineStr">
        <x:is>
          <x:t xml:space="preserve">3.1 法律与行政身份</x:t>
        </x:is>
      </x:c>
      <x:c r="E66" s="56" t="inlineStr">
        <x:is>
          <x:t xml:space="preserve">公文与规章</x:t>
        </x:is>
      </x:c>
      <x:c r="F66" s="56" t="inlineStr">
        <x:is>
          <x:t xml:space="preserve">表单</x:t>
        </x:is>
      </x:c>
      <x:c r="G66" s="55" t="inlineStr">
        <x:is>
          <x:t xml:space="preserve">无</x:t>
        </x:is>
      </x:c>
      <x:c r="H66" s="55" t="str">
        <x:f>IF(LEN(I66)&lt;15,"短",IF(LEN(I66)&lt;=45,"中","长"))</x:f>
        <x:v>中</x:v>
      </x:c>
      <x:c r="I66" s="56" t="inlineStr">
        <x:is>
          <x:t xml:space="preserve">请依次填写姓名、性别、出生日期及身份证号码。</x:t>
        </x:is>
      </x:c>
      <x:c r="J66" s="56" t="str">
        <x:f>I66</x:f>
        <x:v>请依次填写姓名、性别、出生日期及身份证号码。</x:v>
      </x:c>
      <x:c r="K66" s="55" t="inlineStr">
        <x:is>
          <x:t xml:space="preserve">无需改写</x:t>
        </x:is>
      </x:c>
      <x:c r="L66" s="56" t="inlineStr">
        <x:is>
          <x:t xml:space="preserve">性别</x:t>
        </x:is>
      </x:c>
      <x:c r="M66" s="56" t="inlineStr">
        <x:is>
          <x:t xml:space="preserve">法定登记项目</x:t>
        </x:is>
      </x:c>
      <x:c r="N66" s="56" t="inlineStr">
        <x:is>
          <x:t xml:space="preserve">请依次填写姓名、出生日期及身份证号码</x:t>
        </x:is>
      </x:c>
      <x:c r="O66" s="55" t="inlineStr">
        <x:is>
          <x:t xml:space="preserve">易</x:t>
        </x:is>
      </x:c>
      <x:c r="P66" s="55" t="inlineStr">
        <x:is>
          <x:t xml:space="preserve">否</x:t>
        </x:is>
      </x:c>
      <x:c r="Q66" s="56" t="n"/>
      <x:c r="R66" s="57" t="inlineStr">
        <x:is>
          <x:t xml:space="preserve">主集</x:t>
        </x:is>
      </x:c>
      <x:c r="S66" s="57" t="inlineStr">
        <x:is>
          <x:t xml:space="preserve">index</x:t>
        </x:is>
      </x:c>
      <x:c r="T66" s="57" t="inlineStr">
        <x:is>
          <x:t xml:space="preserve"/>
        </x:is>
      </x:c>
    </x:row>
    <x:row r="67" s="37" customFormat="1" ht="29.850000381469727" customHeight="1">
      <x:c r="A67" s="55" t="inlineStr">
        <x:is>
          <x:t xml:space="preserve">NEG-0066</x:t>
        </x:is>
      </x:c>
      <x:c r="B67" s="55" t="inlineStr">
        <x:is>
          <x:t xml:space="preserve">v2</x:t>
        </x:is>
      </x:c>
      <x:c r="C67" s="56" t="inlineStr">
        <x:is>
          <x:t xml:space="preserve">三、制度性与统计性区分</x:t>
        </x:is>
      </x:c>
      <x:c r="D67" s="56" t="inlineStr">
        <x:is>
          <x:t xml:space="preserve">3.1 法律与行政身份</x:t>
        </x:is>
      </x:c>
      <x:c r="E67" s="56" t="inlineStr">
        <x:is>
          <x:t xml:space="preserve">法律与司法</x:t>
        </x:is>
      </x:c>
      <x:c r="F67" s="56" t="inlineStr">
        <x:is>
          <x:t xml:space="preserve">判决书</x:t>
        </x:is>
      </x:c>
      <x:c r="G67" s="55" t="inlineStr">
        <x:is>
          <x:t xml:space="preserve">无</x:t>
        </x:is>
      </x:c>
      <x:c r="H67" s="55" t="str">
        <x:f>IF(LEN(I67)&lt;15,"短",IF(LEN(I67)&lt;=45,"中","长"))</x:f>
        <x:v>中</x:v>
      </x:c>
      <x:c r="I67" s="56" t="inlineStr">
        <x:is>
          <x:t xml:space="preserve">原告与被告于 2015 年登记结婚，婚生女现年七岁，判决随母生活。</x:t>
        </x:is>
      </x:c>
      <x:c r="J67" s="56" t="str">
        <x:f>I67</x:f>
        <x:v>原告与被告于 2015 年登记结婚，婚生女现年七岁，判决随母生活。</x:v>
      </x:c>
      <x:c r="K67" s="55" t="inlineStr">
        <x:is>
          <x:t xml:space="preserve">无需改写</x:t>
        </x:is>
      </x:c>
      <x:c r="L67" s="56" t="inlineStr">
        <x:is>
          <x:t xml:space="preserve">婚生女/母</x:t>
        </x:is>
      </x:c>
      <x:c r="M67" s="56" t="inlineStr">
        <x:is>
          <x:t xml:space="preserve">抚养权判决的事实与主文</x:t>
        </x:is>
      </x:c>
      <x:c r="N67" s="56" t="inlineStr">
        <x:is>
          <x:t xml:space="preserve">婚生子女现年七岁，判决随一方生活</x:t>
        </x:is>
      </x:c>
      <x:c r="O67" s="55" t="inlineStr">
        <x:is>
          <x:t xml:space="preserve">易</x:t>
        </x:is>
      </x:c>
      <x:c r="P67" s="55" t="inlineStr">
        <x:is>
          <x:t xml:space="preserve">否</x:t>
        </x:is>
      </x:c>
      <x:c r="Q67" s="56" t="n"/>
      <x:c r="R67" s="57" t="inlineStr">
        <x:is>
          <x:t xml:space="preserve">主集</x:t>
        </x:is>
      </x:c>
      <x:c r="S67" s="57" t="inlineStr">
        <x:is>
          <x:t xml:space="preserve">test</x:t>
        </x:is>
      </x:c>
      <x:c r="T67" s="57" t="inlineStr">
        <x:is>
          <x:t xml:space="preserve"/>
        </x:is>
      </x:c>
    </x:row>
    <x:row r="68" s="37" customFormat="1" ht="29.850000381469727" customHeight="1">
      <x:c r="A68" s="55" t="inlineStr">
        <x:is>
          <x:t xml:space="preserve">NEG-0067</x:t>
        </x:is>
      </x:c>
      <x:c r="B68" s="55" t="inlineStr">
        <x:is>
          <x:t xml:space="preserve">v2</x:t>
        </x:is>
      </x:c>
      <x:c r="C68" s="56" t="inlineStr">
        <x:is>
          <x:t xml:space="preserve">三、制度性与统计性区分</x:t>
        </x:is>
      </x:c>
      <x:c r="D68" s="56" t="inlineStr">
        <x:is>
          <x:t xml:space="preserve">3.1 法律与行政身份</x:t>
        </x:is>
      </x:c>
      <x:c r="E68" s="56" t="inlineStr">
        <x:is>
          <x:t xml:space="preserve">公文与规章</x:t>
        </x:is>
      </x:c>
      <x:c r="F68" s="56" t="inlineStr">
        <x:is>
          <x:t xml:space="preserve">内部通知</x:t>
        </x:is>
      </x:c>
      <x:c r="G68" s="55" t="inlineStr">
        <x:is>
          <x:t xml:space="preserve">无</x:t>
        </x:is>
      </x:c>
      <x:c r="H68" s="55" t="str">
        <x:f>IF(LEN(I68)&lt;15,"短",IF(LEN(I68)&lt;=45,"中","长"))</x:f>
        <x:v>中</x:v>
      </x:c>
      <x:c r="I68" s="56" t="inlineStr">
        <x:is>
          <x:t xml:space="preserve">该同事已完成法律性别变更登记，请各业务系统于本周内同步更新。</x:t>
        </x:is>
      </x:c>
      <x:c r="J68" s="56" t="str">
        <x:f>I68</x:f>
        <x:v>该同事已完成法律性别变更登记，请各业务系统于本周内同步更新。</x:v>
      </x:c>
      <x:c r="K68" s="55" t="inlineStr">
        <x:is>
          <x:t xml:space="preserve">无需改写</x:t>
        </x:is>
      </x:c>
      <x:c r="L68" s="56" t="inlineStr">
        <x:is>
          <x:t xml:space="preserve">法律性别变更</x:t>
        </x:is>
      </x:c>
      <x:c r="M68" s="56" t="inlineStr">
        <x:is>
          <x:t xml:space="preserve">行政程序名称，且该表述本身即是包容做法</x:t>
        </x:is>
      </x:c>
      <x:c r="N68" s="56" t="inlineStr">
        <x:is>
          <x:t xml:space="preserve">该同事已完成信息变更登记</x:t>
        </x:is>
      </x:c>
      <x:c r="O68" s="55" t="inlineStr">
        <x:is>
          <x:t xml:space="preserve">中</x:t>
        </x:is>
      </x:c>
      <x:c r="P68" s="55" t="inlineStr">
        <x:is>
          <x:t xml:space="preserve">否</x:t>
        </x:is>
      </x:c>
      <x:c r="Q68" s="56" t="n"/>
      <x:c r="R68" s="57" t="inlineStr">
        <x:is>
          <x:t xml:space="preserve">主集</x:t>
        </x:is>
      </x:c>
      <x:c r="S68" s="57" t="inlineStr">
        <x:is>
          <x:t xml:space="preserve">index</x:t>
        </x:is>
      </x:c>
      <x:c r="T68" s="57" t="inlineStr">
        <x:is>
          <x:t xml:space="preserve"/>
        </x:is>
      </x:c>
    </x:row>
    <x:row r="69" s="37" customFormat="1" ht="29.850000381469727" customHeight="1">
      <x:c r="A69" s="55" t="inlineStr">
        <x:is>
          <x:t xml:space="preserve">NEG-0068</x:t>
        </x:is>
      </x:c>
      <x:c r="B69" s="55" t="inlineStr">
        <x:is>
          <x:t xml:space="preserve">v2</x:t>
        </x:is>
      </x:c>
      <x:c r="C69" s="56" t="inlineStr">
        <x:is>
          <x:t xml:space="preserve">三、制度性与统计性区分</x:t>
        </x:is>
      </x:c>
      <x:c r="D69" s="56" t="inlineStr">
        <x:is>
          <x:t xml:space="preserve">3.1 法律与行政身份</x:t>
        </x:is>
      </x:c>
      <x:c r="E69" s="56" t="inlineStr">
        <x:is>
          <x:t xml:space="preserve">公文与规章</x:t>
        </x:is>
      </x:c>
      <x:c r="F69" s="56" t="inlineStr">
        <x:is>
          <x:t xml:space="preserve">出入境须知</x:t>
        </x:is>
      </x:c>
      <x:c r="G69" s="55" t="inlineStr">
        <x:is>
          <x:t xml:space="preserve">无</x:t>
        </x:is>
      </x:c>
      <x:c r="H69" s="55" t="str">
        <x:f>IF(LEN(I69)&lt;15,"短",IF(LEN(I69)&lt;=45,"中","长"))</x:f>
        <x:v>中</x:v>
      </x:c>
      <x:c r="I69" s="56" t="inlineStr">
        <x:is>
          <x:t xml:space="preserve">护照资料页包含持照人姓名、性别、国籍、出生日期及签发机关。</x:t>
        </x:is>
      </x:c>
      <x:c r="J69" s="56" t="str">
        <x:f>I69</x:f>
        <x:v>护照资料页包含持照人姓名、性别、国籍、出生日期及签发机关。</x:v>
      </x:c>
      <x:c r="K69" s="55" t="inlineStr">
        <x:is>
          <x:t xml:space="preserve">无需改写</x:t>
        </x:is>
      </x:c>
      <x:c r="L69" s="56" t="inlineStr">
        <x:is>
          <x:t xml:space="preserve">性别</x:t>
        </x:is>
      </x:c>
      <x:c r="M69" s="56" t="inlineStr">
        <x:is>
          <x:t xml:space="preserve">证件规范内容</x:t>
        </x:is>
      </x:c>
      <x:c r="N69" s="56" t="inlineStr">
        <x:is>
          <x:t xml:space="preserve">护照资料页包含持照人基本信息及签发机关</x:t>
        </x:is>
      </x:c>
      <x:c r="O69" s="55" t="inlineStr">
        <x:is>
          <x:t xml:space="preserve">易</x:t>
        </x:is>
      </x:c>
      <x:c r="P69" s="55" t="inlineStr">
        <x:is>
          <x:t xml:space="preserve">否</x:t>
        </x:is>
      </x:c>
      <x:c r="Q69" s="56" t="n"/>
      <x:c r="R69" s="57" t="inlineStr">
        <x:is>
          <x:t xml:space="preserve">主集</x:t>
        </x:is>
      </x:c>
      <x:c r="S69" s="57" t="inlineStr">
        <x:is>
          <x:t xml:space="preserve">dev</x:t>
        </x:is>
      </x:c>
      <x:c r="T69" s="57" t="inlineStr">
        <x:is>
          <x:t xml:space="preserve"/>
        </x:is>
      </x:c>
    </x:row>
    <x:row r="70" s="37" customFormat="1" ht="15" customHeight="1">
      <x:c r="A70" s="55" t="inlineStr">
        <x:is>
          <x:t xml:space="preserve">NEG-0069</x:t>
        </x:is>
      </x:c>
      <x:c r="B70" s="55" t="inlineStr">
        <x:is>
          <x:t xml:space="preserve">v2</x:t>
        </x:is>
      </x:c>
      <x:c r="C70" s="56" t="inlineStr">
        <x:is>
          <x:t xml:space="preserve">三、制度性与统计性区分</x:t>
        </x:is>
      </x:c>
      <x:c r="D70" s="56" t="inlineStr">
        <x:is>
          <x:t xml:space="preserve">3.1 法律与行政身份</x:t>
        </x:is>
      </x:c>
      <x:c r="E70" s="56" t="inlineStr">
        <x:is>
          <x:t xml:space="preserve">公文与规章</x:t>
        </x:is>
      </x:c>
      <x:c r="F70" s="56" t="inlineStr">
        <x:is>
          <x:t xml:space="preserve">户籍档案</x:t>
        </x:is>
      </x:c>
      <x:c r="G70" s="55" t="inlineStr">
        <x:is>
          <x:t xml:space="preserve">无</x:t>
        </x:is>
      </x:c>
      <x:c r="H70" s="55" t="str">
        <x:f>IF(LEN(I70)&lt;15,"短",IF(LEN(I70)&lt;=45,"中","长"))</x:f>
        <x:v>中</x:v>
      </x:c>
      <x:c r="I70" s="56" t="inlineStr">
        <x:is>
          <x:t xml:space="preserve">户主之妻王某某，1978 年生，务农，1996 年迁入本户。</x:t>
        </x:is>
      </x:c>
      <x:c r="J70" s="56" t="str">
        <x:f>I70</x:f>
        <x:v>户主之妻王某某，1978 年生，务农，1996 年迁入本户。</x:v>
      </x:c>
      <x:c r="K70" s="55" t="inlineStr">
        <x:is>
          <x:t xml:space="preserve">无需改写</x:t>
        </x:is>
      </x:c>
      <x:c r="L70" s="56" t="inlineStr">
        <x:is>
          <x:t xml:space="preserve">之妻</x:t>
        </x:is>
      </x:c>
      <x:c r="M70" s="56" t="inlineStr">
        <x:is>
          <x:t xml:space="preserve">户籍关系登记</x:t>
        </x:is>
      </x:c>
      <x:c r="N70" s="56" t="inlineStr">
        <x:is>
          <x:t xml:space="preserve">户主之配偶王某某，1978 年生</x:t>
        </x:is>
      </x:c>
      <x:c r="O70" s="55" t="inlineStr">
        <x:is>
          <x:t xml:space="preserve">中</x:t>
        </x:is>
      </x:c>
      <x:c r="P70" s="55" t="inlineStr">
        <x:is>
          <x:t xml:space="preserve">否</x:t>
        </x:is>
      </x:c>
      <x:c r="Q70" s="56" t="n"/>
      <x:c r="R70" s="57" t="inlineStr">
        <x:is>
          <x:t xml:space="preserve">主集</x:t>
        </x:is>
      </x:c>
      <x:c r="S70" s="57" t="inlineStr">
        <x:is>
          <x:t xml:space="preserve">index</x:t>
        </x:is>
      </x:c>
      <x:c r="T70" s="57" t="inlineStr">
        <x:is>
          <x:t xml:space="preserve"/>
        </x:is>
      </x:c>
    </x:row>
    <x:row r="71" s="37" customFormat="1" ht="29.850000381469727" customHeight="1">
      <x:c r="A71" s="55" t="inlineStr">
        <x:is>
          <x:t xml:space="preserve">NEG-0070</x:t>
        </x:is>
      </x:c>
      <x:c r="B71" s="55" t="inlineStr">
        <x:is>
          <x:t xml:space="preserve">v2</x:t>
        </x:is>
      </x:c>
      <x:c r="C71" s="56" t="inlineStr">
        <x:is>
          <x:t xml:space="preserve">三、制度性与统计性区分</x:t>
        </x:is>
      </x:c>
      <x:c r="D71" s="56" t="inlineStr">
        <x:is>
          <x:t xml:space="preserve">3.1 法律与行政身份</x:t>
        </x:is>
      </x:c>
      <x:c r="E71" s="56" t="inlineStr">
        <x:is>
          <x:t xml:space="preserve">公文与规章</x:t>
        </x:is>
      </x:c>
      <x:c r="F71" s="56" t="inlineStr">
        <x:is>
          <x:t xml:space="preserve">法律咨询</x:t>
        </x:is>
      </x:c>
      <x:c r="G71" s="55" t="inlineStr">
        <x:is>
          <x:t xml:space="preserve">无</x:t>
        </x:is>
      </x:c>
      <x:c r="H71" s="55" t="str">
        <x:f>IF(LEN(I71)&lt;15,"短",IF(LEN(I71)&lt;=45,"中","长"))</x:f>
        <x:v>中</x:v>
      </x:c>
      <x:c r="I71" s="56" t="inlineStr">
        <x:is>
          <x:t xml:space="preserve">非婚生子女与婚生子女享有同等权利，生母生父均负有抚养义务。</x:t>
        </x:is>
      </x:c>
      <x:c r="J71" s="56" t="str">
        <x:f>I71</x:f>
        <x:v>非婚生子女与婚生子女享有同等权利，生母生父均负有抚养义务。</x:v>
      </x:c>
      <x:c r="K71" s="55" t="inlineStr">
        <x:is>
          <x:t xml:space="preserve">无需改写</x:t>
        </x:is>
      </x:c>
      <x:c r="L71" s="56" t="inlineStr">
        <x:is>
          <x:t xml:space="preserve">生母/生父</x:t>
        </x:is>
      </x:c>
      <x:c r="M71" s="56" t="inlineStr">
        <x:is>
          <x:t xml:space="preserve">法定义务主体的完整表述</x:t>
        </x:is>
      </x:c>
      <x:c r="N71" s="56" t="inlineStr">
        <x:is>
          <x:t xml:space="preserve">父母均负有抚养义务</x:t>
        </x:is>
      </x:c>
      <x:c r="O71" s="55" t="inlineStr">
        <x:is>
          <x:t xml:space="preserve">中</x:t>
        </x:is>
      </x:c>
      <x:c r="P71" s="55" t="inlineStr">
        <x:is>
          <x:t xml:space="preserve">否</x:t>
        </x:is>
      </x:c>
      <x:c r="Q71" s="56" t="n"/>
      <x:c r="R71" s="57" t="inlineStr">
        <x:is>
          <x:t xml:space="preserve">主集</x:t>
        </x:is>
      </x:c>
      <x:c r="S71" s="57" t="inlineStr">
        <x:is>
          <x:t xml:space="preserve">index</x:t>
        </x:is>
      </x:c>
      <x:c r="T71" s="57" t="inlineStr">
        <x:is>
          <x:t xml:space="preserve"/>
        </x:is>
      </x:c>
    </x:row>
    <x:row r="72" s="37" customFormat="1" ht="29.850000381469727" customHeight="1">
      <x:c r="A72" s="55" t="inlineStr">
        <x:is>
          <x:t xml:space="preserve">NEG-0071</x:t>
        </x:is>
      </x:c>
      <x:c r="B72" s="55" t="inlineStr">
        <x:is>
          <x:t xml:space="preserve">v2</x:t>
        </x:is>
      </x:c>
      <x:c r="C72" s="56" t="inlineStr">
        <x:is>
          <x:t xml:space="preserve">三、制度性与统计性区分</x:t>
        </x:is>
      </x:c>
      <x:c r="D72" s="56" t="inlineStr">
        <x:is>
          <x:t xml:space="preserve">3.2 劳动与社会保障</x:t>
        </x:is>
      </x:c>
      <x:c r="E72" s="56" t="inlineStr">
        <x:is>
          <x:t xml:space="preserve">公文与规章</x:t>
        </x:is>
      </x:c>
      <x:c r="F72" s="56" t="inlineStr">
        <x:is>
          <x:t xml:space="preserve">规章制度</x:t>
        </x:is>
      </x:c>
      <x:c r="G72" s="55" t="inlineStr">
        <x:is>
          <x:t xml:space="preserve">无</x:t>
        </x:is>
      </x:c>
      <x:c r="H72" s="55" t="str">
        <x:f>IF(LEN(I72)&lt;15,"短",IF(LEN(I72)&lt;=45,"中","长"))</x:f>
        <x:v>中</x:v>
      </x:c>
      <x:c r="I72" s="56" t="inlineStr">
        <x:is>
          <x:t xml:space="preserve">女职工在哺乳期内，用人单位不得延长其劳动时间或者安排夜班劳动。</x:t>
        </x:is>
      </x:c>
      <x:c r="J72" s="56" t="str">
        <x:f>I72</x:f>
        <x:v>女职工在哺乳期内，用人单位不得延长其劳动时间或者安排夜班劳动。</x:v>
      </x:c>
      <x:c r="K72" s="55" t="inlineStr">
        <x:is>
          <x:t xml:space="preserve">无需改写</x:t>
        </x:is>
      </x:c>
      <x:c r="L72" s="56" t="inlineStr">
        <x:is>
          <x:t xml:space="preserve">女职工/哺乳期</x:t>
        </x:is>
      </x:c>
      <x:c r="M72" s="56" t="inlineStr">
        <x:is>
          <x:t xml:space="preserve">劳动保护条款的法定适用对象</x:t>
        </x:is>
      </x:c>
      <x:c r="N72" s="56" t="inlineStr">
        <x:is>
          <x:t xml:space="preserve">职工在哺乳期内不得被安排夜班劳动</x:t>
        </x:is>
      </x:c>
      <x:c r="O72" s="55" t="inlineStr">
        <x:is>
          <x:t xml:space="preserve">中</x:t>
        </x:is>
      </x:c>
      <x:c r="P72" s="55" t="inlineStr">
        <x:is>
          <x:t xml:space="preserve">否</x:t>
        </x:is>
      </x:c>
      <x:c r="Q72" s="56" t="n"/>
      <x:c r="R72" s="57" t="inlineStr">
        <x:is>
          <x:t xml:space="preserve">主集</x:t>
        </x:is>
      </x:c>
      <x:c r="S72" s="57" t="inlineStr">
        <x:is>
          <x:t xml:space="preserve">index</x:t>
        </x:is>
      </x:c>
      <x:c r="T72" s="57" t="inlineStr">
        <x:is>
          <x:t xml:space="preserve"/>
        </x:is>
      </x:c>
    </x:row>
    <x:row r="73" s="37" customFormat="1" ht="29.850000381469727" customHeight="1">
      <x:c r="A73" s="55" t="inlineStr">
        <x:is>
          <x:t xml:space="preserve">NEG-0072</x:t>
        </x:is>
      </x:c>
      <x:c r="B73" s="55" t="inlineStr">
        <x:is>
          <x:t xml:space="preserve">v2</x:t>
        </x:is>
      </x:c>
      <x:c r="C73" s="56" t="inlineStr">
        <x:is>
          <x:t xml:space="preserve">三、制度性与统计性区分</x:t>
        </x:is>
      </x:c>
      <x:c r="D73" s="56" t="inlineStr">
        <x:is>
          <x:t xml:space="preserve">3.2 劳动与社会保障</x:t>
        </x:is>
      </x:c>
      <x:c r="E73" s="56" t="inlineStr">
        <x:is>
          <x:t xml:space="preserve">公文与规章</x:t>
        </x:is>
      </x:c>
      <x:c r="F73" s="56" t="inlineStr">
        <x:is>
          <x:t xml:space="preserve">内部通知</x:t>
        </x:is>
      </x:c>
      <x:c r="G73" s="55" t="inlineStr">
        <x:is>
          <x:t xml:space="preserve">无</x:t>
        </x:is>
      </x:c>
      <x:c r="H73" s="55" t="str">
        <x:f>IF(LEN(I73)&lt;15,"短",IF(LEN(I73)&lt;=45,"中","长"))</x:f>
        <x:v>中</x:v>
      </x:c>
      <x:c r="I73" s="56" t="inlineStr">
        <x:is>
          <x:t xml:space="preserve">自本月起，男职工陪产假由 10 天延长至 15 天，休假期间工资照发。</x:t>
        </x:is>
      </x:c>
      <x:c r="J73" s="56" t="str">
        <x:f>I73</x:f>
        <x:v>自本月起，男职工陪产假由 10 天延长至 15 天，休假期间工资照发。</x:v>
      </x:c>
      <x:c r="K73" s="55" t="inlineStr">
        <x:is>
          <x:t xml:space="preserve">无需改写</x:t>
        </x:is>
      </x:c>
      <x:c r="L73" s="56" t="inlineStr">
        <x:is>
          <x:t xml:space="preserve">男职工/陪产假</x:t>
        </x:is>
      </x:c>
      <x:c r="M73" s="56" t="inlineStr">
        <x:is>
          <x:t xml:space="preserve">现行假期制度的适用对象</x:t>
        </x:is>
      </x:c>
      <x:c r="N73" s="56" t="inlineStr">
        <x:is>
          <x:t xml:space="preserve">自本月起，陪产假由 10 天延长至 15 天</x:t>
        </x:is>
      </x:c>
      <x:c r="O73" s="55" t="inlineStr">
        <x:is>
          <x:t xml:space="preserve">中</x:t>
        </x:is>
      </x:c>
      <x:c r="P73" s="55" t="inlineStr">
        <x:is>
          <x:t xml:space="preserve">是</x:t>
        </x:is>
      </x:c>
      <x:c r="Q73" s="56" t="inlineStr">
        <x:is>
          <x:t xml:space="preserve">部分单位已改为性别中立的育儿假</x:t>
        </x:is>
      </x:c>
      <x:c r="R73" s="57" t="inlineStr">
        <x:is>
          <x:t xml:space="preserve">主集</x:t>
        </x:is>
      </x:c>
      <x:c r="S73" s="57" t="inlineStr">
        <x:is>
          <x:t xml:space="preserve">index</x:t>
        </x:is>
      </x:c>
      <x:c r="T73" s="57" t="inlineStr">
        <x:is>
          <x:t xml:space="preserve"/>
        </x:is>
      </x:c>
    </x:row>
    <x:row r="74" s="37" customFormat="1" ht="29.850000381469727" customHeight="1">
      <x:c r="A74" s="55" t="inlineStr">
        <x:is>
          <x:t xml:space="preserve">NEG-0073</x:t>
        </x:is>
      </x:c>
      <x:c r="B74" s="55" t="inlineStr">
        <x:is>
          <x:t xml:space="preserve">v2</x:t>
        </x:is>
      </x:c>
      <x:c r="C74" s="56" t="inlineStr">
        <x:is>
          <x:t xml:space="preserve">三、制度性与统计性区分</x:t>
        </x:is>
      </x:c>
      <x:c r="D74" s="56" t="inlineStr">
        <x:is>
          <x:t xml:space="preserve">3.2 劳动与社会保障</x:t>
        </x:is>
      </x:c>
      <x:c r="E74" s="56" t="inlineStr">
        <x:is>
          <x:t xml:space="preserve">公文与规章</x:t>
        </x:is>
      </x:c>
      <x:c r="F74" s="56" t="inlineStr">
        <x:is>
          <x:t xml:space="preserve">客服话术</x:t>
        </x:is>
      </x:c>
      <x:c r="G74" s="55" t="inlineStr">
        <x:is>
          <x:t xml:space="preserve">无</x:t>
        </x:is>
      </x:c>
      <x:c r="H74" s="55" t="str">
        <x:f>IF(LEN(I74)&lt;15,"短",IF(LEN(I74)&lt;=45,"中","长"))</x:f>
        <x:v>中</x:v>
      </x:c>
      <x:c r="I74" s="56" t="inlineStr">
        <x:is>
          <x:t xml:space="preserve">生育津贴申领需提供出生医学证明和女方的连续参保记录。</x:t>
        </x:is>
      </x:c>
      <x:c r="J74" s="56" t="str">
        <x:f>I74</x:f>
        <x:v>生育津贴申领需提供出生医学证明和女方的连续参保记录。</x:v>
      </x:c>
      <x:c r="K74" s="55" t="inlineStr">
        <x:is>
          <x:t xml:space="preserve">无需改写</x:t>
        </x:is>
      </x:c>
      <x:c r="L74" s="56" t="inlineStr">
        <x:is>
          <x:t xml:space="preserve">女方</x:t>
        </x:is>
      </x:c>
      <x:c r="M74" s="56" t="inlineStr">
        <x:is>
          <x:t xml:space="preserve">经办规则中的材料要求</x:t>
        </x:is>
      </x:c>
      <x:c r="N74" s="56" t="inlineStr">
        <x:is>
          <x:t xml:space="preserve">生育津贴申领需提供出生医学证明和参保记录</x:t>
        </x:is>
      </x:c>
      <x:c r="O74" s="55" t="inlineStr">
        <x:is>
          <x:t xml:space="preserve">中</x:t>
        </x:is>
      </x:c>
      <x:c r="P74" s="55" t="inlineStr">
        <x:is>
          <x:t xml:space="preserve">否</x:t>
        </x:is>
      </x:c>
      <x:c r="Q74" s="56" t="n"/>
      <x:c r="R74" s="57" t="inlineStr">
        <x:is>
          <x:t xml:space="preserve">主集</x:t>
        </x:is>
      </x:c>
      <x:c r="S74" s="57" t="inlineStr">
        <x:is>
          <x:t xml:space="preserve">dev</x:t>
        </x:is>
      </x:c>
      <x:c r="T74" s="57" t="inlineStr">
        <x:is>
          <x:t xml:space="preserve"/>
        </x:is>
      </x:c>
    </x:row>
    <x:row r="75" s="37" customFormat="1" ht="29.850000381469727" customHeight="1">
      <x:c r="A75" s="55" t="inlineStr">
        <x:is>
          <x:t xml:space="preserve">NEG-0074</x:t>
        </x:is>
      </x:c>
      <x:c r="B75" s="55" t="inlineStr">
        <x:is>
          <x:t xml:space="preserve">v2</x:t>
        </x:is>
      </x:c>
      <x:c r="C75" s="56" t="inlineStr">
        <x:is>
          <x:t xml:space="preserve">三、制度性与统计性区分</x:t>
        </x:is>
      </x:c>
      <x:c r="D75" s="56" t="inlineStr">
        <x:is>
          <x:t xml:space="preserve">3.2 劳动与社会保障</x:t>
        </x:is>
      </x:c>
      <x:c r="E75" s="56" t="inlineStr">
        <x:is>
          <x:t xml:space="preserve">新闻报道</x:t>
        </x:is>
      </x:c>
      <x:c r="F75" s="56" t="inlineStr">
        <x:is>
          <x:t xml:space="preserve">新闻报道</x:t>
        </x:is>
      </x:c>
      <x:c r="G75" s="55" t="inlineStr">
        <x:is>
          <x:t xml:space="preserve">无</x:t>
        </x:is>
      </x:c>
      <x:c r="H75" s="55" t="str">
        <x:f>IF(LEN(I75)&lt;15,"短",IF(LEN(I75)&lt;=45,"中","长"))</x:f>
        <x:v>中</x:v>
      </x:c>
      <x:c r="I75" s="56" t="inlineStr">
        <x:is>
          <x:t xml:space="preserve">延迟退休方案对女性干部与女性工人的起算年龄作了区分。</x:t>
        </x:is>
      </x:c>
      <x:c r="J75" s="56" t="str">
        <x:f>I75</x:f>
        <x:v>延迟退休方案对女性干部与女性工人的起算年龄作了区分。</x:v>
      </x:c>
      <x:c r="K75" s="55" t="inlineStr">
        <x:is>
          <x:t xml:space="preserve">无需改写</x:t>
        </x:is>
      </x:c>
      <x:c r="L75" s="56" t="inlineStr">
        <x:is>
          <x:t xml:space="preserve">女性干部/女性工人</x:t>
        </x:is>
      </x:c>
      <x:c r="M75" s="56" t="inlineStr">
        <x:is>
          <x:t xml:space="preserve">现行制度的准确转述</x:t>
        </x:is>
      </x:c>
      <x:c r="N75" s="56" t="inlineStr">
        <x:is>
          <x:t xml:space="preserve">延迟退休方案对不同岗位的起算年龄作了区分</x:t>
        </x:is>
      </x:c>
      <x:c r="O75" s="55" t="inlineStr">
        <x:is>
          <x:t xml:space="preserve">中</x:t>
        </x:is>
      </x:c>
      <x:c r="P75" s="55" t="inlineStr">
        <x:is>
          <x:t xml:space="preserve">否</x:t>
        </x:is>
      </x:c>
      <x:c r="Q75" s="56" t="n"/>
      <x:c r="R75" s="57" t="inlineStr">
        <x:is>
          <x:t xml:space="preserve">主集</x:t>
        </x:is>
      </x:c>
      <x:c r="S75" s="57" t="inlineStr">
        <x:is>
          <x:t xml:space="preserve">index</x:t>
        </x:is>
      </x:c>
      <x:c r="T75" s="57" t="inlineStr">
        <x:is>
          <x:t xml:space="preserve"/>
        </x:is>
      </x:c>
    </x:row>
    <x:row r="76" s="37" customFormat="1" ht="29.850000381469727" customHeight="1">
      <x:c r="A76" s="55" t="inlineStr">
        <x:is>
          <x:t xml:space="preserve">NEG-0075</x:t>
        </x:is>
      </x:c>
      <x:c r="B76" s="55" t="inlineStr">
        <x:is>
          <x:t xml:space="preserve">v2</x:t>
        </x:is>
      </x:c>
      <x:c r="C76" s="56" t="inlineStr">
        <x:is>
          <x:t xml:space="preserve">三、制度性与统计性区分</x:t>
        </x:is>
      </x:c>
      <x:c r="D76" s="56" t="inlineStr">
        <x:is>
          <x:t xml:space="preserve">3.2 劳动与社会保障</x:t>
        </x:is>
      </x:c>
      <x:c r="E76" s="56" t="inlineStr">
        <x:is>
          <x:t xml:space="preserve">公文与规章</x:t>
        </x:is>
      </x:c>
      <x:c r="F76" s="56" t="inlineStr">
        <x:is>
          <x:t xml:space="preserve">HR 通知</x:t>
        </x:is>
      </x:c>
      <x:c r="G76" s="55" t="inlineStr">
        <x:is>
          <x:t xml:space="preserve">无</x:t>
        </x:is>
      </x:c>
      <x:c r="H76" s="55" t="str">
        <x:f>IF(LEN(I76)&lt;15,"短",IF(LEN(I76)&lt;=45,"中","长"))</x:f>
        <x:v>中</x:v>
      </x:c>
      <x:c r="I76" s="56" t="inlineStr">
        <x:is>
          <x:t xml:space="preserve">孕期同事可申请调整为不含夜班的排班，请提前将产检证明提交至人事。</x:t>
        </x:is>
      </x:c>
      <x:c r="J76" s="56" t="str">
        <x:f>I76</x:f>
        <x:v>孕期同事可申请调整为不含夜班的排班，请提前将产检证明提交至人事。</x:v>
      </x:c>
      <x:c r="K76" s="55" t="inlineStr">
        <x:is>
          <x:t xml:space="preserve">无需改写</x:t>
        </x:is>
      </x:c>
      <x:c r="L76" s="56" t="inlineStr">
        <x:is>
          <x:t xml:space="preserve">孕期/产检</x:t>
        </x:is>
      </x:c>
      <x:c r="M76" s="56" t="inlineStr">
        <x:is>
          <x:t xml:space="preserve">内部政策的适用条件</x:t>
        </x:is>
      </x:c>
      <x:c r="N76" s="56" t="inlineStr">
        <x:is>
          <x:t xml:space="preserve">有需要的同事可申请调整排班</x:t>
        </x:is>
      </x:c>
      <x:c r="O76" s="55" t="inlineStr">
        <x:is>
          <x:t xml:space="preserve">中</x:t>
        </x:is>
      </x:c>
      <x:c r="P76" s="55" t="inlineStr">
        <x:is>
          <x:t xml:space="preserve">否</x:t>
        </x:is>
      </x:c>
      <x:c r="Q76" s="56" t="n"/>
      <x:c r="R76" s="57" t="inlineStr">
        <x:is>
          <x:t xml:space="preserve">主集</x:t>
        </x:is>
      </x:c>
      <x:c r="S76" s="57" t="inlineStr">
        <x:is>
          <x:t xml:space="preserve">index</x:t>
        </x:is>
      </x:c>
      <x:c r="T76" s="57" t="inlineStr">
        <x:is>
          <x:t xml:space="preserve"/>
        </x:is>
      </x:c>
    </x:row>
    <x:row r="77" s="37" customFormat="1" ht="15" customHeight="1">
      <x:c r="A77" s="55" t="inlineStr">
        <x:is>
          <x:t xml:space="preserve">NEG-0076</x:t>
        </x:is>
      </x:c>
      <x:c r="B77" s="55" t="inlineStr">
        <x:is>
          <x:t xml:space="preserve">v2</x:t>
        </x:is>
      </x:c>
      <x:c r="C77" s="56" t="inlineStr">
        <x:is>
          <x:t xml:space="preserve">三、制度性与统计性区分</x:t>
        </x:is>
      </x:c>
      <x:c r="D77" s="56" t="inlineStr">
        <x:is>
          <x:t xml:space="preserve">3.3 体育竞技分级</x:t>
        </x:is>
      </x:c>
      <x:c r="E77" s="56" t="inlineStr">
        <x:is>
          <x:t xml:space="preserve">新闻报道</x:t>
        </x:is>
      </x:c>
      <x:c r="F77" s="56" t="inlineStr">
        <x:is>
          <x:t xml:space="preserve">赛事播报</x:t>
        </x:is>
      </x:c>
      <x:c r="G77" s="55" t="inlineStr">
        <x:is>
          <x:t xml:space="preserve">无</x:t>
        </x:is>
      </x:c>
      <x:c r="H77" s="55" t="str">
        <x:f>IF(LEN(I77)&lt;15,"短",IF(LEN(I77)&lt;=45,"中","长"))</x:f>
        <x:v>中</x:v>
      </x:c>
      <x:c r="I77" s="56" t="inlineStr">
        <x:is>
          <x:t xml:space="preserve">女子 100 米栏半决赛将于今晚八点在主体育场进行。</x:t>
        </x:is>
      </x:c>
      <x:c r="J77" s="56" t="str">
        <x:f>I77</x:f>
        <x:v>女子 100 米栏半决赛将于今晚八点在主体育场进行。</x:v>
      </x:c>
      <x:c r="K77" s="55" t="inlineStr">
        <x:is>
          <x:t xml:space="preserve">无需改写</x:t>
        </x:is>
      </x:c>
      <x:c r="L77" s="56" t="inlineStr">
        <x:is>
          <x:t xml:space="preserve">女子</x:t>
        </x:is>
      </x:c>
      <x:c r="M77" s="56" t="inlineStr">
        <x:is>
          <x:t xml:space="preserve">竞赛项目正式分级名称</x:t>
        </x:is>
      </x:c>
      <x:c r="N77" s="56" t="inlineStr">
        <x:is>
          <x:t xml:space="preserve">100 米栏半决赛将于今晚八点进行</x:t>
        </x:is>
      </x:c>
      <x:c r="O77" s="55" t="inlineStr">
        <x:is>
          <x:t xml:space="preserve">易</x:t>
        </x:is>
      </x:c>
      <x:c r="P77" s="55" t="inlineStr">
        <x:is>
          <x:t xml:space="preserve">否</x:t>
        </x:is>
      </x:c>
      <x:c r="Q77" s="56" t="n"/>
      <x:c r="R77" s="57" t="inlineStr">
        <x:is>
          <x:t xml:space="preserve">主集</x:t>
        </x:is>
      </x:c>
      <x:c r="S77" s="57" t="inlineStr">
        <x:is>
          <x:t xml:space="preserve">test</x:t>
        </x:is>
      </x:c>
      <x:c r="T77" s="57" t="inlineStr">
        <x:is>
          <x:t xml:space="preserve"/>
        </x:is>
      </x:c>
    </x:row>
    <x:row r="78" s="37" customFormat="1" ht="15" customHeight="1">
      <x:c r="A78" s="58" t="inlineStr">
        <x:is>
          <x:t xml:space="preserve">NEG-0077</x:t>
        </x:is>
      </x:c>
      <x:c r="B78" s="58" t="inlineStr">
        <x:is>
          <x:t xml:space="preserve">v2</x:t>
        </x:is>
      </x:c>
      <x:c r="C78" s="59" t="inlineStr">
        <x:is>
          <x:t xml:space="preserve">三、制度性与统计性区分</x:t>
        </x:is>
      </x:c>
      <x:c r="D78" s="59" t="inlineStr">
        <x:is>
          <x:t xml:space="preserve">3.3 体育竞技分级</x:t>
        </x:is>
      </x:c>
      <x:c r="E78" s="59" t="inlineStr">
        <x:is>
          <x:t xml:space="preserve">新闻报道</x:t>
        </x:is>
      </x:c>
      <x:c r="F78" s="59" t="inlineStr">
        <x:is>
          <x:t xml:space="preserve">新闻报道</x:t>
        </x:is>
      </x:c>
      <x:c r="G78" s="58" t="inlineStr">
        <x:is>
          <x:t xml:space="preserve">无</x:t>
        </x:is>
      </x:c>
      <x:c r="H78" s="58" t="str">
        <x:f>IF(LEN(I78)&lt;15,"短",IF(LEN(I78)&lt;=45,"中","长"))</x:f>
        <x:v>中</x:v>
      </x:c>
      <x:c r="I78" s="59" t="inlineStr">
        <x:is>
          <x:t xml:space="preserve">中国队在混合团体十米气步枪项目中夺得金牌。</x:t>
        </x:is>
      </x:c>
      <x:c r="J78" s="59" t="str">
        <x:f>I78</x:f>
        <x:v>中国队在混合团体十米气步枪项目中夺得金牌。</x:v>
      </x:c>
      <x:c r="K78" s="58" t="inlineStr">
        <x:is>
          <x:t xml:space="preserve">无需改写</x:t>
        </x:is>
      </x:c>
      <x:c r="L78" s="59" t="inlineStr">
        <x:is>
          <x:t xml:space="preserve">混合团体</x:t>
        </x:is>
      </x:c>
      <x:c r="M78" s="59" t="inlineStr">
        <x:is>
          <x:t xml:space="preserve">项目名称，“混合”即指男女搭配</x:t>
        </x:is>
      </x:c>
      <x:c r="N78" s="59" t="inlineStr">
        <x:is>
          <x:t xml:space="preserve">中国队在团体十米气步枪项目中夺得金牌</x:t>
        </x:is>
      </x:c>
      <x:c r="O78" s="58" t="inlineStr">
        <x:is>
          <x:t xml:space="preserve">易</x:t>
        </x:is>
      </x:c>
      <x:c r="P78" s="58" t="inlineStr">
        <x:is>
          <x:t xml:space="preserve">否</x:t>
        </x:is>
      </x:c>
      <x:c r="Q78" s="59" t="n"/>
      <x:c r="R78" s="60" t="inlineStr">
        <x:is>
          <x:t xml:space="preserve">隔离·待确认</x:t>
        </x:is>
      </x:c>
      <x:c r="S78" s="60" t="inlineStr">
        <x:is>
          <x:t xml:space="preserve"/>
        </x:is>
      </x:c>
      <x:c r="T78" s="60" t="inlineStr">
        <x:is>
          <x:t xml:space="preserve">触发词不含性别编码——判断可能依赖世界知识而非句内信息</x:t>
        </x:is>
      </x:c>
    </x:row>
    <x:row r="79" s="37" customFormat="1" ht="29.850000381469727" customHeight="1">
      <x:c r="A79" s="55" t="inlineStr">
        <x:is>
          <x:t xml:space="preserve">NEG-0078</x:t>
        </x:is>
      </x:c>
      <x:c r="B79" s="55" t="inlineStr">
        <x:is>
          <x:t xml:space="preserve">v2</x:t>
        </x:is>
      </x:c>
      <x:c r="C79" s="56" t="inlineStr">
        <x:is>
          <x:t xml:space="preserve">三、制度性与统计性区分</x:t>
        </x:is>
      </x:c>
      <x:c r="D79" s="56" t="inlineStr">
        <x:is>
          <x:t xml:space="preserve">3.3 体育竞技分级</x:t>
        </x:is>
      </x:c>
      <x:c r="E79" s="56" t="inlineStr">
        <x:is>
          <x:t xml:space="preserve">公文与规章</x:t>
        </x:is>
      </x:c>
      <x:c r="F79" s="56" t="inlineStr">
        <x:is>
          <x:t xml:space="preserve">竞赛规程</x:t>
        </x:is>
      </x:c>
      <x:c r="G79" s="55" t="inlineStr">
        <x:is>
          <x:t xml:space="preserve">无</x:t>
        </x:is>
      </x:c>
      <x:c r="H79" s="55" t="str">
        <x:f>IF(LEN(I79)&lt;15,"短",IF(LEN(I79)&lt;=45,"中","长"))</x:f>
        <x:v>中</x:v>
      </x:c>
      <x:c r="I79" s="56" t="inlineStr">
        <x:is>
          <x:t xml:space="preserve">本项目按体重分级，男子组设 8 个级别，女子组设 7 个级别。</x:t>
        </x:is>
      </x:c>
      <x:c r="J79" s="56" t="str">
        <x:f>I79</x:f>
        <x:v>本项目按体重分级，男子组设 8 个级别，女子组设 7 个级别。</x:v>
      </x:c>
      <x:c r="K79" s="55" t="inlineStr">
        <x:is>
          <x:t xml:space="preserve">无需改写</x:t>
        </x:is>
      </x:c>
      <x:c r="L79" s="56" t="inlineStr">
        <x:is>
          <x:t xml:space="preserve">男子组/女子组</x:t>
        </x:is>
      </x:c>
      <x:c r="M79" s="56" t="inlineStr">
        <x:is>
          <x:t xml:space="preserve">规程条文</x:t>
        </x:is>
      </x:c>
      <x:c r="N79" s="56" t="inlineStr">
        <x:is>
          <x:t xml:space="preserve">本项目按体重分级，共设 15 个级别</x:t>
        </x:is>
      </x:c>
      <x:c r="O79" s="55" t="inlineStr">
        <x:is>
          <x:t xml:space="preserve">易</x:t>
        </x:is>
      </x:c>
      <x:c r="P79" s="55" t="inlineStr">
        <x:is>
          <x:t xml:space="preserve">否</x:t>
        </x:is>
      </x:c>
      <x:c r="Q79" s="56" t="n"/>
      <x:c r="R79" s="57" t="inlineStr">
        <x:is>
          <x:t xml:space="preserve">主集</x:t>
        </x:is>
      </x:c>
      <x:c r="S79" s="57" t="inlineStr">
        <x:is>
          <x:t xml:space="preserve">index</x:t>
        </x:is>
      </x:c>
      <x:c r="T79" s="57" t="inlineStr">
        <x:is>
          <x:t xml:space="preserve"/>
        </x:is>
      </x:c>
    </x:row>
    <x:row r="80" s="37" customFormat="1" ht="29.850000381469727" customHeight="1">
      <x:c r="A80" s="55" t="inlineStr">
        <x:is>
          <x:t xml:space="preserve">NEG-0079</x:t>
        </x:is>
      </x:c>
      <x:c r="B80" s="55" t="inlineStr">
        <x:is>
          <x:t xml:space="preserve">v2</x:t>
        </x:is>
      </x:c>
      <x:c r="C80" s="56" t="inlineStr">
        <x:is>
          <x:t xml:space="preserve">三、制度性与统计性区分</x:t>
        </x:is>
      </x:c>
      <x:c r="D80" s="56" t="inlineStr">
        <x:is>
          <x:t xml:space="preserve">3.3 体育竞技分级</x:t>
        </x:is>
      </x:c>
      <x:c r="E80" s="56" t="inlineStr">
        <x:is>
          <x:t xml:space="preserve">新闻报道</x:t>
        </x:is>
      </x:c>
      <x:c r="F80" s="56" t="inlineStr">
        <x:is>
          <x:t xml:space="preserve">新闻报道</x:t>
        </x:is>
      </x:c>
      <x:c r="G80" s="55" t="inlineStr">
        <x:is>
          <x:t xml:space="preserve">无</x:t>
        </x:is>
      </x:c>
      <x:c r="H80" s="55" t="str">
        <x:f>IF(LEN(I80)&lt;15,"短",IF(LEN(I80)&lt;=45,"中","长"))</x:f>
        <x:v>中</x:v>
      </x:c>
      <x:c r="I80" s="56" t="inlineStr">
        <x:is>
          <x:t xml:space="preserve">国际泳联更新了跨性别运动员参加女子组比赛的资格条款。</x:t>
        </x:is>
      </x:c>
      <x:c r="J80" s="56" t="str">
        <x:f>I80</x:f>
        <x:v>国际泳联更新了跨性别运动员参加女子组比赛的资格条款。</x:v>
      </x:c>
      <x:c r="K80" s="55" t="inlineStr">
        <x:is>
          <x:t xml:space="preserve">无需改写</x:t>
        </x:is>
      </x:c>
      <x:c r="L80" s="56" t="inlineStr">
        <x:is>
          <x:t xml:space="preserve">跨性别/女子组</x:t>
        </x:is>
      </x:c>
      <x:c r="M80" s="56" t="inlineStr">
        <x:is>
          <x:t xml:space="preserve">规则转述</x:t>
        </x:is>
      </x:c>
      <x:c r="N80" s="56" t="inlineStr">
        <x:is>
          <x:t xml:space="preserve">国际泳联更新了运动员参赛资格条款</x:t>
        </x:is>
      </x:c>
      <x:c r="O80" s="55" t="inlineStr">
        <x:is>
          <x:t xml:space="preserve">中</x:t>
        </x:is>
      </x:c>
      <x:c r="P80" s="55" t="inlineStr">
        <x:is>
          <x:t xml:space="preserve">是</x:t>
        </x:is>
      </x:c>
      <x:c r="Q80" s="56" t="inlineStr">
        <x:is>
          <x:t xml:space="preserve">该规则本身在各组织间存在分歧，此处仅作转述</x:t>
        </x:is>
      </x:c>
      <x:c r="R80" s="57" t="inlineStr">
        <x:is>
          <x:t xml:space="preserve">主集</x:t>
        </x:is>
      </x:c>
      <x:c r="S80" s="57" t="inlineStr">
        <x:is>
          <x:t xml:space="preserve">test</x:t>
        </x:is>
      </x:c>
      <x:c r="T80" s="57" t="inlineStr">
        <x:is>
          <x:t xml:space="preserve"/>
        </x:is>
      </x:c>
    </x:row>
    <x:row r="81" s="37" customFormat="1" ht="15" customHeight="1">
      <x:c r="A81" s="55" t="inlineStr">
        <x:is>
          <x:t xml:space="preserve">NEG-0080</x:t>
        </x:is>
      </x:c>
      <x:c r="B81" s="55" t="inlineStr">
        <x:is>
          <x:t xml:space="preserve">v2</x:t>
        </x:is>
      </x:c>
      <x:c r="C81" s="56" t="inlineStr">
        <x:is>
          <x:t xml:space="preserve">三、制度性与统计性区分</x:t>
        </x:is>
      </x:c>
      <x:c r="D81" s="56" t="inlineStr">
        <x:is>
          <x:t xml:space="preserve">3.3 体育竞技分级</x:t>
        </x:is>
      </x:c>
      <x:c r="E81" s="56" t="inlineStr">
        <x:is>
          <x:t xml:space="preserve">商业与产品</x:t>
        </x:is>
      </x:c>
      <x:c r="F81" s="56" t="inlineStr">
        <x:is>
          <x:t xml:space="preserve">资料库</x:t>
        </x:is>
      </x:c>
      <x:c r="G81" s="55" t="inlineStr">
        <x:is>
          <x:t xml:space="preserve">无</x:t>
        </x:is>
      </x:c>
      <x:c r="H81" s="55" t="str">
        <x:f>IF(LEN(I81)&lt;15,"短",IF(LEN(I81)&lt;=45,"中","长"))</x:f>
        <x:v>中</x:v>
      </x:c>
      <x:c r="I81" s="56" t="inlineStr">
        <x:is>
          <x:t xml:space="preserve">该项目世界纪录男女分列，女子组纪录已保持 14 年。</x:t>
        </x:is>
      </x:c>
      <x:c r="J81" s="56" t="str">
        <x:f>I81</x:f>
        <x:v>该项目世界纪录男女分列，女子组纪录已保持 14 年。</x:v>
      </x:c>
      <x:c r="K81" s="55" t="inlineStr">
        <x:is>
          <x:t xml:space="preserve">无需改写</x:t>
        </x:is>
      </x:c>
      <x:c r="L81" s="56" t="inlineStr">
        <x:is>
          <x:t xml:space="preserve">男女分列/女子组</x:t>
        </x:is>
      </x:c>
      <x:c r="M81" s="56" t="inlineStr">
        <x:is>
          <x:t xml:space="preserve">纪录统计口径</x:t>
        </x:is>
      </x:c>
      <x:c r="N81" s="56" t="inlineStr">
        <x:is>
          <x:t xml:space="preserve">该项目世界纪录已保持 14 年</x:t>
        </x:is>
      </x:c>
      <x:c r="O81" s="55" t="inlineStr">
        <x:is>
          <x:t xml:space="preserve">易</x:t>
        </x:is>
      </x:c>
      <x:c r="P81" s="55" t="inlineStr">
        <x:is>
          <x:t xml:space="preserve">否</x:t>
        </x:is>
      </x:c>
      <x:c r="Q81" s="56" t="n"/>
      <x:c r="R81" s="57" t="inlineStr">
        <x:is>
          <x:t xml:space="preserve">主集</x:t>
        </x:is>
      </x:c>
      <x:c r="S81" s="57" t="inlineStr">
        <x:is>
          <x:t xml:space="preserve">test</x:t>
        </x:is>
      </x:c>
      <x:c r="T81" s="57" t="inlineStr">
        <x:is>
          <x:t xml:space="preserve"/>
        </x:is>
      </x:c>
    </x:row>
    <x:row r="82" s="37" customFormat="1" ht="29.850000381469727" customHeight="1">
      <x:c r="A82" s="55" t="inlineStr">
        <x:is>
          <x:t xml:space="preserve">NEG-0081</x:t>
        </x:is>
      </x:c>
      <x:c r="B82" s="55" t="inlineStr">
        <x:is>
          <x:t xml:space="preserve">v2</x:t>
        </x:is>
      </x:c>
      <x:c r="C82" s="56" t="inlineStr">
        <x:is>
          <x:t xml:space="preserve">三、制度性与统计性区分</x:t>
        </x:is>
      </x:c>
      <x:c r="D82" s="56" t="inlineStr">
        <x:is>
          <x:t xml:space="preserve">3.4 空间与设施</x:t>
        </x:is>
      </x:c>
      <x:c r="E82" s="56" t="inlineStr">
        <x:is>
          <x:t xml:space="preserve">公文与规章</x:t>
        </x:is>
      </x:c>
      <x:c r="F82" s="56" t="inlineStr">
        <x:is>
          <x:t xml:space="preserve">现场指引</x:t>
        </x:is>
      </x:c>
      <x:c r="G82" s="55" t="inlineStr">
        <x:is>
          <x:t xml:space="preserve">无</x:t>
        </x:is>
      </x:c>
      <x:c r="H82" s="55" t="str">
        <x:f>IF(LEN(I82)&lt;15,"短",IF(LEN(I82)&lt;=45,"中","长"))</x:f>
        <x:v>中</x:v>
      </x:c>
      <x:c r="I82" s="56" t="inlineStr">
        <x:is>
          <x:t xml:space="preserve">女卫生间在走廊尽头右转，男卫生间在电梯口旁边。</x:t>
        </x:is>
      </x:c>
      <x:c r="J82" s="56" t="str">
        <x:f>I82</x:f>
        <x:v>女卫生间在走廊尽头右转，男卫生间在电梯口旁边。</x:v>
      </x:c>
      <x:c r="K82" s="55" t="inlineStr">
        <x:is>
          <x:t xml:space="preserve">无需改写</x:t>
        </x:is>
      </x:c>
      <x:c r="L82" s="56" t="inlineStr">
        <x:is>
          <x:t xml:space="preserve">女/男卫生间</x:t>
        </x:is>
      </x:c>
      <x:c r="M82" s="56" t="inlineStr">
        <x:is>
          <x:t xml:space="preserve">导视信息，改写会导致指引失效</x:t>
        </x:is>
      </x:c>
      <x:c r="N82" s="56" t="inlineStr">
        <x:is>
          <x:t xml:space="preserve">卫生间在走廊尽头和电梯口旁边</x:t>
        </x:is>
      </x:c>
      <x:c r="O82" s="55" t="inlineStr">
        <x:is>
          <x:t xml:space="preserve">易</x:t>
        </x:is>
      </x:c>
      <x:c r="P82" s="55" t="inlineStr">
        <x:is>
          <x:t xml:space="preserve">是</x:t>
        </x:is>
      </x:c>
      <x:c r="Q82" s="56" t="inlineStr">
        <x:is>
          <x:t xml:space="preserve">设施划分与跨性别者权益的关系存在持续争论</x:t>
        </x:is>
      </x:c>
      <x:c r="R82" s="57" t="inlineStr">
        <x:is>
          <x:t xml:space="preserve">主集</x:t>
        </x:is>
      </x:c>
      <x:c r="S82" s="57" t="inlineStr">
        <x:is>
          <x:t xml:space="preserve">dev</x:t>
        </x:is>
      </x:c>
      <x:c r="T82" s="57" t="inlineStr">
        <x:is>
          <x:t xml:space="preserve"/>
        </x:is>
      </x:c>
    </x:row>
    <x:row r="83" s="37" customFormat="1" ht="29.850000381469727" customHeight="1">
      <x:c r="A83" s="55" t="inlineStr">
        <x:is>
          <x:t xml:space="preserve">NEG-0082</x:t>
        </x:is>
      </x:c>
      <x:c r="B83" s="55" t="inlineStr">
        <x:is>
          <x:t xml:space="preserve">v2</x:t>
        </x:is>
      </x:c>
      <x:c r="C83" s="56" t="inlineStr">
        <x:is>
          <x:t xml:space="preserve">三、制度性与统计性区分</x:t>
        </x:is>
      </x:c>
      <x:c r="D83" s="56" t="inlineStr">
        <x:is>
          <x:t xml:space="preserve">3.4 空间与设施</x:t>
        </x:is>
      </x:c>
      <x:c r="E83" s="56" t="inlineStr">
        <x:is>
          <x:t xml:space="preserve">新闻报道</x:t>
        </x:is>
      </x:c>
      <x:c r="F83" s="56" t="inlineStr">
        <x:is>
          <x:t xml:space="preserve">场馆公告</x:t>
        </x:is>
      </x:c>
      <x:c r="G83" s="55" t="inlineStr">
        <x:is>
          <x:t xml:space="preserve">无</x:t>
        </x:is>
      </x:c>
      <x:c r="H83" s="55" t="str">
        <x:f>IF(LEN(I83)&lt;15,"短",IF(LEN(I83)&lt;=45,"中","长"))</x:f>
        <x:v>中</x:v>
      </x:c>
      <x:c r="I83" s="56" t="inlineStr">
        <x:is>
          <x:t xml:space="preserve">更衣室按男女分设，六岁以下儿童可随同任一方家长入内。</x:t>
        </x:is>
      </x:c>
      <x:c r="J83" s="56" t="str">
        <x:f>I83</x:f>
        <x:v>更衣室按男女分设，六岁以下儿童可随同任一方家长入内。</x:v>
      </x:c>
      <x:c r="K83" s="55" t="inlineStr">
        <x:is>
          <x:t xml:space="preserve">无需改写</x:t>
        </x:is>
      </x:c>
      <x:c r="L83" s="56" t="inlineStr">
        <x:is>
          <x:t xml:space="preserve">男女分设</x:t>
        </x:is>
      </x:c>
      <x:c r="M83" s="56" t="inlineStr">
        <x:is>
          <x:t xml:space="preserve">场馆管理规定</x:t>
        </x:is>
      </x:c>
      <x:c r="N83" s="56" t="inlineStr">
        <x:is>
          <x:t xml:space="preserve">更衣室分区设置，六岁以下儿童可随同家长入内</x:t>
        </x:is>
      </x:c>
      <x:c r="O83" s="55" t="inlineStr">
        <x:is>
          <x:t xml:space="preserve">中</x:t>
        </x:is>
      </x:c>
      <x:c r="P83" s="55" t="inlineStr">
        <x:is>
          <x:t xml:space="preserve">是</x:t>
        </x:is>
      </x:c>
      <x:c r="Q83" s="56" t="n"/>
      <x:c r="R83" s="57" t="inlineStr">
        <x:is>
          <x:t xml:space="preserve">主集</x:t>
        </x:is>
      </x:c>
      <x:c r="S83" s="57" t="inlineStr">
        <x:is>
          <x:t xml:space="preserve">dev</x:t>
        </x:is>
      </x:c>
      <x:c r="T83" s="57" t="inlineStr">
        <x:is>
          <x:t xml:space="preserve"/>
        </x:is>
      </x:c>
    </x:row>
    <x:row r="84" s="37" customFormat="1" ht="29.850000381469727" customHeight="1">
      <x:c r="A84" s="55" t="inlineStr">
        <x:is>
          <x:t xml:space="preserve">NEG-0083</x:t>
        </x:is>
      </x:c>
      <x:c r="B84" s="55" t="inlineStr">
        <x:is>
          <x:t xml:space="preserve">v2</x:t>
        </x:is>
      </x:c>
      <x:c r="C84" s="56" t="inlineStr">
        <x:is>
          <x:t xml:space="preserve">三、制度性与统计性区分</x:t>
        </x:is>
      </x:c>
      <x:c r="D84" s="56" t="inlineStr">
        <x:is>
          <x:t xml:space="preserve">3.4 空间与设施</x:t>
        </x:is>
      </x:c>
      <x:c r="E84" s="56" t="inlineStr">
        <x:is>
          <x:t xml:space="preserve">公文与规章</x:t>
        </x:is>
      </x:c>
      <x:c r="F84" s="56" t="inlineStr">
        <x:is>
          <x:t xml:space="preserve">机场信息</x:t>
        </x:is>
      </x:c>
      <x:c r="G84" s="55" t="inlineStr">
        <x:is>
          <x:t xml:space="preserve">无</x:t>
        </x:is>
      </x:c>
      <x:c r="H84" s="55" t="str">
        <x:f>IF(LEN(I84)&lt;15,"短",IF(LEN(I84)&lt;=45,"中","长"))</x:f>
        <x:v>中</x:v>
      </x:c>
      <x:c r="I84" s="56" t="inlineStr">
        <x:is>
          <x:t xml:space="preserve">母婴室位于 T2 航站楼四层，提供哺乳间、护理台和热水。</x:t>
        </x:is>
      </x:c>
      <x:c r="J84" s="56" t="str">
        <x:f>I84</x:f>
        <x:v>母婴室位于 T2 航站楼四层，提供哺乳间、护理台和热水。</x:v>
      </x:c>
      <x:c r="K84" s="55" t="inlineStr">
        <x:is>
          <x:t xml:space="preserve">无需改写</x:t>
        </x:is>
      </x:c>
      <x:c r="L84" s="56" t="inlineStr">
        <x:is>
          <x:t xml:space="preserve">母婴室/哺乳间</x:t>
        </x:is>
      </x:c>
      <x:c r="M84" s="56" t="inlineStr">
        <x:is>
          <x:t xml:space="preserve">设施既有名称与功能说明</x:t>
        </x:is>
      </x:c>
      <x:c r="N84" s="56" t="inlineStr">
        <x:is>
          <x:t xml:space="preserve">育婴室位于 T2 航站楼四层</x:t>
        </x:is>
      </x:c>
      <x:c r="O84" s="55" t="inlineStr">
        <x:is>
          <x:t xml:space="preserve">中</x:t>
        </x:is>
      </x:c>
      <x:c r="P84" s="55" t="inlineStr">
        <x:is>
          <x:t xml:space="preserve">是</x:t>
        </x:is>
      </x:c>
      <x:c r="Q84" s="56" t="inlineStr">
        <x:is>
          <x:t xml:space="preserve">部分机场已更名，但改写既有标识会造成指引错误</x:t>
        </x:is>
      </x:c>
      <x:c r="R84" s="57" t="inlineStr">
        <x:is>
          <x:t xml:space="preserve">主集</x:t>
        </x:is>
      </x:c>
      <x:c r="S84" s="57" t="inlineStr">
        <x:is>
          <x:t xml:space="preserve">index</x:t>
        </x:is>
      </x:c>
      <x:c r="T84" s="57" t="inlineStr">
        <x:is>
          <x:t xml:space="preserve"/>
        </x:is>
      </x:c>
    </x:row>
    <x:row r="85" s="37" customFormat="1" ht="29.850000381469727" customHeight="1">
      <x:c r="A85" s="55" t="inlineStr">
        <x:is>
          <x:t xml:space="preserve">NEG-0084</x:t>
        </x:is>
      </x:c>
      <x:c r="B85" s="55" t="inlineStr">
        <x:is>
          <x:t xml:space="preserve">v2</x:t>
        </x:is>
      </x:c>
      <x:c r="C85" s="56" t="inlineStr">
        <x:is>
          <x:t xml:space="preserve">三、制度性与统计性区分</x:t>
        </x:is>
      </x:c>
      <x:c r="D85" s="56" t="inlineStr">
        <x:is>
          <x:t xml:space="preserve">3.4 空间与设施</x:t>
        </x:is>
      </x:c>
      <x:c r="E85" s="56" t="inlineStr">
        <x:is>
          <x:t xml:space="preserve">公文与规章</x:t>
        </x:is>
      </x:c>
      <x:c r="F85" s="56" t="inlineStr">
        <x:is>
          <x:t xml:space="preserve">管理规定</x:t>
        </x:is>
      </x:c>
      <x:c r="G85" s="55" t="inlineStr">
        <x:is>
          <x:t xml:space="preserve">无</x:t>
        </x:is>
      </x:c>
      <x:c r="H85" s="55" t="str">
        <x:f>IF(LEN(I85)&lt;15,"短",IF(LEN(I85)&lt;=45,"中","长"))</x:f>
        <x:v>中</x:v>
      </x:c>
      <x:c r="I85" s="56" t="inlineStr">
        <x:is>
          <x:t xml:space="preserve">女性在押人员的看管和人身检查，应当由女性民警实施。</x:t>
        </x:is>
      </x:c>
      <x:c r="J85" s="56" t="str">
        <x:f>I85</x:f>
        <x:v>女性在押人员的看管和人身检查，应当由女性民警实施。</x:v>
      </x:c>
      <x:c r="K85" s="55" t="inlineStr">
        <x:is>
          <x:t xml:space="preserve">无需改写</x:t>
        </x:is>
      </x:c>
      <x:c r="L85" s="56" t="inlineStr">
        <x:is>
          <x:t xml:space="preserve">女性在押人员/女性民警</x:t>
        </x:is>
      </x:c>
      <x:c r="M85" s="56" t="inlineStr">
        <x:is>
          <x:t xml:space="preserve">监所管理的法定要求</x:t>
        </x:is>
      </x:c>
      <x:c r="N85" s="56" t="inlineStr">
        <x:is>
          <x:t xml:space="preserve">在押人员的看管和人身检查由民警实施</x:t>
        </x:is>
      </x:c>
      <x:c r="O85" s="55" t="inlineStr">
        <x:is>
          <x:t xml:space="preserve">易</x:t>
        </x:is>
      </x:c>
      <x:c r="P85" s="55" t="inlineStr">
        <x:is>
          <x:t xml:space="preserve">否</x:t>
        </x:is>
      </x:c>
      <x:c r="Q85" s="56" t="n"/>
      <x:c r="R85" s="57" t="inlineStr">
        <x:is>
          <x:t xml:space="preserve">主集</x:t>
        </x:is>
      </x:c>
      <x:c r="S85" s="57" t="inlineStr">
        <x:is>
          <x:t xml:space="preserve">index</x:t>
        </x:is>
      </x:c>
      <x:c r="T85" s="57" t="inlineStr">
        <x:is>
          <x:t xml:space="preserve"/>
        </x:is>
      </x:c>
    </x:row>
    <x:row r="86" s="37" customFormat="1" ht="29.850000381469727" customHeight="1">
      <x:c r="A86" s="55" t="inlineStr">
        <x:is>
          <x:t xml:space="preserve">NEG-0085</x:t>
        </x:is>
      </x:c>
      <x:c r="B86" s="55" t="inlineStr">
        <x:is>
          <x:t xml:space="preserve">v2</x:t>
        </x:is>
      </x:c>
      <x:c r="C86" s="56" t="inlineStr">
        <x:is>
          <x:t xml:space="preserve">三、制度性与统计性区分</x:t>
        </x:is>
      </x:c>
      <x:c r="D86" s="56" t="inlineStr">
        <x:is>
          <x:t xml:space="preserve">3.4 空间与设施</x:t>
        </x:is>
      </x:c>
      <x:c r="E86" s="56" t="inlineStr">
        <x:is>
          <x:t xml:space="preserve">公文与规章</x:t>
        </x:is>
      </x:c>
      <x:c r="F86" s="56" t="inlineStr">
        <x:is>
          <x:t xml:space="preserve">学校简介</x:t>
        </x:is>
      </x:c>
      <x:c r="G86" s="55" t="inlineStr">
        <x:is>
          <x:t xml:space="preserve">无</x:t>
        </x:is>
      </x:c>
      <x:c r="H86" s="55" t="str">
        <x:f>IF(LEN(I86)&lt;15,"短",IF(LEN(I86)&lt;=45,"中","长"))</x:f>
        <x:v>中</x:v>
      </x:c>
      <x:c r="I86" s="56" t="inlineStr">
        <x:is>
          <x:t xml:space="preserve">本校为女子中学，创办于 1904 年，是本市历史最悠久的中学之一。</x:t>
        </x:is>
      </x:c>
      <x:c r="J86" s="56" t="str">
        <x:f>I86</x:f>
        <x:v>本校为女子中学，创办于 1904 年，是本市历史最悠久的中学之一。</x:v>
      </x:c>
      <x:c r="K86" s="55" t="inlineStr">
        <x:is>
          <x:t xml:space="preserve">无需改写</x:t>
        </x:is>
      </x:c>
      <x:c r="L86" s="56" t="inlineStr">
        <x:is>
          <x:t xml:space="preserve">女子中学</x:t>
        </x:is>
      </x:c>
      <x:c r="M86" s="56" t="inlineStr">
        <x:is>
          <x:t xml:space="preserve">学校性质与专名</x:t>
        </x:is>
      </x:c>
      <x:c r="N86" s="56" t="inlineStr">
        <x:is>
          <x:t xml:space="preserve">本校创办于 1904 年，是本市历史最悠久的中学之一</x:t>
        </x:is>
      </x:c>
      <x:c r="O86" s="55" t="inlineStr">
        <x:is>
          <x:t xml:space="preserve">易</x:t>
        </x:is>
      </x:c>
      <x:c r="P86" s="55" t="inlineStr">
        <x:is>
          <x:t xml:space="preserve">否</x:t>
        </x:is>
      </x:c>
      <x:c r="Q86" s="56" t="n"/>
      <x:c r="R86" s="57" t="inlineStr">
        <x:is>
          <x:t xml:space="preserve">主集</x:t>
        </x:is>
      </x:c>
      <x:c r="S86" s="57" t="inlineStr">
        <x:is>
          <x:t xml:space="preserve">dev</x:t>
        </x:is>
      </x:c>
      <x:c r="T86" s="57" t="inlineStr">
        <x:is>
          <x:t xml:space="preserve"/>
        </x:is>
      </x:c>
    </x:row>
    <x:row r="87" s="37" customFormat="1" ht="15" customHeight="1">
      <x:c r="A87" s="55" t="inlineStr">
        <x:is>
          <x:t xml:space="preserve">NEG-0086</x:t>
        </x:is>
      </x:c>
      <x:c r="B87" s="55" t="inlineStr">
        <x:is>
          <x:t xml:space="preserve">v2</x:t>
        </x:is>
      </x:c>
      <x:c r="C87" s="56" t="inlineStr">
        <x:is>
          <x:t xml:space="preserve">三、制度性与统计性区分</x:t>
        </x:is>
      </x:c>
      <x:c r="D87" s="56" t="inlineStr">
        <x:is>
          <x:t xml:space="preserve">3.5 统计、监测与研究</x:t>
        </x:is>
      </x:c>
      <x:c r="E87" s="56" t="inlineStr">
        <x:is>
          <x:t xml:space="preserve">学术与调研</x:t>
        </x:is>
      </x:c>
      <x:c r="F87" s="56" t="inlineStr">
        <x:is>
          <x:t xml:space="preserve">统计公报</x:t>
        </x:is>
      </x:c>
      <x:c r="G87" s="55" t="inlineStr">
        <x:is>
          <x:t xml:space="preserve">无</x:t>
        </x:is>
      </x:c>
      <x:c r="H87" s="55" t="str">
        <x:f>IF(LEN(I87)&lt;15,"短",IF(LEN(I87)&lt;=45,"中","长"))</x:f>
        <x:v>中</x:v>
      </x:c>
      <x:c r="I87" s="56" t="inlineStr">
        <x:is>
          <x:t xml:space="preserve">年末全国人口中，男性 72034 万人，女性 68935 万人。</x:t>
        </x:is>
      </x:c>
      <x:c r="J87" s="56" t="str">
        <x:f>I87</x:f>
        <x:v>年末全国人口中，男性 72034 万人，女性 68935 万人。</x:v>
      </x:c>
      <x:c r="K87" s="55" t="inlineStr">
        <x:is>
          <x:t xml:space="preserve">无需改写</x:t>
        </x:is>
      </x:c>
      <x:c r="L87" s="56" t="inlineStr">
        <x:is>
          <x:t xml:space="preserve">男性/女性</x:t>
        </x:is>
      </x:c>
      <x:c r="M87" s="56" t="inlineStr">
        <x:is>
          <x:t xml:space="preserve">人口统计基础数据</x:t>
        </x:is>
      </x:c>
      <x:c r="N87" s="56" t="inlineStr">
        <x:is>
          <x:t xml:space="preserve">年末全国人口共 140969 万人</x:t>
        </x:is>
      </x:c>
      <x:c r="O87" s="55" t="inlineStr">
        <x:is>
          <x:t xml:space="preserve">易</x:t>
        </x:is>
      </x:c>
      <x:c r="P87" s="55" t="inlineStr">
        <x:is>
          <x:t xml:space="preserve">否</x:t>
        </x:is>
      </x:c>
      <x:c r="Q87" s="56" t="n"/>
      <x:c r="R87" s="57" t="inlineStr">
        <x:is>
          <x:t xml:space="preserve">主集</x:t>
        </x:is>
      </x:c>
      <x:c r="S87" s="57" t="inlineStr">
        <x:is>
          <x:t xml:space="preserve">index</x:t>
        </x:is>
      </x:c>
      <x:c r="T87" s="57" t="inlineStr">
        <x:is>
          <x:t xml:space="preserve"/>
        </x:is>
      </x:c>
    </x:row>
    <x:row r="88" s="37" customFormat="1" ht="29.850000381469727" customHeight="1">
      <x:c r="A88" s="55" t="inlineStr">
        <x:is>
          <x:t xml:space="preserve">NEG-0087</x:t>
        </x:is>
      </x:c>
      <x:c r="B88" s="55" t="inlineStr">
        <x:is>
          <x:t xml:space="preserve">v2</x:t>
        </x:is>
      </x:c>
      <x:c r="C88" s="56" t="inlineStr">
        <x:is>
          <x:t xml:space="preserve">三、制度性与统计性区分</x:t>
        </x:is>
      </x:c>
      <x:c r="D88" s="56" t="inlineStr">
        <x:is>
          <x:t xml:space="preserve">3.5 统计、监测与研究</x:t>
        </x:is>
      </x:c>
      <x:c r="E88" s="56" t="inlineStr">
        <x:is>
          <x:t xml:space="preserve">学术与调研</x:t>
        </x:is>
      </x:c>
      <x:c r="F88" s="56" t="inlineStr">
        <x:is>
          <x:t xml:space="preserve">行业报告</x:t>
        </x:is>
      </x:c>
      <x:c r="G88" s="55" t="inlineStr">
        <x:is>
          <x:t xml:space="preserve">无</x:t>
        </x:is>
      </x:c>
      <x:c r="H88" s="55" t="str">
        <x:f>IF(LEN(I88)&lt;15,"短",IF(LEN(I88)&lt;=45,"中","长"))</x:f>
        <x:v>中</x:v>
      </x:c>
      <x:c r="I88" s="56" t="inlineStr">
        <x:is>
          <x:t xml:space="preserve">该行业女性从业者占比 61%，但管理层中女性仅占 23%。</x:t>
        </x:is>
      </x:c>
      <x:c r="J88" s="56" t="str">
        <x:f>I88</x:f>
        <x:v>该行业女性从业者占比 61%，但管理层中女性仅占 23%。</x:v>
      </x:c>
      <x:c r="K88" s="55" t="inlineStr">
        <x:is>
          <x:t xml:space="preserve">无需改写</x:t>
        </x:is>
      </x:c>
      <x:c r="L88" s="56" t="inlineStr">
        <x:is>
          <x:t xml:space="preserve">女性</x:t>
        </x:is>
      </x:c>
      <x:c r="M88" s="56" t="inlineStr">
        <x:is>
          <x:t xml:space="preserve">职业性别隔离的量化描述，是报告论点所在</x:t>
        </x:is>
      </x:c>
      <x:c r="N88" s="56" t="inlineStr">
        <x:is>
          <x:t xml:space="preserve">该行业从业者与管理层的构成存在落差</x:t>
        </x:is>
      </x:c>
      <x:c r="O88" s="55" t="inlineStr">
        <x:is>
          <x:t xml:space="preserve">难</x:t>
        </x:is>
      </x:c>
      <x:c r="P88" s="55" t="inlineStr">
        <x:is>
          <x:t xml:space="preserve">否</x:t>
        </x:is>
      </x:c>
      <x:c r="Q88" s="56" t="inlineStr">
        <x:is>
          <x:t xml:space="preserve">删去性别，整段分析即失去对象</x:t>
        </x:is>
      </x:c>
      <x:c r="R88" s="57" t="inlineStr">
        <x:is>
          <x:t xml:space="preserve">主集</x:t>
        </x:is>
      </x:c>
      <x:c r="S88" s="57" t="inlineStr">
        <x:is>
          <x:t xml:space="preserve">index</x:t>
        </x:is>
      </x:c>
      <x:c r="T88" s="57" t="inlineStr">
        <x:is>
          <x:t xml:space="preserve"/>
        </x:is>
      </x:c>
    </x:row>
    <x:row r="89" s="37" customFormat="1" ht="29.850000381469727" customHeight="1">
      <x:c r="A89" s="55" t="inlineStr">
        <x:is>
          <x:t xml:space="preserve">NEG-0088</x:t>
        </x:is>
      </x:c>
      <x:c r="B89" s="55" t="inlineStr">
        <x:is>
          <x:t xml:space="preserve">v2</x:t>
        </x:is>
      </x:c>
      <x:c r="C89" s="56" t="inlineStr">
        <x:is>
          <x:t xml:space="preserve">三、制度性与统计性区分</x:t>
        </x:is>
      </x:c>
      <x:c r="D89" s="56" t="inlineStr">
        <x:is>
          <x:t xml:space="preserve">3.5 统计、监测与研究</x:t>
        </x:is>
      </x:c>
      <x:c r="E89" s="56" t="inlineStr">
        <x:is>
          <x:t xml:space="preserve">学术与调研</x:t>
        </x:is>
      </x:c>
      <x:c r="F89" s="56" t="inlineStr">
        <x:is>
          <x:t xml:space="preserve">学术论文</x:t>
        </x:is>
      </x:c>
      <x:c r="G89" s="55" t="inlineStr">
        <x:is>
          <x:t xml:space="preserve">无</x:t>
        </x:is>
      </x:c>
      <x:c r="H89" s="55" t="str">
        <x:f>IF(LEN(I89)&lt;15,"短",IF(LEN(I89)&lt;=45,"中","长"))</x:f>
        <x:v>中</x:v>
      </x:c>
      <x:c r="I89" s="56" t="inlineStr">
        <x:is>
          <x:t xml:space="preserve">在控制年龄与受教育程度后，性别对晋升概率仍具有显著影响。</x:t>
        </x:is>
      </x:c>
      <x:c r="J89" s="56" t="str">
        <x:f>I89</x:f>
        <x:v>在控制年龄与受教育程度后，性别对晋升概率仍具有显著影响。</x:v>
      </x:c>
      <x:c r="K89" s="55" t="inlineStr">
        <x:is>
          <x:t xml:space="preserve">无需改写</x:t>
        </x:is>
      </x:c>
      <x:c r="L89" s="56" t="inlineStr">
        <x:is>
          <x:t xml:space="preserve">性别</x:t>
        </x:is>
      </x:c>
      <x:c r="M89" s="56" t="inlineStr">
        <x:is>
          <x:t xml:space="preserve">回归分析中的自变量</x:t>
        </x:is>
      </x:c>
      <x:c r="N89" s="56" t="inlineStr">
        <x:is>
          <x:t xml:space="preserve">在控制年龄与受教育程度后，个体特征仍具有显著影响</x:t>
        </x:is>
      </x:c>
      <x:c r="O89" s="55" t="inlineStr">
        <x:is>
          <x:t xml:space="preserve">中</x:t>
        </x:is>
      </x:c>
      <x:c r="P89" s="55" t="inlineStr">
        <x:is>
          <x:t xml:space="preserve">否</x:t>
        </x:is>
      </x:c>
      <x:c r="Q89" s="56" t="n"/>
      <x:c r="R89" s="57" t="inlineStr">
        <x:is>
          <x:t xml:space="preserve">主集</x:t>
        </x:is>
      </x:c>
      <x:c r="S89" s="57" t="inlineStr">
        <x:is>
          <x:t xml:space="preserve">dev</x:t>
        </x:is>
      </x:c>
      <x:c r="T89" s="57" t="inlineStr">
        <x:is>
          <x:t xml:space="preserve"/>
        </x:is>
      </x:c>
    </x:row>
    <x:row r="90" s="37" customFormat="1" ht="15" customHeight="1">
      <x:c r="A90" s="55" t="inlineStr">
        <x:is>
          <x:t xml:space="preserve">NEG-0089</x:t>
        </x:is>
      </x:c>
      <x:c r="B90" s="55" t="inlineStr">
        <x:is>
          <x:t xml:space="preserve">v2</x:t>
        </x:is>
      </x:c>
      <x:c r="C90" s="56" t="inlineStr">
        <x:is>
          <x:t xml:space="preserve">三、制度性与统计性区分</x:t>
        </x:is>
      </x:c>
      <x:c r="D90" s="56" t="inlineStr">
        <x:is>
          <x:t xml:space="preserve">3.5 统计、监测与研究</x:t>
        </x:is>
      </x:c>
      <x:c r="E90" s="56" t="inlineStr">
        <x:is>
          <x:t xml:space="preserve">医疗健康</x:t>
        </x:is>
      </x:c>
      <x:c r="F90" s="56" t="inlineStr">
        <x:is>
          <x:t xml:space="preserve">公共卫生报告</x:t>
        </x:is>
      </x:c>
      <x:c r="G90" s="55" t="inlineStr">
        <x:is>
          <x:t xml:space="preserve">无</x:t>
        </x:is>
      </x:c>
      <x:c r="H90" s="55" t="str">
        <x:f>IF(LEN(I90)&lt;15,"短",IF(LEN(I90)&lt;=45,"中","长"))</x:f>
        <x:v>中</x:v>
      </x:c>
      <x:c r="I90" s="56" t="inlineStr">
        <x:is>
          <x:t xml:space="preserve">我国成年男性吸烟率约为女性的 20 倍。</x:t>
        </x:is>
      </x:c>
      <x:c r="J90" s="56" t="str">
        <x:f>I90</x:f>
        <x:v>我国成年男性吸烟率约为女性的 20 倍。</x:v>
      </x:c>
      <x:c r="K90" s="55" t="inlineStr">
        <x:is>
          <x:t xml:space="preserve">无需改写</x:t>
        </x:is>
      </x:c>
      <x:c r="L90" s="56" t="inlineStr">
        <x:is>
          <x:t xml:space="preserve">男性/女性</x:t>
        </x:is>
      </x:c>
      <x:c r="M90" s="56" t="inlineStr">
        <x:is>
          <x:t xml:space="preserve">健康行为的性别差异数据</x:t>
        </x:is>
      </x:c>
      <x:c r="N90" s="56" t="inlineStr">
        <x:is>
          <x:t xml:space="preserve">我国成年人吸烟率存在群体差异</x:t>
        </x:is>
      </x:c>
      <x:c r="O90" s="55" t="inlineStr">
        <x:is>
          <x:t xml:space="preserve">易</x:t>
        </x:is>
      </x:c>
      <x:c r="P90" s="55" t="inlineStr">
        <x:is>
          <x:t xml:space="preserve">否</x:t>
        </x:is>
      </x:c>
      <x:c r="Q90" s="56" t="n"/>
      <x:c r="R90" s="57" t="inlineStr">
        <x:is>
          <x:t xml:space="preserve">主集</x:t>
        </x:is>
      </x:c>
      <x:c r="S90" s="57" t="inlineStr">
        <x:is>
          <x:t xml:space="preserve">index</x:t>
        </x:is>
      </x:c>
      <x:c r="T90" s="57" t="inlineStr">
        <x:is>
          <x:t xml:space="preserve"/>
        </x:is>
      </x:c>
    </x:row>
    <x:row r="91" s="37" customFormat="1" ht="15" customHeight="1">
      <x:c r="A91" s="55" t="inlineStr">
        <x:is>
          <x:t xml:space="preserve">NEG-0090</x:t>
        </x:is>
      </x:c>
      <x:c r="B91" s="55" t="inlineStr">
        <x:is>
          <x:t xml:space="preserve">v2</x:t>
        </x:is>
      </x:c>
      <x:c r="C91" s="56" t="inlineStr">
        <x:is>
          <x:t xml:space="preserve">三、制度性与统计性区分</x:t>
        </x:is>
      </x:c>
      <x:c r="D91" s="56" t="inlineStr">
        <x:is>
          <x:t xml:space="preserve">3.5 统计、监测与研究</x:t>
        </x:is>
      </x:c>
      <x:c r="E91" s="56" t="inlineStr">
        <x:is>
          <x:t xml:space="preserve">学术与调研</x:t>
        </x:is>
      </x:c>
      <x:c r="F91" s="56" t="inlineStr">
        <x:is>
          <x:t xml:space="preserve">教育统计</x:t>
        </x:is>
      </x:c>
      <x:c r="G91" s="55" t="inlineStr">
        <x:is>
          <x:t xml:space="preserve">无</x:t>
        </x:is>
      </x:c>
      <x:c r="H91" s="55" t="str">
        <x:f>IF(LEN(I91)&lt;15,"短",IF(LEN(I91)&lt;=45,"中","长"))</x:f>
        <x:v>中</x:v>
      </x:c>
      <x:c r="I91" s="56" t="inlineStr">
        <x:is>
          <x:t xml:space="preserve">近十年普通高校在校生中女生比例持续超过 50%。</x:t>
        </x:is>
      </x:c>
      <x:c r="J91" s="56" t="str">
        <x:f>I91</x:f>
        <x:v>近十年普通高校在校生中女生比例持续超过 50%。</x:v>
      </x:c>
      <x:c r="K91" s="55" t="inlineStr">
        <x:is>
          <x:t xml:space="preserve">无需改写</x:t>
        </x:is>
      </x:c>
      <x:c r="L91" s="56" t="inlineStr">
        <x:is>
          <x:t xml:space="preserve">女生比例</x:t>
        </x:is>
      </x:c>
      <x:c r="M91" s="56" t="inlineStr">
        <x:is>
          <x:t xml:space="preserve">教育统计指标</x:t>
        </x:is>
      </x:c>
      <x:c r="N91" s="56" t="inlineStr">
        <x:is>
          <x:t xml:space="preserve">近十年普通高校在校生结构持续变化</x:t>
        </x:is>
      </x:c>
      <x:c r="O91" s="55" t="inlineStr">
        <x:is>
          <x:t xml:space="preserve">易</x:t>
        </x:is>
      </x:c>
      <x:c r="P91" s="55" t="inlineStr">
        <x:is>
          <x:t xml:space="preserve">否</x:t>
        </x:is>
      </x:c>
      <x:c r="Q91" s="56" t="n"/>
      <x:c r="R91" s="57" t="inlineStr">
        <x:is>
          <x:t xml:space="preserve">主集</x:t>
        </x:is>
      </x:c>
      <x:c r="S91" s="57" t="inlineStr">
        <x:is>
          <x:t xml:space="preserve">index</x:t>
        </x:is>
      </x:c>
      <x:c r="T91" s="57" t="inlineStr">
        <x:is>
          <x:t xml:space="preserve"/>
        </x:is>
      </x:c>
    </x:row>
    <x:row r="92" s="37" customFormat="1" ht="29.850000381469727" customHeight="1">
      <x:c r="A92" s="55" t="inlineStr">
        <x:is>
          <x:t xml:space="preserve">NEG-0091</x:t>
        </x:is>
      </x:c>
      <x:c r="B92" s="55" t="inlineStr">
        <x:is>
          <x:t xml:space="preserve">v2</x:t>
        </x:is>
      </x:c>
      <x:c r="C92" s="56" t="inlineStr">
        <x:is>
          <x:t xml:space="preserve">三、制度性与统计性区分</x:t>
        </x:is>
      </x:c>
      <x:c r="D92" s="56" t="inlineStr">
        <x:is>
          <x:t xml:space="preserve">3.5 统计、监测与研究</x:t>
        </x:is>
      </x:c>
      <x:c r="E92" s="56" t="inlineStr">
        <x:is>
          <x:t xml:space="preserve">学术与调研</x:t>
        </x:is>
      </x:c>
      <x:c r="F92" s="56" t="inlineStr">
        <x:is>
          <x:t xml:space="preserve">调查方法</x:t>
        </x:is>
      </x:c>
      <x:c r="G92" s="55" t="inlineStr">
        <x:is>
          <x:t xml:space="preserve">无</x:t>
        </x:is>
      </x:c>
      <x:c r="H92" s="55" t="str">
        <x:f>IF(LEN(I92)&lt;15,"短",IF(LEN(I92)&lt;=45,"中","长"))</x:f>
        <x:v>中</x:v>
      </x:c>
      <x:c r="I92" s="56" t="inlineStr">
        <x:is>
          <x:t xml:space="preserve">本次调查回收有效问卷 1200 份，男性 560 份、女性 632 份、其他 8 份。</x:t>
        </x:is>
      </x:c>
      <x:c r="J92" s="56" t="str">
        <x:f>I92</x:f>
        <x:v>本次调查回收有效问卷 1200 份，男性 560 份、女性 632 份、其他 8 份。</x:v>
      </x:c>
      <x:c r="K92" s="55" t="inlineStr">
        <x:is>
          <x:t xml:space="preserve">无需改写</x:t>
        </x:is>
      </x:c>
      <x:c r="L92" s="56" t="inlineStr">
        <x:is>
          <x:t xml:space="preserve">男性/女性/其他</x:t>
        </x:is>
      </x:c>
      <x:c r="M92" s="56" t="inlineStr">
        <x:is>
          <x:t xml:space="preserve">样本构成披露，且选项已含非二元项</x:t>
        </x:is>
      </x:c>
      <x:c r="N92" s="56" t="inlineStr">
        <x:is>
          <x:t xml:space="preserve">本次调查回收有效问卷 1200 份</x:t>
        </x:is>
      </x:c>
      <x:c r="O92" s="55" t="inlineStr">
        <x:is>
          <x:t xml:space="preserve">中</x:t>
        </x:is>
      </x:c>
      <x:c r="P92" s="55" t="inlineStr">
        <x:is>
          <x:t xml:space="preserve">否</x:t>
        </x:is>
      </x:c>
      <x:c r="Q92" s="56" t="inlineStr">
        <x:is>
          <x:t xml:space="preserve">可作为“强制二元”误判的反例</x:t>
        </x:is>
      </x:c>
      <x:c r="R92" s="57" t="inlineStr">
        <x:is>
          <x:t xml:space="preserve">主集</x:t>
        </x:is>
      </x:c>
      <x:c r="S92" s="57" t="inlineStr">
        <x:is>
          <x:t xml:space="preserve">dev</x:t>
        </x:is>
      </x:c>
      <x:c r="T92" s="57" t="inlineStr">
        <x:is>
          <x:t xml:space="preserve"/>
        </x:is>
      </x:c>
    </x:row>
    <x:row r="93" s="37" customFormat="1" ht="29.850000381469727" customHeight="1">
      <x:c r="A93" s="55" t="inlineStr">
        <x:is>
          <x:t xml:space="preserve">NEG-0092</x:t>
        </x:is>
      </x:c>
      <x:c r="B93" s="55" t="inlineStr">
        <x:is>
          <x:t xml:space="preserve">v2</x:t>
        </x:is>
      </x:c>
      <x:c r="C93" s="56" t="inlineStr">
        <x:is>
          <x:t xml:space="preserve">三、制度性与统计性区分</x:t>
        </x:is>
      </x:c>
      <x:c r="D93" s="56" t="inlineStr">
        <x:is>
          <x:t xml:space="preserve">3.6 平权、保护与专项服务</x:t>
        </x:is>
      </x:c>
      <x:c r="E93" s="56" t="inlineStr">
        <x:is>
          <x:t xml:space="preserve">公文与规章</x:t>
        </x:is>
      </x:c>
      <x:c r="F93" s="56" t="inlineStr">
        <x:is>
          <x:t xml:space="preserve">监管要求</x:t>
        </x:is>
      </x:c>
      <x:c r="G93" s="55" t="inlineStr">
        <x:is>
          <x:t xml:space="preserve">无</x:t>
        </x:is>
      </x:c>
      <x:c r="H93" s="55" t="str">
        <x:f>IF(LEN(I93)&lt;15,"短",IF(LEN(I93)&lt;=45,"中","长"))</x:f>
        <x:v>中</x:v>
      </x:c>
      <x:c r="I93" s="56" t="inlineStr">
        <x:is>
          <x:t xml:space="preserve">上市公司应在年度报告中披露董事会成员的性别构成情况。</x:t>
        </x:is>
      </x:c>
      <x:c r="J93" s="56" t="str">
        <x:f>I93</x:f>
        <x:v>上市公司应在年度报告中披露董事会成员的性别构成情况。</x:v>
      </x:c>
      <x:c r="K93" s="55" t="inlineStr">
        <x:is>
          <x:t xml:space="preserve">无需改写</x:t>
        </x:is>
      </x:c>
      <x:c r="L93" s="56" t="inlineStr">
        <x:is>
          <x:t xml:space="preserve">性别构成</x:t>
        </x:is>
      </x:c>
      <x:c r="M93" s="56" t="inlineStr">
        <x:is>
          <x:t xml:space="preserve">信息披露的法定项目</x:t>
        </x:is>
      </x:c>
      <x:c r="N93" s="56" t="inlineStr">
        <x:is>
          <x:t xml:space="preserve">上市公司应披露董事会成员的构成情况</x:t>
        </x:is>
      </x:c>
      <x:c r="O93" s="55" t="inlineStr">
        <x:is>
          <x:t xml:space="preserve">中</x:t>
        </x:is>
      </x:c>
      <x:c r="P93" s="55" t="inlineStr">
        <x:is>
          <x:t xml:space="preserve">否</x:t>
        </x:is>
      </x:c>
      <x:c r="Q93" s="56" t="n"/>
      <x:c r="R93" s="57" t="inlineStr">
        <x:is>
          <x:t xml:space="preserve">主集</x:t>
        </x:is>
      </x:c>
      <x:c r="S93" s="57" t="inlineStr">
        <x:is>
          <x:t xml:space="preserve">dev</x:t>
        </x:is>
      </x:c>
      <x:c r="T93" s="57" t="inlineStr">
        <x:is>
          <x:t xml:space="preserve"/>
        </x:is>
      </x:c>
    </x:row>
    <x:row r="94" s="37" customFormat="1" ht="15" customHeight="1">
      <x:c r="A94" s="55" t="inlineStr">
        <x:is>
          <x:t xml:space="preserve">NEG-0093</x:t>
        </x:is>
      </x:c>
      <x:c r="B94" s="55" t="inlineStr">
        <x:is>
          <x:t xml:space="preserve">v2</x:t>
        </x:is>
      </x:c>
      <x:c r="C94" s="56" t="inlineStr">
        <x:is>
          <x:t xml:space="preserve">三、制度性与统计性区分</x:t>
        </x:is>
      </x:c>
      <x:c r="D94" s="56" t="inlineStr">
        <x:is>
          <x:t xml:space="preserve">3.6 平权、保护与专项服务</x:t>
        </x:is>
      </x:c>
      <x:c r="E94" s="56" t="inlineStr">
        <x:is>
          <x:t xml:space="preserve">公文与规章</x:t>
        </x:is>
      </x:c>
      <x:c r="F94" s="56" t="inlineStr">
        <x:is>
          <x:t xml:space="preserve">公益宣传</x:t>
        </x:is>
      </x:c>
      <x:c r="G94" s="55" t="inlineStr">
        <x:is>
          <x:t xml:space="preserve">无</x:t>
        </x:is>
      </x:c>
      <x:c r="H94" s="55" t="str">
        <x:f>IF(LEN(I94)&lt;15,"短",IF(LEN(I94)&lt;=45,"中","长"))</x:f>
        <x:v>中</x:v>
      </x:c>
      <x:c r="I94" s="56" t="inlineStr">
        <x:is>
          <x:t xml:space="preserve">12338 妇女维权公益服务热线已实现全国统一接入。</x:t>
        </x:is>
      </x:c>
      <x:c r="J94" s="56" t="str">
        <x:f>I94</x:f>
        <x:v>12338 妇女维权公益服务热线已实现全国统一接入。</x:v>
      </x:c>
      <x:c r="K94" s="55" t="inlineStr">
        <x:is>
          <x:t xml:space="preserve">无需改写</x:t>
        </x:is>
      </x:c>
      <x:c r="L94" s="56" t="inlineStr">
        <x:is>
          <x:t xml:space="preserve">妇女维权</x:t>
        </x:is>
      </x:c>
      <x:c r="M94" s="56" t="inlineStr">
        <x:is>
          <x:t xml:space="preserve">服务名称与服务对象</x:t>
        </x:is>
      </x:c>
      <x:c r="N94" s="56" t="inlineStr">
        <x:is>
          <x:t xml:space="preserve">公益维权服务热线已实现全国统一接入</x:t>
        </x:is>
      </x:c>
      <x:c r="O94" s="55" t="inlineStr">
        <x:is>
          <x:t xml:space="preserve">易</x:t>
        </x:is>
      </x:c>
      <x:c r="P94" s="55" t="inlineStr">
        <x:is>
          <x:t xml:space="preserve">否</x:t>
        </x:is>
      </x:c>
      <x:c r="Q94" s="56" t="n"/>
      <x:c r="R94" s="57" t="inlineStr">
        <x:is>
          <x:t xml:space="preserve">主集</x:t>
        </x:is>
      </x:c>
      <x:c r="S94" s="57" t="inlineStr">
        <x:is>
          <x:t xml:space="preserve">test</x:t>
        </x:is>
      </x:c>
      <x:c r="T94" s="57" t="inlineStr">
        <x:is>
          <x:t xml:space="preserve"/>
        </x:is>
      </x:c>
    </x:row>
    <x:row r="95" s="37" customFormat="1" ht="29.850000381469727" customHeight="1">
      <x:c r="A95" s="55" t="inlineStr">
        <x:is>
          <x:t xml:space="preserve">NEG-0094</x:t>
        </x:is>
      </x:c>
      <x:c r="B95" s="55" t="inlineStr">
        <x:is>
          <x:t xml:space="preserve">v2</x:t>
        </x:is>
      </x:c>
      <x:c r="C95" s="56" t="inlineStr">
        <x:is>
          <x:t xml:space="preserve">三、制度性与统计性区分</x:t>
        </x:is>
      </x:c>
      <x:c r="D95" s="56" t="inlineStr">
        <x:is>
          <x:t xml:space="preserve">3.6 平权、保护与专项服务</x:t>
        </x:is>
      </x:c>
      <x:c r="E95" s="56" t="inlineStr">
        <x:is>
          <x:t xml:space="preserve">新闻报道</x:t>
        </x:is>
      </x:c>
      <x:c r="F95" s="56" t="inlineStr">
        <x:is>
          <x:t xml:space="preserve">项目公告</x:t>
        </x:is>
      </x:c>
      <x:c r="G95" s="55" t="inlineStr">
        <x:is>
          <x:t xml:space="preserve">无</x:t>
        </x:is>
      </x:c>
      <x:c r="H95" s="55" t="str">
        <x:f>IF(LEN(I95)&lt;15,"短",IF(LEN(I95)&lt;=45,"中","长"))</x:f>
        <x:v>中</x:v>
      </x:c>
      <x:c r="I95" s="56" t="inlineStr">
        <x:is>
          <x:t xml:space="preserve">该计划每年资助 20 名 45 岁以下女性科研人员开展独立研究。</x:t>
        </x:is>
      </x:c>
      <x:c r="J95" s="56" t="str">
        <x:f>I95</x:f>
        <x:v>该计划每年资助 20 名 45 岁以下女性科研人员开展独立研究。</x:v>
      </x:c>
      <x:c r="K95" s="55" t="inlineStr">
        <x:is>
          <x:t xml:space="preserve">无需改写</x:t>
        </x:is>
      </x:c>
      <x:c r="L95" s="56" t="inlineStr">
        <x:is>
          <x:t xml:space="preserve">女性科研人员</x:t>
        </x:is>
      </x:c>
      <x:c r="M95" s="56" t="inlineStr">
        <x:is>
          <x:t xml:space="preserve">资助资格条件</x:t>
        </x:is>
      </x:c>
      <x:c r="N95" s="56" t="inlineStr">
        <x:is>
          <x:t xml:space="preserve">该计划每年资助 20 名 45 岁以下科研人员</x:t>
        </x:is>
      </x:c>
      <x:c r="O95" s="55" t="inlineStr">
        <x:is>
          <x:t xml:space="preserve">难</x:t>
        </x:is>
      </x:c>
      <x:c r="P95" s="55" t="inlineStr">
        <x:is>
          <x:t xml:space="preserve">否</x:t>
        </x:is>
      </x:c>
      <x:c r="Q95" s="56" t="inlineStr">
        <x:is>
          <x:t xml:space="preserve">此处性别限定即准入条件，与冗余标记性质不同</x:t>
        </x:is>
      </x:c>
      <x:c r="R95" s="57" t="inlineStr">
        <x:is>
          <x:t xml:space="preserve">主集</x:t>
        </x:is>
      </x:c>
      <x:c r="S95" s="57" t="inlineStr">
        <x:is>
          <x:t xml:space="preserve">test</x:t>
        </x:is>
      </x:c>
      <x:c r="T95" s="57" t="inlineStr">
        <x:is>
          <x:t xml:space="preserve"/>
        </x:is>
      </x:c>
    </x:row>
    <x:row r="96" s="37" customFormat="1" ht="15" customHeight="1">
      <x:c r="A96" s="55" t="inlineStr">
        <x:is>
          <x:t xml:space="preserve">NEG-0095</x:t>
        </x:is>
      </x:c>
      <x:c r="B96" s="55" t="inlineStr">
        <x:is>
          <x:t xml:space="preserve">v2</x:t>
        </x:is>
      </x:c>
      <x:c r="C96" s="56" t="inlineStr">
        <x:is>
          <x:t xml:space="preserve">三、制度性与统计性区分</x:t>
        </x:is>
      </x:c>
      <x:c r="D96" s="56" t="inlineStr">
        <x:is>
          <x:t xml:space="preserve">3.6 平权、保护与专项服务</x:t>
        </x:is>
      </x:c>
      <x:c r="E96" s="56" t="inlineStr">
        <x:is>
          <x:t xml:space="preserve">公文与规章</x:t>
        </x:is>
      </x:c>
      <x:c r="F96" s="56" t="inlineStr">
        <x:is>
          <x:t xml:space="preserve">机构通报</x:t>
        </x:is>
      </x:c>
      <x:c r="G96" s="55" t="inlineStr">
        <x:is>
          <x:t xml:space="preserve">无</x:t>
        </x:is>
      </x:c>
      <x:c r="H96" s="55" t="str">
        <x:f>IF(LEN(I96)&lt;15,"短",IF(LEN(I96)&lt;=45,"中","长"))</x:f>
        <x:v>中</x:v>
      </x:c>
      <x:c r="I96" s="56" t="inlineStr">
        <x:is>
          <x:t xml:space="preserve">本机构今年新设男性受害人临时安置床位 6 张。</x:t>
        </x:is>
      </x:c>
      <x:c r="J96" s="56" t="str">
        <x:f>I96</x:f>
        <x:v>本机构今年新设男性受害人临时安置床位 6 张。</x:v>
      </x:c>
      <x:c r="K96" s="55" t="inlineStr">
        <x:is>
          <x:t xml:space="preserve">无需改写</x:t>
        </x:is>
      </x:c>
      <x:c r="L96" s="56" t="inlineStr">
        <x:is>
          <x:t xml:space="preserve">男性受害人</x:t>
        </x:is>
      </x:c>
      <x:c r="M96" s="56" t="inlineStr">
        <x:is>
          <x:t xml:space="preserve">针对被忽视群体的服务扩展</x:t>
        </x:is>
      </x:c>
      <x:c r="N96" s="56" t="inlineStr">
        <x:is>
          <x:t xml:space="preserve">本机构今年新设临时安置床位 6 张</x:t>
        </x:is>
      </x:c>
      <x:c r="O96" s="55" t="inlineStr">
        <x:is>
          <x:t xml:space="preserve">难</x:t>
        </x:is>
      </x:c>
      <x:c r="P96" s="55" t="inlineStr">
        <x:is>
          <x:t xml:space="preserve">否</x:t>
        </x:is>
      </x:c>
      <x:c r="Q96" s="56" t="n"/>
      <x:c r="R96" s="57" t="inlineStr">
        <x:is>
          <x:t xml:space="preserve">主集</x:t>
        </x:is>
      </x:c>
      <x:c r="S96" s="57" t="inlineStr">
        <x:is>
          <x:t xml:space="preserve">dev</x:t>
        </x:is>
      </x:c>
      <x:c r="T96" s="57" t="inlineStr">
        <x:is>
          <x:t xml:space="preserve"/>
        </x:is>
      </x:c>
    </x:row>
    <x:row r="97" s="37" customFormat="1" ht="29.850000381469727" customHeight="1">
      <x:c r="A97" s="55" t="inlineStr">
        <x:is>
          <x:t xml:space="preserve">NEG-0096</x:t>
        </x:is>
      </x:c>
      <x:c r="B97" s="55" t="inlineStr">
        <x:is>
          <x:t xml:space="preserve">v2</x:t>
        </x:is>
      </x:c>
      <x:c r="C97" s="56" t="inlineStr">
        <x:is>
          <x:t xml:space="preserve">三、制度性与统计性区分</x:t>
        </x:is>
      </x:c>
      <x:c r="D97" s="56" t="inlineStr">
        <x:is>
          <x:t xml:space="preserve">3.6 平权、保护与专项服务</x:t>
        </x:is>
      </x:c>
      <x:c r="E97" s="56" t="inlineStr">
        <x:is>
          <x:t xml:space="preserve">新闻报道</x:t>
        </x:is>
      </x:c>
      <x:c r="F97" s="56" t="inlineStr">
        <x:is>
          <x:t xml:space="preserve">招聘公告</x:t>
        </x:is>
      </x:c>
      <x:c r="G97" s="55" t="inlineStr">
        <x:is>
          <x:t xml:space="preserve">无</x:t>
        </x:is>
      </x:c>
      <x:c r="H97" s="55" t="str">
        <x:f>IF(LEN(I97)&lt;15,"短",IF(LEN(I97)&lt;=45,"中","长"))</x:f>
        <x:v>中</x:v>
      </x:c>
      <x:c r="I97" s="56" t="inlineStr">
        <x:is>
          <x:t xml:space="preserve">为改善团队性别结构，本轮校招将定向增加女性工程师岗位名额。</x:t>
        </x:is>
      </x:c>
      <x:c r="J97" s="56" t="str">
        <x:f>I97</x:f>
        <x:v>为改善团队性别结构，本轮校招将定向增加女性工程师岗位名额。</x:v>
      </x:c>
      <x:c r="K97" s="55" t="inlineStr">
        <x:is>
          <x:t xml:space="preserve">无需改写</x:t>
        </x:is>
      </x:c>
      <x:c r="L97" s="56" t="inlineStr">
        <x:is>
          <x:t xml:space="preserve">女性工程师</x:t>
        </x:is>
      </x:c>
      <x:c r="M97" s="56" t="inlineStr">
        <x:is>
          <x:t xml:space="preserve">积极行动措施的目标说明</x:t>
        </x:is>
      </x:c>
      <x:c r="N97" s="56" t="inlineStr">
        <x:is>
          <x:t xml:space="preserve">本轮校招将增加工程师岗位名额</x:t>
        </x:is>
      </x:c>
      <x:c r="O97" s="55" t="inlineStr">
        <x:is>
          <x:t xml:space="preserve">中</x:t>
        </x:is>
      </x:c>
      <x:c r="P97" s="55" t="inlineStr">
        <x:is>
          <x:t xml:space="preserve">是</x:t>
        </x:is>
      </x:c>
      <x:c r="Q97" s="56" t="inlineStr">
        <x:is>
          <x:t xml:space="preserve">定向措施的正当性与边界存在不同主张</x:t>
        </x:is>
      </x:c>
      <x:c r="R97" s="57" t="inlineStr">
        <x:is>
          <x:t xml:space="preserve">主集</x:t>
        </x:is>
      </x:c>
      <x:c r="S97" s="57" t="inlineStr">
        <x:is>
          <x:t xml:space="preserve">index</x:t>
        </x:is>
      </x:c>
      <x:c r="T97" s="57" t="inlineStr">
        <x:is>
          <x:t xml:space="preserve"/>
        </x:is>
      </x:c>
    </x:row>
    <x:row r="98" s="37" customFormat="1" ht="15" customHeight="1">
      <x:c r="A98" s="58" t="inlineStr">
        <x:is>
          <x:t xml:space="preserve">NEG-0097</x:t>
        </x:is>
      </x:c>
      <x:c r="B98" s="58" t="inlineStr">
        <x:is>
          <x:t xml:space="preserve">v2</x:t>
        </x:is>
      </x:c>
      <x:c r="C98" s="59" t="inlineStr">
        <x:is>
          <x:t xml:space="preserve">三、制度性与统计性区分</x:t>
        </x:is>
      </x:c>
      <x:c r="D98" s="59" t="inlineStr">
        <x:is>
          <x:t xml:space="preserve">3.7 宗教与文化传统实践</x:t>
        </x:is>
      </x:c>
      <x:c r="E98" s="59" t="inlineStr">
        <x:is>
          <x:t xml:space="preserve">学术与调研</x:t>
        </x:is>
      </x:c>
      <x:c r="F98" s="59" t="inlineStr">
        <x:is>
          <x:t xml:space="preserve">民俗记录</x:t>
        </x:is>
      </x:c>
      <x:c r="G98" s="58" t="inlineStr">
        <x:is>
          <x:t xml:space="preserve">无</x:t>
        </x:is>
      </x:c>
      <x:c r="H98" s="58" t="str">
        <x:f>IF(LEN(I98)&lt;15,"短",IF(LEN(I98)&lt;=45,"中","长"))</x:f>
        <x:v>中</x:v>
      </x:c>
      <x:c r="I98" s="59" t="inlineStr">
        <x:is>
          <x:t xml:space="preserve">按当地习俗，除夕的祭祖仪式由长子主持。</x:t>
        </x:is>
      </x:c>
      <x:c r="J98" s="59" t="str">
        <x:f>I98</x:f>
        <x:v>按当地习俗，除夕的祭祖仪式由长子主持。</x:v>
      </x:c>
      <x:c r="K98" s="58" t="inlineStr">
        <x:is>
          <x:t xml:space="preserve">无需改写</x:t>
        </x:is>
      </x:c>
      <x:c r="L98" s="59" t="inlineStr">
        <x:is>
          <x:t xml:space="preserve">长子</x:t>
        </x:is>
      </x:c>
      <x:c r="M98" s="59" t="inlineStr">
        <x:is>
          <x:t xml:space="preserve">对现存习俗的客观描述</x:t>
        </x:is>
      </x:c>
      <x:c r="N98" s="59" t="inlineStr">
        <x:is>
          <x:t xml:space="preserve">按当地习俗，祭祖仪式由家中长辈主持</x:t>
        </x:is>
      </x:c>
      <x:c r="O98" s="58" t="inlineStr">
        <x:is>
          <x:t xml:space="preserve">中</x:t>
        </x:is>
      </x:c>
      <x:c r="P98" s="58" t="inlineStr">
        <x:is>
          <x:t xml:space="preserve">否</x:t>
        </x:is>
      </x:c>
      <x:c r="Q98" s="59" t="inlineStr">
        <x:is>
          <x:t xml:space="preserve">描述与规定之别</x:t>
        </x:is>
      </x:c>
      <x:c r="R98" s="60" t="inlineStr">
        <x:is>
          <x:t xml:space="preserve">隔离·待确认</x:t>
        </x:is>
      </x:c>
      <x:c r="S98" s="60" t="inlineStr">
        <x:is>
          <x:t xml:space="preserve"/>
        </x:is>
      </x:c>
      <x:c r="T98" s="60" t="inlineStr">
        <x:is>
          <x:t xml:space="preserve">触发词不含性别编码——判断可能依赖世界知识而非句内信息</x:t>
        </x:is>
      </x:c>
    </x:row>
    <x:row r="99" s="37" customFormat="1" ht="29.850000381469727" customHeight="1">
      <x:c r="A99" s="55" t="inlineStr">
        <x:is>
          <x:t xml:space="preserve">NEG-0098</x:t>
        </x:is>
      </x:c>
      <x:c r="B99" s="55" t="inlineStr">
        <x:is>
          <x:t xml:space="preserve">v2</x:t>
        </x:is>
      </x:c>
      <x:c r="C99" s="56" t="inlineStr">
        <x:is>
          <x:t xml:space="preserve">三、制度性与统计性区分</x:t>
        </x:is>
      </x:c>
      <x:c r="D99" s="56" t="inlineStr">
        <x:is>
          <x:t xml:space="preserve">3.7 宗教与文化传统实践</x:t>
        </x:is>
      </x:c>
      <x:c r="E99" s="56" t="inlineStr">
        <x:is>
          <x:t xml:space="preserve">新闻报道</x:t>
        </x:is>
      </x:c>
      <x:c r="F99" s="56" t="inlineStr">
        <x:is>
          <x:t xml:space="preserve">新闻报道</x:t>
        </x:is>
      </x:c>
      <x:c r="G99" s="55" t="inlineStr">
        <x:is>
          <x:t xml:space="preserve">无</x:t>
        </x:is>
      </x:c>
      <x:c r="H99" s="55" t="str">
        <x:f>IF(LEN(I99)&lt;15,"短",IF(LEN(I99)&lt;=45,"中","长"))</x:f>
        <x:v>中</x:v>
      </x:c>
      <x:c r="I99" s="56" t="inlineStr">
        <x:is>
          <x:t xml:space="preserve">该教派于 1994 年起允许女性担任神职，此前已争论近三十年。</x:t>
        </x:is>
      </x:c>
      <x:c r="J99" s="56" t="str">
        <x:f>I99</x:f>
        <x:v>该教派于 1994 年起允许女性担任神职，此前已争论近三十年。</x:v>
      </x:c>
      <x:c r="K99" s="55" t="inlineStr">
        <x:is>
          <x:t xml:space="preserve">无需改写</x:t>
        </x:is>
      </x:c>
      <x:c r="L99" s="56" t="inlineStr">
        <x:is>
          <x:t xml:space="preserve">女性</x:t>
        </x:is>
      </x:c>
      <x:c r="M99" s="56" t="inlineStr">
        <x:is>
          <x:t xml:space="preserve">制度变迁的事实报道</x:t>
        </x:is>
      </x:c>
      <x:c r="N99" s="56" t="inlineStr">
        <x:is>
          <x:t xml:space="preserve">该教派于 1994 年放宽了神职任职资格</x:t>
        </x:is>
      </x:c>
      <x:c r="O99" s="55" t="inlineStr">
        <x:is>
          <x:t xml:space="preserve">中</x:t>
        </x:is>
      </x:c>
      <x:c r="P99" s="55" t="inlineStr">
        <x:is>
          <x:t xml:space="preserve">否</x:t>
        </x:is>
      </x:c>
      <x:c r="Q99" s="56" t="n"/>
      <x:c r="R99" s="57" t="inlineStr">
        <x:is>
          <x:t xml:space="preserve">主集</x:t>
        </x:is>
      </x:c>
      <x:c r="S99" s="57" t="inlineStr">
        <x:is>
          <x:t xml:space="preserve">index</x:t>
        </x:is>
      </x:c>
      <x:c r="T99" s="57" t="inlineStr">
        <x:is>
          <x:t xml:space="preserve"/>
        </x:is>
      </x:c>
    </x:row>
    <x:row r="100" s="37" customFormat="1" ht="15" customHeight="1">
      <x:c r="A100" s="55" t="inlineStr">
        <x:is>
          <x:t xml:space="preserve">NEG-0099</x:t>
        </x:is>
      </x:c>
      <x:c r="B100" s="55" t="inlineStr">
        <x:is>
          <x:t xml:space="preserve">v2</x:t>
        </x:is>
      </x:c>
      <x:c r="C100" s="56" t="inlineStr">
        <x:is>
          <x:t xml:space="preserve">三、制度性与统计性区分</x:t>
        </x:is>
      </x:c>
      <x:c r="D100" s="56" t="inlineStr">
        <x:is>
          <x:t xml:space="preserve">3.7 宗教与文化传统实践</x:t>
        </x:is>
      </x:c>
      <x:c r="E100" s="56" t="inlineStr">
        <x:is>
          <x:t xml:space="preserve">学术与调研</x:t>
        </x:is>
      </x:c>
      <x:c r="F100" s="56" t="inlineStr">
        <x:is>
          <x:t xml:space="preserve">人类学记录</x:t>
        </x:is>
      </x:c>
      <x:c r="G100" s="55" t="inlineStr">
        <x:is>
          <x:t xml:space="preserve">无</x:t>
        </x:is>
      </x:c>
      <x:c r="H100" s="55" t="str">
        <x:f>IF(LEN(I100)&lt;15,"短",IF(LEN(I100)&lt;=45,"中","长"))</x:f>
        <x:v>中</x:v>
      </x:c>
      <x:c r="I100" s="56" t="inlineStr">
        <x:is>
          <x:t xml:space="preserve">该族群的成年礼分男女两套仪式，内容与时长均不相同。</x:t>
        </x:is>
      </x:c>
      <x:c r="J100" s="56" t="str">
        <x:f>I100</x:f>
        <x:v>该族群的成年礼分男女两套仪式，内容与时长均不相同。</x:v>
      </x:c>
      <x:c r="K100" s="55" t="inlineStr">
        <x:is>
          <x:t xml:space="preserve">无需改写</x:t>
        </x:is>
      </x:c>
      <x:c r="L100" s="56" t="inlineStr">
        <x:is>
          <x:t xml:space="preserve">男女两套仪式</x:t>
        </x:is>
      </x:c>
      <x:c r="M100" s="56" t="inlineStr">
        <x:is>
          <x:t xml:space="preserve">田野观察记录</x:t>
        </x:is>
      </x:c>
      <x:c r="N100" s="56" t="inlineStr">
        <x:is>
          <x:t xml:space="preserve">该族群的成年礼分为两套仪式</x:t>
        </x:is>
      </x:c>
      <x:c r="O100" s="55" t="inlineStr">
        <x:is>
          <x:t xml:space="preserve">易</x:t>
        </x:is>
      </x:c>
      <x:c r="P100" s="55" t="inlineStr">
        <x:is>
          <x:t xml:space="preserve">否</x:t>
        </x:is>
      </x:c>
      <x:c r="Q100" s="56" t="n"/>
      <x:c r="R100" s="57" t="inlineStr">
        <x:is>
          <x:t xml:space="preserve">主集</x:t>
        </x:is>
      </x:c>
      <x:c r="S100" s="57" t="inlineStr">
        <x:is>
          <x:t xml:space="preserve">dev</x:t>
        </x:is>
      </x:c>
      <x:c r="T100" s="57" t="inlineStr">
        <x:is>
          <x:t xml:space="preserve"/>
        </x:is>
      </x:c>
    </x:row>
    <x:row r="101" s="37" customFormat="1" ht="29.850000381469727" customHeight="1">
      <x:c r="A101" s="55" t="inlineStr">
        <x:is>
          <x:t xml:space="preserve">NEG-0100</x:t>
        </x:is>
      </x:c>
      <x:c r="B101" s="55" t="inlineStr">
        <x:is>
          <x:t xml:space="preserve">v2</x:t>
        </x:is>
      </x:c>
      <x:c r="C101" s="56" t="inlineStr">
        <x:is>
          <x:t xml:space="preserve">三、制度性与统计性区分</x:t>
        </x:is>
      </x:c>
      <x:c r="D101" s="56" t="inlineStr">
        <x:is>
          <x:t xml:space="preserve">3.7 宗教与文化传统实践</x:t>
        </x:is>
      </x:c>
      <x:c r="E101" s="56" t="inlineStr">
        <x:is>
          <x:t xml:space="preserve">商业与产品</x:t>
        </x:is>
      </x:c>
      <x:c r="F101" s="56" t="inlineStr">
        <x:is>
          <x:t xml:space="preserve">服饰说明</x:t>
        </x:is>
      </x:c>
      <x:c r="G101" s="55" t="inlineStr">
        <x:is>
          <x:t xml:space="preserve">无</x:t>
        </x:is>
      </x:c>
      <x:c r="H101" s="55" t="str">
        <x:f>IF(LEN(I101)&lt;15,"短",IF(LEN(I101)&lt;=45,"中","长"))</x:f>
        <x:v>中</x:v>
      </x:c>
      <x:c r="I101" s="56" t="inlineStr">
        <x:is>
          <x:t xml:space="preserve">这套礼服为女式，男式在纹样密度和下摆长度上有明显区别。</x:t>
        </x:is>
      </x:c>
      <x:c r="J101" s="56" t="str">
        <x:f>I101</x:f>
        <x:v>这套礼服为女式，男式在纹样密度和下摆长度上有明显区别。</x:v>
      </x:c>
      <x:c r="K101" s="55" t="inlineStr">
        <x:is>
          <x:t xml:space="preserve">无需改写</x:t>
        </x:is>
      </x:c>
      <x:c r="L101" s="56" t="inlineStr">
        <x:is>
          <x:t xml:space="preserve">女式/男式</x:t>
        </x:is>
      </x:c>
      <x:c r="M101" s="56" t="inlineStr">
        <x:is>
          <x:t xml:space="preserve">形制分类的既有名称</x:t>
        </x:is>
      </x:c>
      <x:c r="N101" s="56" t="inlineStr">
        <x:is>
          <x:t xml:space="preserve">这套礼服在纹样密度和下摆长度上有多种形制</x:t>
        </x:is>
      </x:c>
      <x:c r="O101" s="55" t="inlineStr">
        <x:is>
          <x:t xml:space="preserve">中</x:t>
        </x:is>
      </x:c>
      <x:c r="P101" s="55" t="inlineStr">
        <x:is>
          <x:t xml:space="preserve">否</x:t>
        </x:is>
      </x:c>
      <x:c r="Q101" s="56" t="n"/>
      <x:c r="R101" s="57" t="inlineStr">
        <x:is>
          <x:t xml:space="preserve">主集</x:t>
        </x:is>
      </x:c>
      <x:c r="S101" s="57" t="inlineStr">
        <x:is>
          <x:t xml:space="preserve">index</x:t>
        </x:is>
      </x:c>
      <x:c r="T101" s="57" t="inlineStr">
        <x:is>
          <x:t xml:space="preserve"/>
        </x:is>
      </x:c>
    </x:row>
    <x:row r="102" s="37" customFormat="1" ht="29.850000381469727" customHeight="1">
      <x:c r="A102" s="55" t="inlineStr">
        <x:is>
          <x:t xml:space="preserve">NEG-0101</x:t>
        </x:is>
      </x:c>
      <x:c r="B102" s="55" t="inlineStr">
        <x:is>
          <x:t xml:space="preserve">v2</x:t>
        </x:is>
      </x:c>
      <x:c r="C102" s="56" t="inlineStr">
        <x:is>
          <x:t xml:space="preserve">三、制度性与统计性区分</x:t>
        </x:is>
      </x:c>
      <x:c r="D102" s="56" t="inlineStr">
        <x:is>
          <x:t xml:space="preserve">3.7 宗教与文化传统实践</x:t>
        </x:is>
      </x:c>
      <x:c r="E102" s="56" t="inlineStr">
        <x:is>
          <x:t xml:space="preserve">学术与调研</x:t>
        </x:is>
      </x:c>
      <x:c r="F102" s="56" t="inlineStr">
        <x:is>
          <x:t xml:space="preserve">文物介绍</x:t>
        </x:is>
      </x:c>
      <x:c r="G102" s="55" t="inlineStr">
        <x:is>
          <x:t xml:space="preserve">无</x:t>
        </x:is>
      </x:c>
      <x:c r="H102" s="55" t="str">
        <x:f>IF(LEN(I102)&lt;15,"短",IF(LEN(I102)&lt;=45,"中","长"))</x:f>
        <x:v>中</x:v>
      </x:c>
      <x:c r="I102" s="56" t="inlineStr">
        <x:is>
          <x:t xml:space="preserve">旧时祠堂议事设男女分席，两侧廊庑至今保留着当时的格局。</x:t>
        </x:is>
      </x:c>
      <x:c r="J102" s="56" t="str">
        <x:f>I102</x:f>
        <x:v>旧时祠堂议事设男女分席，两侧廊庑至今保留着当时的格局。</x:v>
      </x:c>
      <x:c r="K102" s="55" t="inlineStr">
        <x:is>
          <x:t xml:space="preserve">无需改写</x:t>
        </x:is>
      </x:c>
      <x:c r="L102" s="56" t="inlineStr">
        <x:is>
          <x:t xml:space="preserve">男女分席</x:t>
        </x:is>
      </x:c>
      <x:c r="M102" s="56" t="inlineStr">
        <x:is>
          <x:t xml:space="preserve">历史空间制度的说明</x:t>
        </x:is>
      </x:c>
      <x:c r="N102" s="56" t="inlineStr">
        <x:is>
          <x:t xml:space="preserve">旧时祠堂议事分席而坐</x:t>
        </x:is>
      </x:c>
      <x:c r="O102" s="55" t="inlineStr">
        <x:is>
          <x:t xml:space="preserve">易</x:t>
        </x:is>
      </x:c>
      <x:c r="P102" s="55" t="inlineStr">
        <x:is>
          <x:t xml:space="preserve">否</x:t>
        </x:is>
      </x:c>
      <x:c r="Q102" s="56" t="n"/>
      <x:c r="R102" s="57" t="inlineStr">
        <x:is>
          <x:t xml:space="preserve">主集</x:t>
        </x:is>
      </x:c>
      <x:c r="S102" s="57" t="inlineStr">
        <x:is>
          <x:t xml:space="preserve">dev</x:t>
        </x:is>
      </x:c>
      <x:c r="T102" s="57" t="inlineStr">
        <x:is>
          <x:t xml:space="preserve"/>
        </x:is>
      </x:c>
    </x:row>
    <x:row r="103" s="37" customFormat="1" ht="29.850000381469727" customHeight="1">
      <x:c r="A103" s="55" t="inlineStr">
        <x:is>
          <x:t xml:space="preserve">NEG-0102</x:t>
        </x:is>
      </x:c>
      <x:c r="B103" s="55" t="inlineStr">
        <x:is>
          <x:t xml:space="preserve">v2</x:t>
        </x:is>
      </x:c>
      <x:c r="C103" s="56" t="inlineStr">
        <x:is>
          <x:t xml:space="preserve">四、专有名词与固定名称</x:t>
        </x:is>
      </x:c>
      <x:c r="D103" s="56" t="inlineStr">
        <x:is>
          <x:t xml:space="preserve">4.1 法律法规</x:t>
        </x:is>
      </x:c>
      <x:c r="E103" s="56" t="inlineStr">
        <x:is>
          <x:t xml:space="preserve">新闻报道</x:t>
        </x:is>
      </x:c>
      <x:c r="F103" s="56" t="inlineStr">
        <x:is>
          <x:t xml:space="preserve">新闻报道</x:t>
        </x:is>
      </x:c>
      <x:c r="G103" s="55" t="inlineStr">
        <x:is>
          <x:t xml:space="preserve">无</x:t>
        </x:is>
      </x:c>
      <x:c r="H103" s="55" t="str">
        <x:f>IF(LEN(I103)&lt;15,"短",IF(LEN(I103)&lt;=45,"中","长"))</x:f>
        <x:v>中</x:v>
      </x:c>
      <x:c r="I103" s="56" t="inlineStr">
        <x:is>
          <x:t xml:space="preserve">《妇女权益保障法》修订后新增了对职场性骚扰的防治条款。</x:t>
        </x:is>
      </x:c>
      <x:c r="J103" s="56" t="str">
        <x:f>I103</x:f>
        <x:v>《妇女权益保障法》修订后新增了对职场性骚扰的防治条款。</x:v>
      </x:c>
      <x:c r="K103" s="55" t="inlineStr">
        <x:is>
          <x:t xml:space="preserve">无需改写</x:t>
        </x:is>
      </x:c>
      <x:c r="L103" s="56" t="inlineStr">
        <x:is>
          <x:t xml:space="preserve">妇女权益保障法</x:t>
        </x:is>
      </x:c>
      <x:c r="M103" s="56" t="inlineStr">
        <x:is>
          <x:t xml:space="preserve">法律正式名称</x:t>
        </x:is>
      </x:c>
      <x:c r="N103" s="56" t="inlineStr">
        <x:is>
          <x:t xml:space="preserve">《权益保障法》修订后新增了相关条款</x:t>
        </x:is>
      </x:c>
      <x:c r="O103" s="55" t="inlineStr">
        <x:is>
          <x:t xml:space="preserve">易</x:t>
        </x:is>
      </x:c>
      <x:c r="P103" s="55" t="inlineStr">
        <x:is>
          <x:t xml:space="preserve">否</x:t>
        </x:is>
      </x:c>
      <x:c r="Q103" s="56" t="n"/>
      <x:c r="R103" s="57" t="inlineStr">
        <x:is>
          <x:t xml:space="preserve">主集</x:t>
        </x:is>
      </x:c>
      <x:c r="S103" s="57" t="inlineStr">
        <x:is>
          <x:t xml:space="preserve">test</x:t>
        </x:is>
      </x:c>
      <x:c r="T103" s="57" t="inlineStr">
        <x:is>
          <x:t xml:space="preserve"/>
        </x:is>
      </x:c>
    </x:row>
    <x:row r="104" s="37" customFormat="1" ht="29.850000381469727" customHeight="1">
      <x:c r="A104" s="55" t="inlineStr">
        <x:is>
          <x:t xml:space="preserve">NEG-0103</x:t>
        </x:is>
      </x:c>
      <x:c r="B104" s="55" t="inlineStr">
        <x:is>
          <x:t xml:space="preserve">v2</x:t>
        </x:is>
      </x:c>
      <x:c r="C104" s="56" t="inlineStr">
        <x:is>
          <x:t xml:space="preserve">四、专有名词与固定名称</x:t>
        </x:is>
      </x:c>
      <x:c r="D104" s="56" t="inlineStr">
        <x:is>
          <x:t xml:space="preserve">4.1 法律法规</x:t>
        </x:is>
      </x:c>
      <x:c r="E104" s="56" t="inlineStr">
        <x:is>
          <x:t xml:space="preserve">公文与规章</x:t>
        </x:is>
      </x:c>
      <x:c r="F104" s="56" t="inlineStr">
        <x:is>
          <x:t xml:space="preserve">合规文件</x:t>
        </x:is>
      </x:c>
      <x:c r="G104" s="55" t="inlineStr">
        <x:is>
          <x:t xml:space="preserve">无</x:t>
        </x:is>
      </x:c>
      <x:c r="H104" s="55" t="str">
        <x:f>IF(LEN(I104)&lt;15,"短",IF(LEN(I104)&lt;=45,"中","长"))</x:f>
        <x:v>中</x:v>
      </x:c>
      <x:c r="I104" s="56" t="inlineStr">
        <x:is>
          <x:t xml:space="preserve">《女职工劳动保护特别规定》附录列明了女职工禁忌从事的劳动范围。</x:t>
        </x:is>
      </x:c>
      <x:c r="J104" s="56" t="str">
        <x:f>I104</x:f>
        <x:v>《女职工劳动保护特别规定》附录列明了女职工禁忌从事的劳动范围。</x:v>
      </x:c>
      <x:c r="K104" s="55" t="inlineStr">
        <x:is>
          <x:t xml:space="preserve">无需改写</x:t>
        </x:is>
      </x:c>
      <x:c r="L104" s="56" t="inlineStr">
        <x:is>
          <x:t xml:space="preserve">女职工</x:t>
        </x:is>
      </x:c>
      <x:c r="M104" s="56" t="inlineStr">
        <x:is>
          <x:t xml:space="preserve">行政法规名称及其条文内容</x:t>
        </x:is>
      </x:c>
      <x:c r="N104" s="56" t="inlineStr">
        <x:is>
          <x:t xml:space="preserve">《职工劳动保护特别规定》列明了禁忌劳动范围</x:t>
        </x:is>
      </x:c>
      <x:c r="O104" s="55" t="inlineStr">
        <x:is>
          <x:t xml:space="preserve">易</x:t>
        </x:is>
      </x:c>
      <x:c r="P104" s="55" t="inlineStr">
        <x:is>
          <x:t xml:space="preserve">否</x:t>
        </x:is>
      </x:c>
      <x:c r="Q104" s="56" t="n"/>
      <x:c r="R104" s="57" t="inlineStr">
        <x:is>
          <x:t xml:space="preserve">主集</x:t>
        </x:is>
      </x:c>
      <x:c r="S104" s="57" t="inlineStr">
        <x:is>
          <x:t xml:space="preserve">index</x:t>
        </x:is>
      </x:c>
      <x:c r="T104" s="57" t="inlineStr">
        <x:is>
          <x:t xml:space="preserve"/>
        </x:is>
      </x:c>
    </x:row>
    <x:row r="105" s="37" customFormat="1" ht="29.850000381469727" customHeight="1">
      <x:c r="A105" s="55" t="inlineStr">
        <x:is>
          <x:t xml:space="preserve">NEG-0104</x:t>
        </x:is>
      </x:c>
      <x:c r="B105" s="55" t="inlineStr">
        <x:is>
          <x:t xml:space="preserve">v2</x:t>
        </x:is>
      </x:c>
      <x:c r="C105" s="56" t="inlineStr">
        <x:is>
          <x:t xml:space="preserve">四、专有名词与固定名称</x:t>
        </x:is>
      </x:c>
      <x:c r="D105" s="56" t="inlineStr">
        <x:is>
          <x:t xml:space="preserve">4.1 法律法规</x:t>
        </x:is>
      </x:c>
      <x:c r="E105" s="56" t="inlineStr">
        <x:is>
          <x:t xml:space="preserve">学术与调研</x:t>
        </x:is>
      </x:c>
      <x:c r="F105" s="56" t="inlineStr">
        <x:is>
          <x:t xml:space="preserve">学术写作</x:t>
        </x:is>
      </x:c>
      <x:c r="G105" s="55" t="inlineStr">
        <x:is>
          <x:t xml:space="preserve">无</x:t>
        </x:is>
      </x:c>
      <x:c r="H105" s="55" t="str">
        <x:f>IF(LEN(I105)&lt;15,"短",IF(LEN(I105)&lt;=45,"中","长"))</x:f>
        <x:v>中</x:v>
      </x:c>
      <x:c r="I105" s="56" t="inlineStr">
        <x:is>
          <x:t xml:space="preserve">我国于 1980 年批准加入《消除对妇女一切形式歧视公约》。</x:t>
        </x:is>
      </x:c>
      <x:c r="J105" s="56" t="str">
        <x:f>I105</x:f>
        <x:v>我国于 1980 年批准加入《消除对妇女一切形式歧视公约》。</x:v>
      </x:c>
      <x:c r="K105" s="55" t="inlineStr">
        <x:is>
          <x:t xml:space="preserve">无需改写</x:t>
        </x:is>
      </x:c>
      <x:c r="L105" s="56" t="inlineStr">
        <x:is>
          <x:t xml:space="preserve">妇女</x:t>
        </x:is>
      </x:c>
      <x:c r="M105" s="56" t="inlineStr">
        <x:is>
          <x:t xml:space="preserve">国际条约正式名称</x:t>
        </x:is>
      </x:c>
      <x:c r="N105" s="56" t="inlineStr">
        <x:is>
          <x:t xml:space="preserve">我国于 1980 年批准加入相关反歧视公约</x:t>
        </x:is>
      </x:c>
      <x:c r="O105" s="55" t="inlineStr">
        <x:is>
          <x:t xml:space="preserve">易</x:t>
        </x:is>
      </x:c>
      <x:c r="P105" s="55" t="inlineStr">
        <x:is>
          <x:t xml:space="preserve">否</x:t>
        </x:is>
      </x:c>
      <x:c r="Q105" s="56" t="n"/>
      <x:c r="R105" s="57" t="inlineStr">
        <x:is>
          <x:t xml:space="preserve">主集</x:t>
        </x:is>
      </x:c>
      <x:c r="S105" s="57" t="inlineStr">
        <x:is>
          <x:t xml:space="preserve">dev</x:t>
        </x:is>
      </x:c>
      <x:c r="T105" s="57" t="inlineStr">
        <x:is>
          <x:t xml:space="preserve"/>
        </x:is>
      </x:c>
    </x:row>
    <x:row r="106" s="37" customFormat="1" ht="29.850000381469727" customHeight="1">
      <x:c r="A106" s="55" t="inlineStr">
        <x:is>
          <x:t xml:space="preserve">NEG-0105</x:t>
        </x:is>
      </x:c>
      <x:c r="B106" s="55" t="inlineStr">
        <x:is>
          <x:t xml:space="preserve">v2</x:t>
        </x:is>
      </x:c>
      <x:c r="C106" s="56" t="inlineStr">
        <x:is>
          <x:t xml:space="preserve">四、专有名词与固定名称</x:t>
        </x:is>
      </x:c>
      <x:c r="D106" s="56" t="inlineStr">
        <x:is>
          <x:t xml:space="preserve">4.1 法律法规</x:t>
        </x:is>
      </x:c>
      <x:c r="E106" s="56" t="inlineStr">
        <x:is>
          <x:t xml:space="preserve">公文与规章</x:t>
        </x:is>
      </x:c>
      <x:c r="F106" s="56" t="inlineStr">
        <x:is>
          <x:t xml:space="preserve">政策解读</x:t>
        </x:is>
      </x:c>
      <x:c r="G106" s="55" t="inlineStr">
        <x:is>
          <x:t xml:space="preserve">无</x:t>
        </x:is>
      </x:c>
      <x:c r="H106" s="55" t="str">
        <x:f>IF(LEN(I106)&lt;15,"短",IF(LEN(I106)&lt;=45,"中","长"))</x:f>
        <x:v>中</x:v>
      </x:c>
      <x:c r="I106" s="56" t="inlineStr">
        <x:is>
          <x:t xml:space="preserve">《母婴保健法》对婚前医学检查和孕产期保健作了专门规定。</x:t>
        </x:is>
      </x:c>
      <x:c r="J106" s="56" t="str">
        <x:f>I106</x:f>
        <x:v>《母婴保健法》对婚前医学检查和孕产期保健作了专门规定。</x:v>
      </x:c>
      <x:c r="K106" s="55" t="inlineStr">
        <x:is>
          <x:t xml:space="preserve">无需改写</x:t>
        </x:is>
      </x:c>
      <x:c r="L106" s="56" t="inlineStr">
        <x:is>
          <x:t xml:space="preserve">母婴保健法</x:t>
        </x:is>
      </x:c>
      <x:c r="M106" s="56" t="inlineStr">
        <x:is>
          <x:t xml:space="preserve">法律正式名称</x:t>
        </x:is>
      </x:c>
      <x:c r="N106" s="56" t="inlineStr">
        <x:is>
          <x:t xml:space="preserve">《健康保障法》对相关检查作了专门规定</x:t>
        </x:is>
      </x:c>
      <x:c r="O106" s="55" t="inlineStr">
        <x:is>
          <x:t xml:space="preserve">易</x:t>
        </x:is>
      </x:c>
      <x:c r="P106" s="55" t="inlineStr">
        <x:is>
          <x:t xml:space="preserve">否</x:t>
        </x:is>
      </x:c>
      <x:c r="Q106" s="56" t="n"/>
      <x:c r="R106" s="57" t="inlineStr">
        <x:is>
          <x:t xml:space="preserve">主集</x:t>
        </x:is>
      </x:c>
      <x:c r="S106" s="57" t="inlineStr">
        <x:is>
          <x:t xml:space="preserve">dev</x:t>
        </x:is>
      </x:c>
      <x:c r="T106" s="57" t="inlineStr">
        <x:is>
          <x:t xml:space="preserve"/>
        </x:is>
      </x:c>
    </x:row>
    <x:row r="107" s="37" customFormat="1" ht="15" customHeight="1">
      <x:c r="A107" s="55" t="inlineStr">
        <x:is>
          <x:t xml:space="preserve">NEG-0106</x:t>
        </x:is>
      </x:c>
      <x:c r="B107" s="55" t="inlineStr">
        <x:is>
          <x:t xml:space="preserve">v2</x:t>
        </x:is>
      </x:c>
      <x:c r="C107" s="56" t="inlineStr">
        <x:is>
          <x:t xml:space="preserve">四、专有名词与固定名称</x:t>
        </x:is>
      </x:c>
      <x:c r="D107" s="56" t="inlineStr">
        <x:is>
          <x:t xml:space="preserve">4.2 机构、组织与场所</x:t>
        </x:is>
      </x:c>
      <x:c r="E107" s="56" t="inlineStr">
        <x:is>
          <x:t xml:space="preserve">医疗健康</x:t>
        </x:is>
      </x:c>
      <x:c r="F107" s="56" t="inlineStr">
        <x:is>
          <x:t xml:space="preserve">就医指南</x:t>
        </x:is>
      </x:c>
      <x:c r="G107" s="55" t="inlineStr">
        <x:is>
          <x:t xml:space="preserve">无</x:t>
        </x:is>
      </x:c>
      <x:c r="H107" s="55" t="str">
        <x:f>IF(LEN(I107)&lt;15,"短",IF(LEN(I107)&lt;=45,"中","长"))</x:f>
        <x:v>中</x:v>
      </x:c>
      <x:c r="I107" s="56" t="inlineStr">
        <x:is>
          <x:t xml:space="preserve">北京妇产医院的产科门诊需提前七天在小程序上预约。</x:t>
        </x:is>
      </x:c>
      <x:c r="J107" s="56" t="str">
        <x:f>I107</x:f>
        <x:v>北京妇产医院的产科门诊需提前七天在小程序上预约。</x:v>
      </x:c>
      <x:c r="K107" s="55" t="inlineStr">
        <x:is>
          <x:t xml:space="preserve">无需改写</x:t>
        </x:is>
      </x:c>
      <x:c r="L107" s="56" t="inlineStr">
        <x:is>
          <x:t xml:space="preserve">妇产医院/产科</x:t>
        </x:is>
      </x:c>
      <x:c r="M107" s="56" t="inlineStr">
        <x:is>
          <x:t xml:space="preserve">机构与科室法定名称</x:t>
        </x:is>
      </x:c>
      <x:c r="N107" s="56" t="inlineStr">
        <x:is>
          <x:t xml:space="preserve">该专科医院的门诊需提前七天预约</x:t>
        </x:is>
      </x:c>
      <x:c r="O107" s="55" t="inlineStr">
        <x:is>
          <x:t xml:space="preserve">易</x:t>
        </x:is>
      </x:c>
      <x:c r="P107" s="55" t="inlineStr">
        <x:is>
          <x:t xml:space="preserve">否</x:t>
        </x:is>
      </x:c>
      <x:c r="Q107" s="56" t="n"/>
      <x:c r="R107" s="57" t="inlineStr">
        <x:is>
          <x:t xml:space="preserve">主集</x:t>
        </x:is>
      </x:c>
      <x:c r="S107" s="57" t="inlineStr">
        <x:is>
          <x:t xml:space="preserve">index</x:t>
        </x:is>
      </x:c>
      <x:c r="T107" s="57" t="inlineStr">
        <x:is>
          <x:t xml:space="preserve"/>
        </x:is>
      </x:c>
    </x:row>
    <x:row r="108" s="37" customFormat="1" ht="15" customHeight="1">
      <x:c r="A108" s="55" t="inlineStr">
        <x:is>
          <x:t xml:space="preserve">NEG-0107</x:t>
        </x:is>
      </x:c>
      <x:c r="B108" s="55" t="inlineStr">
        <x:is>
          <x:t xml:space="preserve">v2</x:t>
        </x:is>
      </x:c>
      <x:c r="C108" s="56" t="inlineStr">
        <x:is>
          <x:t xml:space="preserve">四、专有名词与固定名称</x:t>
        </x:is>
      </x:c>
      <x:c r="D108" s="56" t="inlineStr">
        <x:is>
          <x:t xml:space="preserve">4.2 机构、组织与场所</x:t>
        </x:is>
      </x:c>
      <x:c r="E108" s="56" t="inlineStr">
        <x:is>
          <x:t xml:space="preserve">新闻报道</x:t>
        </x:is>
      </x:c>
      <x:c r="F108" s="56" t="inlineStr">
        <x:is>
          <x:t xml:space="preserve">体育报道</x:t>
        </x:is>
      </x:c>
      <x:c r="G108" s="55" t="inlineStr">
        <x:is>
          <x:t xml:space="preserve">无</x:t>
        </x:is>
      </x:c>
      <x:c r="H108" s="55" t="str">
        <x:f>IF(LEN(I108)&lt;15,"短",IF(LEN(I108)&lt;=45,"中","长"))</x:f>
        <x:v>中</x:v>
      </x:c>
      <x:c r="I108" s="56" t="inlineStr">
        <x:is>
          <x:t xml:space="preserve">中国女足在小组赛末轮以两球取胜，提前锁定出线名额。</x:t>
        </x:is>
      </x:c>
      <x:c r="J108" s="56" t="str">
        <x:f>I108</x:f>
        <x:v>中国女足在小组赛末轮以两球取胜，提前锁定出线名额。</x:v>
      </x:c>
      <x:c r="K108" s="55" t="inlineStr">
        <x:is>
          <x:t xml:space="preserve">无需改写</x:t>
        </x:is>
      </x:c>
      <x:c r="L108" s="56" t="inlineStr">
        <x:is>
          <x:t xml:space="preserve">女足</x:t>
        </x:is>
      </x:c>
      <x:c r="M108" s="56" t="inlineStr">
        <x:is>
          <x:t xml:space="preserve">队伍正式名称</x:t>
        </x:is>
      </x:c>
      <x:c r="N108" s="56" t="inlineStr">
        <x:is>
          <x:t xml:space="preserve">中国足球队在小组赛末轮取胜</x:t>
        </x:is>
      </x:c>
      <x:c r="O108" s="55" t="inlineStr">
        <x:is>
          <x:t xml:space="preserve">易</x:t>
        </x:is>
      </x:c>
      <x:c r="P108" s="55" t="inlineStr">
        <x:is>
          <x:t xml:space="preserve">否</x:t>
        </x:is>
      </x:c>
      <x:c r="Q108" s="56" t="n"/>
      <x:c r="R108" s="57" t="inlineStr">
        <x:is>
          <x:t xml:space="preserve">主集</x:t>
        </x:is>
      </x:c>
      <x:c r="S108" s="57" t="inlineStr">
        <x:is>
          <x:t xml:space="preserve">index</x:t>
        </x:is>
      </x:c>
      <x:c r="T108" s="57" t="inlineStr">
        <x:is>
          <x:t xml:space="preserve"/>
        </x:is>
      </x:c>
    </x:row>
    <x:row r="109" s="37" customFormat="1" ht="15" customHeight="1">
      <x:c r="A109" s="55" t="inlineStr">
        <x:is>
          <x:t xml:space="preserve">NEG-0108</x:t>
        </x:is>
      </x:c>
      <x:c r="B109" s="55" t="inlineStr">
        <x:is>
          <x:t xml:space="preserve">v2</x:t>
        </x:is>
      </x:c>
      <x:c r="C109" s="56" t="inlineStr">
        <x:is>
          <x:t xml:space="preserve">四、专有名词与固定名称</x:t>
        </x:is>
      </x:c>
      <x:c r="D109" s="56" t="inlineStr">
        <x:is>
          <x:t xml:space="preserve">4.2 机构、组织与场所</x:t>
        </x:is>
      </x:c>
      <x:c r="E109" s="56" t="inlineStr">
        <x:is>
          <x:t xml:space="preserve">新闻报道</x:t>
        </x:is>
      </x:c>
      <x:c r="F109" s="56" t="inlineStr">
        <x:is>
          <x:t xml:space="preserve">新闻通稿</x:t>
        </x:is>
      </x:c>
      <x:c r="G109" s="55" t="inlineStr">
        <x:is>
          <x:t xml:space="preserve">无</x:t>
        </x:is>
      </x:c>
      <x:c r="H109" s="55" t="str">
        <x:f>IF(LEN(I109)&lt;15,"短",IF(LEN(I109)&lt;=45,"中","长"))</x:f>
        <x:v>中</x:v>
      </x:c>
      <x:c r="I109" s="56" t="inlineStr">
        <x:is>
          <x:t xml:space="preserve">全国妇联联合教育部等部门发布了家庭教育指导意见。</x:t>
        </x:is>
      </x:c>
      <x:c r="J109" s="56" t="str">
        <x:f>I109</x:f>
        <x:v>全国妇联联合教育部等部门发布了家庭教育指导意见。</x:v>
      </x:c>
      <x:c r="K109" s="55" t="inlineStr">
        <x:is>
          <x:t xml:space="preserve">无需改写</x:t>
        </x:is>
      </x:c>
      <x:c r="L109" s="56" t="inlineStr">
        <x:is>
          <x:t xml:space="preserve">全国妇联</x:t>
        </x:is>
      </x:c>
      <x:c r="M109" s="56" t="inlineStr">
        <x:is>
          <x:t xml:space="preserve">机构法定简称</x:t>
        </x:is>
      </x:c>
      <x:c r="N109" s="56" t="inlineStr">
        <x:is>
          <x:t xml:space="preserve">相关联合会与教育部等部门发布了指导意见</x:t>
        </x:is>
      </x:c>
      <x:c r="O109" s="55" t="inlineStr">
        <x:is>
          <x:t xml:space="preserve">易</x:t>
        </x:is>
      </x:c>
      <x:c r="P109" s="55" t="inlineStr">
        <x:is>
          <x:t xml:space="preserve">否</x:t>
        </x:is>
      </x:c>
      <x:c r="Q109" s="56" t="n"/>
      <x:c r="R109" s="57" t="inlineStr">
        <x:is>
          <x:t xml:space="preserve">主集</x:t>
        </x:is>
      </x:c>
      <x:c r="S109" s="57" t="inlineStr">
        <x:is>
          <x:t xml:space="preserve">dev</x:t>
        </x:is>
      </x:c>
      <x:c r="T109" s="57" t="inlineStr">
        <x:is>
          <x:t xml:space="preserve"/>
        </x:is>
      </x:c>
    </x:row>
    <x:row r="110" s="37" customFormat="1" ht="15" customHeight="1">
      <x:c r="A110" s="55" t="inlineStr">
        <x:is>
          <x:t xml:space="preserve">NEG-0109</x:t>
        </x:is>
      </x:c>
      <x:c r="B110" s="55" t="inlineStr">
        <x:is>
          <x:t xml:space="preserve">v2</x:t>
        </x:is>
      </x:c>
      <x:c r="C110" s="56" t="inlineStr">
        <x:is>
          <x:t xml:space="preserve">四、专有名词与固定名称</x:t>
        </x:is>
      </x:c>
      <x:c r="D110" s="56" t="inlineStr">
        <x:is>
          <x:t xml:space="preserve">4.2 机构、组织与场所</x:t>
        </x:is>
      </x:c>
      <x:c r="E110" s="56" t="inlineStr">
        <x:is>
          <x:t xml:space="preserve">新闻报道</x:t>
        </x:is>
      </x:c>
      <x:c r="F110" s="56" t="inlineStr">
        <x:is>
          <x:t xml:space="preserve">地方新闻</x:t>
        </x:is>
      </x:c>
      <x:c r="G110" s="55" t="inlineStr">
        <x:is>
          <x:t xml:space="preserve">无</x:t>
        </x:is>
      </x:c>
      <x:c r="H110" s="55" t="str">
        <x:f>IF(LEN(I110)&lt;15,"短",IF(LEN(I110)&lt;=45,"中","长"))</x:f>
        <x:v>中</x:v>
      </x:c>
      <x:c r="I110" s="56" t="inlineStr">
        <x:is>
          <x:t xml:space="preserve">市第一女子中学与两所公办初中组建了教育集团。</x:t>
        </x:is>
      </x:c>
      <x:c r="J110" s="56" t="str">
        <x:f>I110</x:f>
        <x:v>市第一女子中学与两所公办初中组建了教育集团。</x:v>
      </x:c>
      <x:c r="K110" s="55" t="inlineStr">
        <x:is>
          <x:t xml:space="preserve">无需改写</x:t>
        </x:is>
      </x:c>
      <x:c r="L110" s="56" t="inlineStr">
        <x:is>
          <x:t xml:space="preserve">女子中学</x:t>
        </x:is>
      </x:c>
      <x:c r="M110" s="56" t="inlineStr">
        <x:is>
          <x:t xml:space="preserve">学校法定名称</x:t>
        </x:is>
      </x:c>
      <x:c r="N110" s="56" t="inlineStr">
        <x:is>
          <x:t xml:space="preserve">市第一中学与两所公办初中组建了教育集团</x:t>
        </x:is>
      </x:c>
      <x:c r="O110" s="55" t="inlineStr">
        <x:is>
          <x:t xml:space="preserve">易</x:t>
        </x:is>
      </x:c>
      <x:c r="P110" s="55" t="inlineStr">
        <x:is>
          <x:t xml:space="preserve">否</x:t>
        </x:is>
      </x:c>
      <x:c r="Q110" s="56" t="n"/>
      <x:c r="R110" s="57" t="inlineStr">
        <x:is>
          <x:t xml:space="preserve">主集</x:t>
        </x:is>
      </x:c>
      <x:c r="S110" s="57" t="inlineStr">
        <x:is>
          <x:t xml:space="preserve">dev</x:t>
        </x:is>
      </x:c>
      <x:c r="T110" s="57" t="inlineStr">
        <x:is>
          <x:t xml:space="preserve"/>
        </x:is>
      </x:c>
    </x:row>
    <x:row r="111" s="37" customFormat="1" ht="29.850000381469727" customHeight="1">
      <x:c r="A111" s="58" t="inlineStr">
        <x:is>
          <x:t xml:space="preserve">NEG-0110</x:t>
        </x:is>
      </x:c>
      <x:c r="B111" s="58" t="inlineStr">
        <x:is>
          <x:t xml:space="preserve">v2</x:t>
        </x:is>
      </x:c>
      <x:c r="C111" s="59" t="inlineStr">
        <x:is>
          <x:t xml:space="preserve">四、专有名词与固定名称</x:t>
        </x:is>
      </x:c>
      <x:c r="D111" s="59" t="inlineStr">
        <x:is>
          <x:t xml:space="preserve">4.3 奖项、荣誉与称号</x:t>
        </x:is>
      </x:c>
      <x:c r="E111" s="59" t="inlineStr">
        <x:is>
          <x:t xml:space="preserve">公文与规章</x:t>
        </x:is>
      </x:c>
      <x:c r="F111" s="59" t="inlineStr">
        <x:is>
          <x:t xml:space="preserve">单位通报</x:t>
        </x:is>
      </x:c>
      <x:c r="G111" s="58" t="inlineStr">
        <x:is>
          <x:t xml:space="preserve">无</x:t>
        </x:is>
      </x:c>
      <x:c r="H111" s="58" t="str">
        <x:f>IF(LEN(I111)&lt;15,"短",IF(LEN(I111)&lt;=45,"中","长"))</x:f>
        <x:v>中</x:v>
      </x:c>
      <x:c r="I111" s="59" t="inlineStr">
        <x:is>
          <x:t xml:space="preserve">她连续两年被评为省级“三八红旗手”。</x:t>
        </x:is>
      </x:c>
      <x:c r="J111" s="59" t="str">
        <x:f>I111</x:f>
        <x:v>她连续两年被评为省级“三八红旗手”。</x:v>
      </x:c>
      <x:c r="K111" s="58" t="inlineStr">
        <x:is>
          <x:t xml:space="preserve">无需改写</x:t>
        </x:is>
      </x:c>
      <x:c r="L111" s="59" t="inlineStr">
        <x:is>
          <x:t xml:space="preserve">三八红旗手</x:t>
        </x:is>
      </x:c>
      <x:c r="M111" s="59" t="inlineStr">
        <x:is>
          <x:t xml:space="preserve">荣誉称号法定名称</x:t>
        </x:is>
      </x:c>
      <x:c r="N111" s="59" t="inlineStr">
        <x:is>
          <x:t xml:space="preserve">她连续两年被评为省级先进个人</x:t>
        </x:is>
      </x:c>
      <x:c r="O111" s="58" t="inlineStr">
        <x:is>
          <x:t xml:space="preserve">中</x:t>
        </x:is>
      </x:c>
      <x:c r="P111" s="58" t="inlineStr">
        <x:is>
          <x:t xml:space="preserve">是</x:t>
        </x:is>
      </x:c>
      <x:c r="Q111" s="59" t="inlineStr">
        <x:is>
          <x:t xml:space="preserve">该称号是否更名有不同主张，转述时不可擅改</x:t>
        </x:is>
      </x:c>
      <x:c r="R111" s="60" t="inlineStr">
        <x:is>
          <x:t xml:space="preserve">隔离·待确认</x:t>
        </x:is>
      </x:c>
      <x:c r="S111" s="60" t="inlineStr">
        <x:is>
          <x:t xml:space="preserve"/>
        </x:is>
      </x:c>
      <x:c r="T111" s="60" t="inlineStr">
        <x:is>
          <x:t xml:space="preserve">触发词不含性别编码——判断可能依赖世界知识而非句内信息</x:t>
        </x:is>
      </x:c>
    </x:row>
    <x:row r="112" s="37" customFormat="1" ht="29.850000381469727" customHeight="1">
      <x:c r="A112" s="55" t="inlineStr">
        <x:is>
          <x:t xml:space="preserve">NEG-0111</x:t>
        </x:is>
      </x:c>
      <x:c r="B112" s="55" t="inlineStr">
        <x:is>
          <x:t xml:space="preserve">v2</x:t>
        </x:is>
      </x:c>
      <x:c r="C112" s="56" t="inlineStr">
        <x:is>
          <x:t xml:space="preserve">四、专有名词与固定名称</x:t>
        </x:is>
      </x:c>
      <x:c r="D112" s="56" t="inlineStr">
        <x:is>
          <x:t xml:space="preserve">4.3 奖项、荣誉与称号</x:t>
        </x:is>
      </x:c>
      <x:c r="E112" s="56" t="inlineStr">
        <x:is>
          <x:t xml:space="preserve">新闻报道</x:t>
        </x:is>
      </x:c>
      <x:c r="F112" s="56" t="inlineStr">
        <x:is>
          <x:t xml:space="preserve">文娱报道</x:t>
        </x:is>
      </x:c>
      <x:c r="G112" s="55" t="inlineStr">
        <x:is>
          <x:t xml:space="preserve">无</x:t>
        </x:is>
      </x:c>
      <x:c r="H112" s="55" t="str">
        <x:f>IF(LEN(I112)&lt;15,"短",IF(LEN(I112)&lt;=45,"中","长"))</x:f>
        <x:v>中</x:v>
      </x:c>
      <x:c r="I112" s="56" t="inlineStr">
        <x:is>
          <x:t xml:space="preserve">本届金鸡奖最佳女配角由一位首次触电的新人获得。</x:t>
        </x:is>
      </x:c>
      <x:c r="J112" s="56" t="str">
        <x:f>I112</x:f>
        <x:v>本届金鸡奖最佳女配角由一位首次触电的新人获得。</x:v>
      </x:c>
      <x:c r="K112" s="55" t="inlineStr">
        <x:is>
          <x:t xml:space="preserve">无需改写</x:t>
        </x:is>
      </x:c>
      <x:c r="L112" s="56" t="inlineStr">
        <x:is>
          <x:t xml:space="preserve">最佳女配角</x:t>
        </x:is>
      </x:c>
      <x:c r="M112" s="56" t="inlineStr">
        <x:is>
          <x:t xml:space="preserve">奖项设置的正式名称</x:t>
        </x:is>
      </x:c>
      <x:c r="N112" s="56" t="inlineStr">
        <x:is>
          <x:t xml:space="preserve">本届金鸡奖最佳配角由一位新人获得</x:t>
        </x:is>
      </x:c>
      <x:c r="O112" s="55" t="inlineStr">
        <x:is>
          <x:t xml:space="preserve">易</x:t>
        </x:is>
      </x:c>
      <x:c r="P112" s="55" t="inlineStr">
        <x:is>
          <x:t xml:space="preserve">是</x:t>
        </x:is>
      </x:c>
      <x:c r="Q112" s="56" t="inlineStr">
        <x:is>
          <x:t xml:space="preserve">少数影展已取消性别分设，但不影响既有奖项名的引用</x:t>
        </x:is>
      </x:c>
      <x:c r="R112" s="57" t="inlineStr">
        <x:is>
          <x:t xml:space="preserve">主集</x:t>
        </x:is>
      </x:c>
      <x:c r="S112" s="57" t="inlineStr">
        <x:is>
          <x:t xml:space="preserve">test</x:t>
        </x:is>
      </x:c>
      <x:c r="T112" s="57" t="inlineStr">
        <x:is>
          <x:t xml:space="preserve"/>
        </x:is>
      </x:c>
    </x:row>
    <x:row r="113" s="37" customFormat="1" ht="29.850000381469727" customHeight="1">
      <x:c r="A113" s="58" t="inlineStr">
        <x:is>
          <x:t xml:space="preserve">NEG-0112</x:t>
        </x:is>
      </x:c>
      <x:c r="B113" s="58" t="inlineStr">
        <x:is>
          <x:t xml:space="preserve">v2</x:t>
        </x:is>
      </x:c>
      <x:c r="C113" s="59" t="inlineStr">
        <x:is>
          <x:t xml:space="preserve">四、专有名词与固定名称</x:t>
        </x:is>
      </x:c>
      <x:c r="D113" s="59" t="inlineStr">
        <x:is>
          <x:t xml:space="preserve">4.3 奖项、荣誉与称号</x:t>
        </x:is>
      </x:c>
      <x:c r="E113" s="59" t="inlineStr">
        <x:is>
          <x:t xml:space="preserve">新闻报道</x:t>
        </x:is>
      </x:c>
      <x:c r="F113" s="59" t="inlineStr">
        <x:is>
          <x:t xml:space="preserve">公示公告</x:t>
        </x:is>
      </x:c>
      <x:c r="G113" s="58" t="inlineStr">
        <x:is>
          <x:t xml:space="preserve">无</x:t>
        </x:is>
      </x:c>
      <x:c r="H113" s="58" t="str">
        <x:f>IF(LEN(I113)&lt;15,"短",IF(LEN(I113)&lt;=45,"中","长"))</x:f>
        <x:v>中</x:v>
      </x:c>
      <x:c r="I113" s="59" t="inlineStr">
        <x:is>
          <x:t xml:space="preserve">巾帼文明岗的评选结果已在市总工会官网公示，公示期七天。</x:t>
        </x:is>
      </x:c>
      <x:c r="J113" s="59" t="str">
        <x:f>I113</x:f>
        <x:v>巾帼文明岗的评选结果已在市总工会官网公示，公示期七天。</x:v>
      </x:c>
      <x:c r="K113" s="58" t="inlineStr">
        <x:is>
          <x:t xml:space="preserve">无需改写</x:t>
        </x:is>
      </x:c>
      <x:c r="L113" s="59" t="inlineStr">
        <x:is>
          <x:t xml:space="preserve">巾帼文明岗</x:t>
        </x:is>
      </x:c>
      <x:c r="M113" s="59" t="inlineStr">
        <x:is>
          <x:t xml:space="preserve">评选项目正式名称</x:t>
        </x:is>
      </x:c>
      <x:c r="N113" s="59" t="inlineStr">
        <x:is>
          <x:t xml:space="preserve">文明岗的评选结果已在官网公示</x:t>
        </x:is>
      </x:c>
      <x:c r="O113" s="58" t="inlineStr">
        <x:is>
          <x:t xml:space="preserve">易</x:t>
        </x:is>
      </x:c>
      <x:c r="P113" s="58" t="inlineStr">
        <x:is>
          <x:t xml:space="preserve">否</x:t>
        </x:is>
      </x:c>
      <x:c r="Q113" s="59" t="n"/>
      <x:c r="R113" s="60" t="inlineStr">
        <x:is>
          <x:t xml:space="preserve">隔离·待确认</x:t>
        </x:is>
      </x:c>
      <x:c r="S113" s="60" t="inlineStr">
        <x:is>
          <x:t xml:space="preserve"/>
        </x:is>
      </x:c>
      <x:c r="T113" s="60" t="inlineStr">
        <x:is>
          <x:t xml:space="preserve">触发词不含性别编码——判断可能依赖世界知识而非句内信息</x:t>
        </x:is>
      </x:c>
    </x:row>
    <x:row r="114" s="37" customFormat="1" ht="15" customHeight="1">
      <x:c r="A114" s="55" t="inlineStr">
        <x:is>
          <x:t xml:space="preserve">NEG-0113</x:t>
        </x:is>
      </x:c>
      <x:c r="B114" s="55" t="inlineStr">
        <x:is>
          <x:t xml:space="preserve">v2</x:t>
        </x:is>
      </x:c>
      <x:c r="C114" s="56" t="inlineStr">
        <x:is>
          <x:t xml:space="preserve">四、专有名词与固定名称</x:t>
        </x:is>
      </x:c>
      <x:c r="D114" s="56" t="inlineStr">
        <x:is>
          <x:t xml:space="preserve">4.3 奖项、荣誉与称号</x:t>
        </x:is>
      </x:c>
      <x:c r="E114" s="56" t="inlineStr">
        <x:is>
          <x:t xml:space="preserve">新闻报道</x:t>
        </x:is>
      </x:c>
      <x:c r="F114" s="56" t="inlineStr">
        <x:is>
          <x:t xml:space="preserve">科研新闻</x:t>
        </x:is>
      </x:c>
      <x:c r="G114" s="55" t="inlineStr">
        <x:is>
          <x:t xml:space="preserve">无</x:t>
        </x:is>
      </x:c>
      <x:c r="H114" s="55" t="str">
        <x:f>IF(LEN(I114)&lt;15,"短",IF(LEN(I114)&lt;=45,"中","长"))</x:f>
        <x:v>中</x:v>
      </x:c>
      <x:c r="I114" s="56" t="inlineStr">
        <x:is>
          <x:t xml:space="preserve">该团队获颁本年度中国青年女科学家团队奖。</x:t>
        </x:is>
      </x:c>
      <x:c r="J114" s="56" t="str">
        <x:f>I114</x:f>
        <x:v>该团队获颁本年度中国青年女科学家团队奖。</x:v>
      </x:c>
      <x:c r="K114" s="55" t="inlineStr">
        <x:is>
          <x:t xml:space="preserve">无需改写</x:t>
        </x:is>
      </x:c>
      <x:c r="L114" s="56" t="inlineStr">
        <x:is>
          <x:t xml:space="preserve">女科学家</x:t>
        </x:is>
      </x:c>
      <x:c r="M114" s="56" t="inlineStr">
        <x:is>
          <x:t xml:space="preserve">奖项正式名称</x:t>
        </x:is>
      </x:c>
      <x:c r="N114" s="56" t="inlineStr">
        <x:is>
          <x:t xml:space="preserve">该团队获颁本年度中国青年科学家团队奖</x:t>
        </x:is>
      </x:c>
      <x:c r="O114" s="55" t="inlineStr">
        <x:is>
          <x:t xml:space="preserve">易</x:t>
        </x:is>
      </x:c>
      <x:c r="P114" s="55" t="inlineStr">
        <x:is>
          <x:t xml:space="preserve">否</x:t>
        </x:is>
      </x:c>
      <x:c r="Q114" s="56" t="n"/>
      <x:c r="R114" s="57" t="inlineStr">
        <x:is>
          <x:t xml:space="preserve">主集</x:t>
        </x:is>
      </x:c>
      <x:c r="S114" s="57" t="inlineStr">
        <x:is>
          <x:t xml:space="preserve">test</x:t>
        </x:is>
      </x:c>
      <x:c r="T114" s="57" t="inlineStr">
        <x:is>
          <x:t xml:space="preserve"/>
        </x:is>
      </x:c>
    </x:row>
    <x:row r="115" s="37" customFormat="1" ht="29.850000381469727" customHeight="1">
      <x:c r="A115" s="55" t="inlineStr">
        <x:is>
          <x:t xml:space="preserve">NEG-0114</x:t>
        </x:is>
      </x:c>
      <x:c r="B115" s="55" t="inlineStr">
        <x:is>
          <x:t xml:space="preserve">v2</x:t>
        </x:is>
      </x:c>
      <x:c r="C115" s="56" t="inlineStr">
        <x:is>
          <x:t xml:space="preserve">四、专有名词与固定名称</x:t>
        </x:is>
      </x:c>
      <x:c r="D115" s="56" t="inlineStr">
        <x:is>
          <x:t xml:space="preserve">4.4 节日与纪念日</x:t>
        </x:is>
      </x:c>
      <x:c r="E115" s="56" t="inlineStr">
        <x:is>
          <x:t xml:space="preserve">公文与规章</x:t>
        </x:is>
      </x:c>
      <x:c r="F115" s="56" t="inlineStr">
        <x:is>
          <x:t xml:space="preserve">活动通知</x:t>
        </x:is>
      </x:c>
      <x:c r="G115" s="55" t="inlineStr">
        <x:is>
          <x:t xml:space="preserve">无</x:t>
        </x:is>
      </x:c>
      <x:c r="H115" s="55" t="str">
        <x:f>IF(LEN(I115)&lt;15,"短",IF(LEN(I115)&lt;=45,"中","长"))</x:f>
        <x:v>中</x:v>
      </x:c>
      <x:c r="I115" s="56" t="inlineStr">
        <x:is>
          <x:t xml:space="preserve">三八国际妇女节当天，全市多家博物馆对女性观众免费开放。</x:t>
        </x:is>
      </x:c>
      <x:c r="J115" s="56" t="str">
        <x:f>I115</x:f>
        <x:v>三八国际妇女节当天，全市多家博物馆对女性观众免费开放。</x:v>
      </x:c>
      <x:c r="K115" s="55" t="inlineStr">
        <x:is>
          <x:t xml:space="preserve">无需改写</x:t>
        </x:is>
      </x:c>
      <x:c r="L115" s="56" t="inlineStr">
        <x:is>
          <x:t xml:space="preserve">妇女节/女性观众</x:t>
        </x:is>
      </x:c>
      <x:c r="M115" s="56" t="inlineStr">
        <x:is>
          <x:t xml:space="preserve">节日名称与活动规则</x:t>
        </x:is>
      </x:c>
      <x:c r="N115" s="56" t="inlineStr">
        <x:is>
          <x:t xml:space="preserve">国际劳动节当天，全市多家博物馆免费开放</x:t>
        </x:is>
      </x:c>
      <x:c r="O115" s="55" t="inlineStr">
        <x:is>
          <x:t xml:space="preserve">易</x:t>
        </x:is>
      </x:c>
      <x:c r="P115" s="55" t="inlineStr">
        <x:is>
          <x:t xml:space="preserve">否</x:t>
        </x:is>
      </x:c>
      <x:c r="Q115" s="56" t="n"/>
      <x:c r="R115" s="57" t="inlineStr">
        <x:is>
          <x:t xml:space="preserve">主集</x:t>
        </x:is>
      </x:c>
      <x:c r="S115" s="57" t="inlineStr">
        <x:is>
          <x:t xml:space="preserve">test</x:t>
        </x:is>
      </x:c>
      <x:c r="T115" s="57" t="inlineStr">
        <x:is>
          <x:t xml:space="preserve"/>
        </x:is>
      </x:c>
    </x:row>
    <x:row r="116" s="37" customFormat="1" ht="15" customHeight="1">
      <x:c r="A116" s="55" t="inlineStr">
        <x:is>
          <x:t xml:space="preserve">NEG-0115</x:t>
        </x:is>
      </x:c>
      <x:c r="B116" s="55" t="inlineStr">
        <x:is>
          <x:t xml:space="preserve">v2</x:t>
        </x:is>
      </x:c>
      <x:c r="C116" s="56" t="inlineStr">
        <x:is>
          <x:t xml:space="preserve">四、专有名词与固定名称</x:t>
        </x:is>
      </x:c>
      <x:c r="D116" s="56" t="inlineStr">
        <x:is>
          <x:t xml:space="preserve">4.4 节日与纪念日</x:t>
        </x:is>
      </x:c>
      <x:c r="E116" s="56" t="inlineStr">
        <x:is>
          <x:t xml:space="preserve">商业与产品</x:t>
        </x:is>
      </x:c>
      <x:c r="F116" s="56" t="inlineStr">
        <x:is>
          <x:t xml:space="preserve">行业数据</x:t>
        </x:is>
      </x:c>
      <x:c r="G116" s="55" t="inlineStr">
        <x:is>
          <x:t xml:space="preserve">无</x:t>
        </x:is>
      </x:c>
      <x:c r="H116" s="55" t="str">
        <x:f>IF(LEN(I116)&lt;15,"短",IF(LEN(I116)&lt;=45,"中","长"))</x:f>
        <x:v>中</x:v>
      </x:c>
      <x:c r="I116" s="56" t="inlineStr">
        <x:is>
          <x:t xml:space="preserve">母亲节前一周，鲜花订单量环比上涨四成。</x:t>
        </x:is>
      </x:c>
      <x:c r="J116" s="56" t="str">
        <x:f>I116</x:f>
        <x:v>母亲节前一周，鲜花订单量环比上涨四成。</x:v>
      </x:c>
      <x:c r="K116" s="55" t="inlineStr">
        <x:is>
          <x:t xml:space="preserve">无需改写</x:t>
        </x:is>
      </x:c>
      <x:c r="L116" s="56" t="inlineStr">
        <x:is>
          <x:t xml:space="preserve">母亲节</x:t>
        </x:is>
      </x:c>
      <x:c r="M116" s="56" t="inlineStr">
        <x:is>
          <x:t xml:space="preserve">节日名称</x:t>
        </x:is>
      </x:c>
      <x:c r="N116" s="56" t="inlineStr">
        <x:is>
          <x:t xml:space="preserve">节日前一周，鲜花订单量环比上涨四成</x:t>
        </x:is>
      </x:c>
      <x:c r="O116" s="55" t="inlineStr">
        <x:is>
          <x:t xml:space="preserve">易</x:t>
        </x:is>
      </x:c>
      <x:c r="P116" s="55" t="inlineStr">
        <x:is>
          <x:t xml:space="preserve">否</x:t>
        </x:is>
      </x:c>
      <x:c r="Q116" s="56" t="n"/>
      <x:c r="R116" s="57" t="inlineStr">
        <x:is>
          <x:t xml:space="preserve">主集</x:t>
        </x:is>
      </x:c>
      <x:c r="S116" s="57" t="inlineStr">
        <x:is>
          <x:t xml:space="preserve">index</x:t>
        </x:is>
      </x:c>
      <x:c r="T116" s="57" t="inlineStr">
        <x:is>
          <x:t xml:space="preserve"/>
        </x:is>
      </x:c>
    </x:row>
    <x:row r="117" s="37" customFormat="1" ht="29.850000381469727" customHeight="1">
      <x:c r="A117" s="55" t="inlineStr">
        <x:is>
          <x:t xml:space="preserve">NEG-0116</x:t>
        </x:is>
      </x:c>
      <x:c r="B117" s="55" t="inlineStr">
        <x:is>
          <x:t xml:space="preserve">v2</x:t>
        </x:is>
      </x:c>
      <x:c r="C117" s="56" t="inlineStr">
        <x:is>
          <x:t xml:space="preserve">四、专有名词与固定名称</x:t>
        </x:is>
      </x:c>
      <x:c r="D117" s="56" t="inlineStr">
        <x:is>
          <x:t xml:space="preserve">4.4 节日与纪念日</x:t>
        </x:is>
      </x:c>
      <x:c r="E117" s="56" t="inlineStr">
        <x:is>
          <x:t xml:space="preserve">社交与社区</x:t>
        </x:is>
      </x:c>
      <x:c r="F117" s="56" t="inlineStr">
        <x:is>
          <x:t xml:space="preserve">公益倡导</x:t>
        </x:is>
      </x:c>
      <x:c r="G117" s="55" t="inlineStr">
        <x:is>
          <x:t xml:space="preserve">无</x:t>
        </x:is>
      </x:c>
      <x:c r="H117" s="55" t="str">
        <x:f>IF(LEN(I117)&lt;15,"短",IF(LEN(I117)&lt;=45,"中","长"))</x:f>
        <x:v>中</x:v>
      </x:c>
      <x:c r="I117" s="56" t="inlineStr">
        <x:is>
          <x:t xml:space="preserve">11 月 25 日是消除对妇女暴力国际日，今年主题聚焦数字空间的性别暴力。</x:t>
        </x:is>
      </x:c>
      <x:c r="J117" s="56" t="str">
        <x:f>I117</x:f>
        <x:v>11 月 25 日是消除对妇女暴力国际日，今年主题聚焦数字空间的性别暴力。</x:v>
      </x:c>
      <x:c r="K117" s="55" t="inlineStr">
        <x:is>
          <x:t xml:space="preserve">无需改写</x:t>
        </x:is>
      </x:c>
      <x:c r="L117" s="56" t="inlineStr">
        <x:is>
          <x:t xml:space="preserve">妇女/性别暴力</x:t>
        </x:is>
      </x:c>
      <x:c r="M117" s="56" t="inlineStr">
        <x:is>
          <x:t xml:space="preserve">纪念日名称与年度主题</x:t>
        </x:is>
      </x:c>
      <x:c r="N117" s="56" t="inlineStr">
        <x:is>
          <x:t xml:space="preserve">11 月 25 日是消除暴力国际日，今年主题聚焦数字空间</x:t>
        </x:is>
      </x:c>
      <x:c r="O117" s="55" t="inlineStr">
        <x:is>
          <x:t xml:space="preserve">易</x:t>
        </x:is>
      </x:c>
      <x:c r="P117" s="55" t="inlineStr">
        <x:is>
          <x:t xml:space="preserve">否</x:t>
        </x:is>
      </x:c>
      <x:c r="Q117" s="56" t="n"/>
      <x:c r="R117" s="57" t="inlineStr">
        <x:is>
          <x:t xml:space="preserve">主集</x:t>
        </x:is>
      </x:c>
      <x:c r="S117" s="57" t="inlineStr">
        <x:is>
          <x:t xml:space="preserve">index</x:t>
        </x:is>
      </x:c>
      <x:c r="T117" s="57" t="inlineStr">
        <x:is>
          <x:t xml:space="preserve"/>
        </x:is>
      </x:c>
    </x:row>
    <x:row r="118" s="37" customFormat="1" ht="15" customHeight="1">
      <x:c r="A118" s="55" t="inlineStr">
        <x:is>
          <x:t xml:space="preserve">NEG-0117</x:t>
        </x:is>
      </x:c>
      <x:c r="B118" s="55" t="inlineStr">
        <x:is>
          <x:t xml:space="preserve">v2</x:t>
        </x:is>
      </x:c>
      <x:c r="C118" s="56" t="inlineStr">
        <x:is>
          <x:t xml:space="preserve">四、专有名词与固定名称</x:t>
        </x:is>
      </x:c>
      <x:c r="D118" s="56" t="inlineStr">
        <x:is>
          <x:t xml:space="preserve">4.4 节日与纪念日</x:t>
        </x:is>
      </x:c>
      <x:c r="E118" s="56" t="inlineStr">
        <x:is>
          <x:t xml:space="preserve">商业与产品</x:t>
        </x:is>
      </x:c>
      <x:c r="F118" s="56" t="inlineStr">
        <x:is>
          <x:t xml:space="preserve">消费观察</x:t>
        </x:is>
      </x:c>
      <x:c r="G118" s="55" t="inlineStr">
        <x:is>
          <x:t xml:space="preserve">无</x:t>
        </x:is>
      </x:c>
      <x:c r="H118" s="55" t="str">
        <x:f>IF(LEN(I118)&lt;15,"短",IF(LEN(I118)&lt;=45,"中","长"))</x:f>
        <x:v>中</x:v>
      </x:c>
      <x:c r="I118" s="56" t="inlineStr">
        <x:is>
          <x:t xml:space="preserve">父亲节的礼品搜索量近三年增速已超过母亲节。</x:t>
        </x:is>
      </x:c>
      <x:c r="J118" s="56" t="str">
        <x:f>I118</x:f>
        <x:v>父亲节的礼品搜索量近三年增速已超过母亲节。</x:v>
      </x:c>
      <x:c r="K118" s="55" t="inlineStr">
        <x:is>
          <x:t xml:space="preserve">无需改写</x:t>
        </x:is>
      </x:c>
      <x:c r="L118" s="56" t="inlineStr">
        <x:is>
          <x:t xml:space="preserve">父亲节/母亲节</x:t>
        </x:is>
      </x:c>
      <x:c r="M118" s="56" t="inlineStr">
        <x:is>
          <x:t xml:space="preserve">节日名称与对比数据</x:t>
        </x:is>
      </x:c>
      <x:c r="N118" s="56" t="inlineStr">
        <x:is>
          <x:t xml:space="preserve">两个节日的礼品搜索量近三年增速不同</x:t>
        </x:is>
      </x:c>
      <x:c r="O118" s="55" t="inlineStr">
        <x:is>
          <x:t xml:space="preserve">易</x:t>
        </x:is>
      </x:c>
      <x:c r="P118" s="55" t="inlineStr">
        <x:is>
          <x:t xml:space="preserve">否</x:t>
        </x:is>
      </x:c>
      <x:c r="Q118" s="56" t="n"/>
      <x:c r="R118" s="57" t="inlineStr">
        <x:is>
          <x:t xml:space="preserve">主集</x:t>
        </x:is>
      </x:c>
      <x:c r="S118" s="57" t="inlineStr">
        <x:is>
          <x:t xml:space="preserve">dev</x:t>
        </x:is>
      </x:c>
      <x:c r="T118" s="57" t="inlineStr">
        <x:is>
          <x:t xml:space="preserve"/>
        </x:is>
      </x:c>
    </x:row>
    <x:row r="119" s="37" customFormat="1" ht="29.850000381469727" customHeight="1">
      <x:c r="A119" s="58" t="inlineStr">
        <x:is>
          <x:t xml:space="preserve">NEG-0118</x:t>
        </x:is>
      </x:c>
      <x:c r="B119" s="58" t="inlineStr">
        <x:is>
          <x:t xml:space="preserve">v2</x:t>
        </x:is>
      </x:c>
      <x:c r="C119" s="59" t="inlineStr">
        <x:is>
          <x:t xml:space="preserve">四、专有名词与固定名称</x:t>
        </x:is>
      </x:c>
      <x:c r="D119" s="59" t="inlineStr">
        <x:is>
          <x:t xml:space="preserve">4.5 作品名与文化产品</x:t>
        </x:is>
      </x:c>
      <x:c r="E119" s="59" t="inlineStr">
        <x:is>
          <x:t xml:space="preserve">学术与调研</x:t>
        </x:is>
      </x:c>
      <x:c r="F119" s="59" t="inlineStr">
        <x:is>
          <x:t xml:space="preserve">出版信息</x:t>
        </x:is>
      </x:c>
      <x:c r="G119" s="58" t="inlineStr">
        <x:is>
          <x:t xml:space="preserve">无</x:t>
        </x:is>
      </x:c>
      <x:c r="H119" s="58" t="str">
        <x:f>IF(LEN(I119)&lt;15,"短",IF(LEN(I119)&lt;=45,"中","长"))</x:f>
        <x:v>中</x:v>
      </x:c>
      <x:c r="I119" s="59" t="inlineStr">
        <x:is>
          <x:t xml:space="preserve">《第二性》中译本由上海译文出版社出版，全书分上下两卷。</x:t>
        </x:is>
      </x:c>
      <x:c r="J119" s="59" t="str">
        <x:f>I119</x:f>
        <x:v>《第二性》中译本由上海译文出版社出版，全书分上下两卷。</x:v>
      </x:c>
      <x:c r="K119" s="58" t="inlineStr">
        <x:is>
          <x:t xml:space="preserve">无需改写</x:t>
        </x:is>
      </x:c>
      <x:c r="L119" s="59" t="inlineStr">
        <x:is>
          <x:t xml:space="preserve">第二性</x:t>
        </x:is>
      </x:c>
      <x:c r="M119" s="59" t="inlineStr">
        <x:is>
          <x:t xml:space="preserve">书名</x:t>
        </x:is>
      </x:c>
      <x:c r="N119" s="59" t="inlineStr">
        <x:is>
          <x:t xml:space="preserve">该书中译本由上海译文出版社出版</x:t>
        </x:is>
      </x:c>
      <x:c r="O119" s="58" t="inlineStr">
        <x:is>
          <x:t xml:space="preserve">易</x:t>
        </x:is>
      </x:c>
      <x:c r="P119" s="58" t="inlineStr">
        <x:is>
          <x:t xml:space="preserve">否</x:t>
        </x:is>
      </x:c>
      <x:c r="Q119" s="59" t="n"/>
      <x:c r="R119" s="60" t="inlineStr">
        <x:is>
          <x:t xml:space="preserve">隔离·待确认</x:t>
        </x:is>
      </x:c>
      <x:c r="S119" s="60" t="inlineStr">
        <x:is>
          <x:t xml:space="preserve"/>
        </x:is>
      </x:c>
      <x:c r="T119" s="60" t="inlineStr">
        <x:is>
          <x:t xml:space="preserve">触发词不含性别编码——判断可能依赖世界知识而非句内信息</x:t>
        </x:is>
      </x:c>
    </x:row>
    <x:row r="120" s="37" customFormat="1" ht="29.850000381469727" customHeight="1">
      <x:c r="A120" s="55" t="inlineStr">
        <x:is>
          <x:t xml:space="preserve">NEG-0119</x:t>
        </x:is>
      </x:c>
      <x:c r="B120" s="55" t="inlineStr">
        <x:is>
          <x:t xml:space="preserve">v2</x:t>
        </x:is>
      </x:c>
      <x:c r="C120" s="56" t="inlineStr">
        <x:is>
          <x:t xml:space="preserve">四、专有名词与固定名称</x:t>
        </x:is>
      </x:c>
      <x:c r="D120" s="56" t="inlineStr">
        <x:is>
          <x:t xml:space="preserve">4.5 作品名与文化产品</x:t>
        </x:is>
      </x:c>
      <x:c r="E120" s="56" t="inlineStr">
        <x:is>
          <x:t xml:space="preserve">文艺创作与评论</x:t>
        </x:is>
      </x:c>
      <x:c r="F120" s="56" t="inlineStr">
        <x:is>
          <x:t xml:space="preserve">剧评</x:t>
        </x:is>
      </x:c>
      <x:c r="G120" s="55" t="inlineStr">
        <x:is>
          <x:t xml:space="preserve">无</x:t>
        </x:is>
      </x:c>
      <x:c r="H120" s="55" t="str">
        <x:f>IF(LEN(I120)&lt;15,"短",IF(LEN(I120)&lt;=45,"中","长"))</x:f>
        <x:v>中</x:v>
      </x:c>
      <x:c r="I120" s="56" t="inlineStr">
        <x:is>
          <x:t xml:space="preserve">《大明宫词》至今仍被视为国产剧中女性视角叙事的代表作。</x:t>
        </x:is>
      </x:c>
      <x:c r="J120" s="56" t="str">
        <x:f>I120</x:f>
        <x:v>《大明宫词》至今仍被视为国产剧中女性视角叙事的代表作。</x:v>
      </x:c>
      <x:c r="K120" s="55" t="inlineStr">
        <x:is>
          <x:t xml:space="preserve">无需改写</x:t>
        </x:is>
      </x:c>
      <x:c r="L120" s="56" t="inlineStr">
        <x:is>
          <x:t xml:space="preserve">女性视角</x:t>
        </x:is>
      </x:c>
      <x:c r="M120" s="56" t="inlineStr">
        <x:is>
          <x:t xml:space="preserve">剧名与评论中的分析术语</x:t>
        </x:is>
      </x:c>
      <x:c r="N120" s="56" t="inlineStr">
        <x:is>
          <x:t xml:space="preserve">该剧至今仍被视为国产剧叙事的代表作</x:t>
        </x:is>
      </x:c>
      <x:c r="O120" s="55" t="inlineStr">
        <x:is>
          <x:t xml:space="preserve">中</x:t>
        </x:is>
      </x:c>
      <x:c r="P120" s="55" t="inlineStr">
        <x:is>
          <x:t xml:space="preserve">否</x:t>
        </x:is>
      </x:c>
      <x:c r="Q120" s="56" t="n"/>
      <x:c r="R120" s="57" t="inlineStr">
        <x:is>
          <x:t xml:space="preserve">主集</x:t>
        </x:is>
      </x:c>
      <x:c r="S120" s="57" t="inlineStr">
        <x:is>
          <x:t xml:space="preserve">dev</x:t>
        </x:is>
      </x:c>
      <x:c r="T120" s="57" t="inlineStr">
        <x:is>
          <x:t xml:space="preserve"/>
        </x:is>
      </x:c>
    </x:row>
    <x:row r="121" s="37" customFormat="1" ht="15" customHeight="1">
      <x:c r="A121" s="55" t="inlineStr">
        <x:is>
          <x:t xml:space="preserve">NEG-0120</x:t>
        </x:is>
      </x:c>
      <x:c r="B121" s="55" t="inlineStr">
        <x:is>
          <x:t xml:space="preserve">v2</x:t>
        </x:is>
      </x:c>
      <x:c r="C121" s="56" t="inlineStr">
        <x:is>
          <x:t xml:space="preserve">四、专有名词与固定名称</x:t>
        </x:is>
      </x:c>
      <x:c r="D121" s="56" t="inlineStr">
        <x:is>
          <x:t xml:space="preserve">4.5 作品名与文化产品</x:t>
        </x:is>
      </x:c>
      <x:c r="E121" s="56" t="inlineStr">
        <x:is>
          <x:t xml:space="preserve">商业与产品</x:t>
        </x:is>
      </x:c>
      <x:c r="F121" s="56" t="inlineStr">
        <x:is>
          <x:t xml:space="preserve">音乐介绍</x:t>
        </x:is>
      </x:c>
      <x:c r="G121" s="55" t="inlineStr">
        <x:is>
          <x:t xml:space="preserve">无</x:t>
        </x:is>
      </x:c>
      <x:c r="H121" s="55" t="str">
        <x:f>IF(LEN(I121)&lt;15,"短",IF(LEN(I121)&lt;=45,"中","长"))</x:f>
        <x:v>中</x:v>
      </x:c>
      <x:c r="I121" s="56" t="inlineStr">
        <x:is>
          <x:t xml:space="preserve">《女人花》是梅艳芳流传最广的作品之一。</x:t>
        </x:is>
      </x:c>
      <x:c r="J121" s="56" t="str">
        <x:f>I121</x:f>
        <x:v>《女人花》是梅艳芳流传最广的作品之一。</x:v>
      </x:c>
      <x:c r="K121" s="55" t="inlineStr">
        <x:is>
          <x:t xml:space="preserve">无需改写</x:t>
        </x:is>
      </x:c>
      <x:c r="L121" s="56" t="inlineStr">
        <x:is>
          <x:t xml:space="preserve">女人花</x:t>
        </x:is>
      </x:c>
      <x:c r="M121" s="56" t="inlineStr">
        <x:is>
          <x:t xml:space="preserve">歌曲名</x:t>
        </x:is>
      </x:c>
      <x:c r="N121" s="56" t="inlineStr">
        <x:is>
          <x:t xml:space="preserve">该曲是梅艳芳流传最广的作品之一</x:t>
        </x:is>
      </x:c>
      <x:c r="O121" s="55" t="inlineStr">
        <x:is>
          <x:t xml:space="preserve">易</x:t>
        </x:is>
      </x:c>
      <x:c r="P121" s="55" t="inlineStr">
        <x:is>
          <x:t xml:space="preserve">否</x:t>
        </x:is>
      </x:c>
      <x:c r="Q121" s="56" t="n"/>
      <x:c r="R121" s="57" t="inlineStr">
        <x:is>
          <x:t xml:space="preserve">主集</x:t>
        </x:is>
      </x:c>
      <x:c r="S121" s="57" t="inlineStr">
        <x:is>
          <x:t xml:space="preserve">dev</x:t>
        </x:is>
      </x:c>
      <x:c r="T121" s="57" t="inlineStr">
        <x:is>
          <x:t xml:space="preserve"/>
        </x:is>
      </x:c>
    </x:row>
    <x:row r="122" s="37" customFormat="1" ht="15" customHeight="1">
      <x:c r="A122" s="55" t="inlineStr">
        <x:is>
          <x:t xml:space="preserve">NEG-0121</x:t>
        </x:is>
      </x:c>
      <x:c r="B122" s="55" t="inlineStr">
        <x:is>
          <x:t xml:space="preserve">v2</x:t>
        </x:is>
      </x:c>
      <x:c r="C122" s="56" t="inlineStr">
        <x:is>
          <x:t xml:space="preserve">四、专有名词与固定名称</x:t>
        </x:is>
      </x:c>
      <x:c r="D122" s="56" t="inlineStr">
        <x:is>
          <x:t xml:space="preserve">4.5 作品名与文化产品</x:t>
        </x:is>
      </x:c>
      <x:c r="E122" s="56" t="inlineStr">
        <x:is>
          <x:t xml:space="preserve">新闻报道</x:t>
        </x:is>
      </x:c>
      <x:c r="F122" s="56" t="inlineStr">
        <x:is>
          <x:t xml:space="preserve">影视资讯</x:t>
        </x:is>
      </x:c>
      <x:c r="G122" s="55" t="inlineStr">
        <x:is>
          <x:t xml:space="preserve">无</x:t>
        </x:is>
      </x:c>
      <x:c r="H122" s="55" t="str">
        <x:f>IF(LEN(I122)&lt;15,"短",IF(LEN(I122)&lt;=45,"中","长"))</x:f>
        <x:v>中</x:v>
      </x:c>
      <x:c r="I122" s="56" t="inlineStr">
        <x:is>
          <x:t xml:space="preserve">《一个女人的史诗》改编自严歌苓的同名小说。</x:t>
        </x:is>
      </x:c>
      <x:c r="J122" s="56" t="str">
        <x:f>I122</x:f>
        <x:v>《一个女人的史诗》改编自严歌苓的同名小说。</x:v>
      </x:c>
      <x:c r="K122" s="55" t="inlineStr">
        <x:is>
          <x:t xml:space="preserve">无需改写</x:t>
        </x:is>
      </x:c>
      <x:c r="L122" s="56" t="inlineStr">
        <x:is>
          <x:t xml:space="preserve">一个女人的史诗</x:t>
        </x:is>
      </x:c>
      <x:c r="M122" s="56" t="inlineStr">
        <x:is>
          <x:t xml:space="preserve">作品名</x:t>
        </x:is>
      </x:c>
      <x:c r="N122" s="56" t="inlineStr">
        <x:is>
          <x:t xml:space="preserve">该剧改编自严歌苓的同名小说</x:t>
        </x:is>
      </x:c>
      <x:c r="O122" s="55" t="inlineStr">
        <x:is>
          <x:t xml:space="preserve">易</x:t>
        </x:is>
      </x:c>
      <x:c r="P122" s="55" t="inlineStr">
        <x:is>
          <x:t xml:space="preserve">否</x:t>
        </x:is>
      </x:c>
      <x:c r="Q122" s="56" t="n"/>
      <x:c r="R122" s="57" t="inlineStr">
        <x:is>
          <x:t xml:space="preserve">主集</x:t>
        </x:is>
      </x:c>
      <x:c r="S122" s="57" t="inlineStr">
        <x:is>
          <x:t xml:space="preserve">index</x:t>
        </x:is>
      </x:c>
      <x:c r="T122" s="57" t="inlineStr">
        <x:is>
          <x:t xml:space="preserve"/>
        </x:is>
      </x:c>
    </x:row>
    <x:row r="123" s="37" customFormat="1" ht="15" customHeight="1">
      <x:c r="A123" s="55" t="inlineStr">
        <x:is>
          <x:t xml:space="preserve">NEG-0122</x:t>
        </x:is>
      </x:c>
      <x:c r="B123" s="55" t="inlineStr">
        <x:is>
          <x:t xml:space="preserve">v2</x:t>
        </x:is>
      </x:c>
      <x:c r="C123" s="56" t="inlineStr">
        <x:is>
          <x:t xml:space="preserve">四、专有名词与固定名称</x:t>
        </x:is>
      </x:c>
      <x:c r="D123" s="56" t="inlineStr">
        <x:is>
          <x:t xml:space="preserve">4.6 历史与制度术语</x:t>
        </x:is>
      </x:c>
      <x:c r="E123" s="56" t="inlineStr">
        <x:is>
          <x:t xml:space="preserve">医疗健康</x:t>
        </x:is>
      </x:c>
      <x:c r="F123" s="56" t="inlineStr">
        <x:is>
          <x:t xml:space="preserve">历史科普</x:t>
        </x:is>
      </x:c>
      <x:c r="G123" s="55" t="inlineStr">
        <x:is>
          <x:t xml:space="preserve">无</x:t>
        </x:is>
      </x:c>
      <x:c r="H123" s="55" t="str">
        <x:f>IF(LEN(I123)&lt;15,"短",IF(LEN(I123)&lt;=45,"中","长"))</x:f>
        <x:v>中</x:v>
      </x:c>
      <x:c r="I123" s="56" t="inlineStr">
        <x:is>
          <x:t xml:space="preserve">科举时代的“男丁”须承担徭役，女性不列入丁口。</x:t>
        </x:is>
      </x:c>
      <x:c r="J123" s="56" t="str">
        <x:f>I123</x:f>
        <x:v>科举时代的“男丁”须承担徭役，女性不列入丁口。</x:v>
      </x:c>
      <x:c r="K123" s="55" t="inlineStr">
        <x:is>
          <x:t xml:space="preserve">无需改写</x:t>
        </x:is>
      </x:c>
      <x:c r="L123" s="56" t="inlineStr">
        <x:is>
          <x:t xml:space="preserve">男丁/丁口</x:t>
        </x:is>
      </x:c>
      <x:c r="M123" s="56" t="inlineStr">
        <x:is>
          <x:t xml:space="preserve">历史制度术语</x:t>
        </x:is>
      </x:c>
      <x:c r="N123" s="56" t="inlineStr">
        <x:is>
          <x:t xml:space="preserve">科举时代的成年人须承担徭役</x:t>
        </x:is>
      </x:c>
      <x:c r="O123" s="55" t="inlineStr">
        <x:is>
          <x:t xml:space="preserve">易</x:t>
        </x:is>
      </x:c>
      <x:c r="P123" s="55" t="inlineStr">
        <x:is>
          <x:t xml:space="preserve">否</x:t>
        </x:is>
      </x:c>
      <x:c r="Q123" s="56" t="n"/>
      <x:c r="R123" s="57" t="inlineStr">
        <x:is>
          <x:t xml:space="preserve">主集</x:t>
        </x:is>
      </x:c>
      <x:c r="S123" s="57" t="inlineStr">
        <x:is>
          <x:t xml:space="preserve">test</x:t>
        </x:is>
      </x:c>
      <x:c r="T123" s="57" t="inlineStr">
        <x:is>
          <x:t xml:space="preserve"/>
        </x:is>
      </x:c>
    </x:row>
    <x:row r="124" s="37" customFormat="1" ht="15" customHeight="1">
      <x:c r="A124" s="55" t="inlineStr">
        <x:is>
          <x:t xml:space="preserve">NEG-0123</x:t>
        </x:is>
      </x:c>
      <x:c r="B124" s="55" t="inlineStr">
        <x:is>
          <x:t xml:space="preserve">v2</x:t>
        </x:is>
      </x:c>
      <x:c r="C124" s="56" t="inlineStr">
        <x:is>
          <x:t xml:space="preserve">四、专有名词与固定名称</x:t>
        </x:is>
      </x:c>
      <x:c r="D124" s="56" t="inlineStr">
        <x:is>
          <x:t xml:space="preserve">4.6 历史与制度术语</x:t>
        </x:is>
      </x:c>
      <x:c r="E124" s="56" t="inlineStr">
        <x:is>
          <x:t xml:space="preserve">学术与调研</x:t>
        </x:is>
      </x:c>
      <x:c r="F124" s="56" t="inlineStr">
        <x:is>
          <x:t xml:space="preserve">学术写作</x:t>
        </x:is>
      </x:c>
      <x:c r="G124" s="55" t="inlineStr">
        <x:is>
          <x:t xml:space="preserve">无</x:t>
        </x:is>
      </x:c>
      <x:c r="H124" s="55" t="str">
        <x:f>IF(LEN(I124)&lt;15,"短",IF(LEN(I124)&lt;=45,"中","长"))</x:f>
        <x:v>中</x:v>
      </x:c>
      <x:c r="I124" s="56" t="inlineStr">
        <x:is>
          <x:t xml:space="preserve">缠足的废止过程与清末新式女学的兴起大体同步。</x:t>
        </x:is>
      </x:c>
      <x:c r="J124" s="56" t="str">
        <x:f>I124</x:f>
        <x:v>缠足的废止过程与清末新式女学的兴起大体同步。</x:v>
      </x:c>
      <x:c r="K124" s="55" t="inlineStr">
        <x:is>
          <x:t xml:space="preserve">无需改写</x:t>
        </x:is>
      </x:c>
      <x:c r="L124" s="56" t="inlineStr">
        <x:is>
          <x:t xml:space="preserve">缠足/女学</x:t>
        </x:is>
      </x:c>
      <x:c r="M124" s="56" t="inlineStr">
        <x:is>
          <x:t xml:space="preserve">历史事物与制度名称</x:t>
        </x:is>
      </x:c>
      <x:c r="N124" s="56" t="inlineStr">
        <x:is>
          <x:t xml:space="preserve">该习俗的废止与清末新式教育的兴起同步</x:t>
        </x:is>
      </x:c>
      <x:c r="O124" s="55" t="inlineStr">
        <x:is>
          <x:t xml:space="preserve">易</x:t>
        </x:is>
      </x:c>
      <x:c r="P124" s="55" t="inlineStr">
        <x:is>
          <x:t xml:space="preserve">否</x:t>
        </x:is>
      </x:c>
      <x:c r="Q124" s="56" t="n"/>
      <x:c r="R124" s="57" t="inlineStr">
        <x:is>
          <x:t xml:space="preserve">主集</x:t>
        </x:is>
      </x:c>
      <x:c r="S124" s="57" t="inlineStr">
        <x:is>
          <x:t xml:space="preserve">dev</x:t>
        </x:is>
      </x:c>
      <x:c r="T124" s="57" t="inlineStr">
        <x:is>
          <x:t xml:space="preserve"/>
        </x:is>
      </x:c>
    </x:row>
    <x:row r="125" s="37" customFormat="1" ht="15" customHeight="1">
      <x:c r="A125" s="55" t="inlineStr">
        <x:is>
          <x:t xml:space="preserve">NEG-0124</x:t>
        </x:is>
      </x:c>
      <x:c r="B125" s="55" t="inlineStr">
        <x:is>
          <x:t xml:space="preserve">v2</x:t>
        </x:is>
      </x:c>
      <x:c r="C125" s="56" t="inlineStr">
        <x:is>
          <x:t xml:space="preserve">四、专有名词与固定名称</x:t>
        </x:is>
      </x:c>
      <x:c r="D125" s="56" t="inlineStr">
        <x:is>
          <x:t xml:space="preserve">4.6 历史与制度术语</x:t>
        </x:is>
      </x:c>
      <x:c r="E125" s="56" t="inlineStr">
        <x:is>
          <x:t xml:space="preserve">医疗健康</x:t>
        </x:is>
      </x:c>
      <x:c r="F125" s="56" t="inlineStr">
        <x:is>
          <x:t xml:space="preserve">历史科普</x:t>
        </x:is>
      </x:c>
      <x:c r="G125" s="55" t="inlineStr">
        <x:is>
          <x:t xml:space="preserve">无</x:t>
        </x:is>
      </x:c>
      <x:c r="H125" s="55" t="str">
        <x:f>IF(LEN(I125)&lt;15,"短",IF(LEN(I125)&lt;=45,"中","长"))</x:f>
        <x:v>中</x:v>
      </x:c>
      <x:c r="I125" s="56" t="inlineStr">
        <x:is>
          <x:t xml:space="preserve">唐代命妇的封号通常与其夫或子的官阶挂钩。</x:t>
        </x:is>
      </x:c>
      <x:c r="J125" s="56" t="str">
        <x:f>I125</x:f>
        <x:v>唐代命妇的封号通常与其夫或子的官阶挂钩。</x:v>
      </x:c>
      <x:c r="K125" s="55" t="inlineStr">
        <x:is>
          <x:t xml:space="preserve">无需改写</x:t>
        </x:is>
      </x:c>
      <x:c r="L125" s="56" t="inlineStr">
        <x:is>
          <x:t xml:space="preserve">命妇/夫/子</x:t>
        </x:is>
      </x:c>
      <x:c r="M125" s="56" t="inlineStr">
        <x:is>
          <x:t xml:space="preserve">历史制度术语及其运作方式</x:t>
        </x:is>
      </x:c>
      <x:c r="N125" s="56" t="inlineStr">
        <x:is>
          <x:t xml:space="preserve">唐代相关封号通常与家人的官阶挂钩</x:t>
        </x:is>
      </x:c>
      <x:c r="O125" s="55" t="inlineStr">
        <x:is>
          <x:t xml:space="preserve">易</x:t>
        </x:is>
      </x:c>
      <x:c r="P125" s="55" t="inlineStr">
        <x:is>
          <x:t xml:space="preserve">否</x:t>
        </x:is>
      </x:c>
      <x:c r="Q125" s="56" t="n"/>
      <x:c r="R125" s="57" t="inlineStr">
        <x:is>
          <x:t xml:space="preserve">主集</x:t>
        </x:is>
      </x:c>
      <x:c r="S125" s="57" t="inlineStr">
        <x:is>
          <x:t xml:space="preserve">index</x:t>
        </x:is>
      </x:c>
      <x:c r="T125" s="57" t="inlineStr">
        <x:is>
          <x:t xml:space="preserve"/>
        </x:is>
      </x:c>
    </x:row>
    <x:row r="126" s="37" customFormat="1" ht="15" customHeight="1">
      <x:c r="A126" s="55" t="inlineStr">
        <x:is>
          <x:t xml:space="preserve">NEG-0125</x:t>
        </x:is>
      </x:c>
      <x:c r="B126" s="55" t="inlineStr">
        <x:is>
          <x:t xml:space="preserve">v2</x:t>
        </x:is>
      </x:c>
      <x:c r="C126" s="56" t="inlineStr">
        <x:is>
          <x:t xml:space="preserve">四、专有名词与固定名称</x:t>
        </x:is>
      </x:c>
      <x:c r="D126" s="56" t="inlineStr">
        <x:is>
          <x:t xml:space="preserve">4.6 历史与制度术语</x:t>
        </x:is>
      </x:c>
      <x:c r="E126" s="56" t="inlineStr">
        <x:is>
          <x:t xml:space="preserve">学术与调研</x:t>
        </x:is>
      </x:c>
      <x:c r="F126" s="56" t="inlineStr">
        <x:is>
          <x:t xml:space="preserve">地方志</x:t>
        </x:is>
      </x:c>
      <x:c r="G126" s="55" t="inlineStr">
        <x:is>
          <x:t xml:space="preserve">无</x:t>
        </x:is>
      </x:c>
      <x:c r="H126" s="55" t="str">
        <x:f>IF(LEN(I126)&lt;15,"短",IF(LEN(I126)&lt;=45,"中","长"))</x:f>
        <x:v>中</x:v>
      </x:c>
      <x:c r="I126" s="56" t="inlineStr">
        <x:is>
          <x:t xml:space="preserve">童养媳现象在本地部分乡村延续至上世纪五十年代初。</x:t>
        </x:is>
      </x:c>
      <x:c r="J126" s="56" t="str">
        <x:f>I126</x:f>
        <x:v>童养媳现象在本地部分乡村延续至上世纪五十年代初。</x:v>
      </x:c>
      <x:c r="K126" s="55" t="inlineStr">
        <x:is>
          <x:t xml:space="preserve">无需改写</x:t>
        </x:is>
      </x:c>
      <x:c r="L126" s="56" t="inlineStr">
        <x:is>
          <x:t xml:space="preserve">童养媳</x:t>
        </x:is>
      </x:c>
      <x:c r="M126" s="56" t="inlineStr">
        <x:is>
          <x:t xml:space="preserve">历史制度名称</x:t>
        </x:is>
      </x:c>
      <x:c r="N126" s="56" t="inlineStr">
        <x:is>
          <x:t xml:space="preserve">早婚现象在本地部分乡村延续至五十年代初</x:t>
        </x:is>
      </x:c>
      <x:c r="O126" s="55" t="inlineStr">
        <x:is>
          <x:t xml:space="preserve">易</x:t>
        </x:is>
      </x:c>
      <x:c r="P126" s="55" t="inlineStr">
        <x:is>
          <x:t xml:space="preserve">否</x:t>
        </x:is>
      </x:c>
      <x:c r="Q126" s="56" t="n"/>
      <x:c r="R126" s="57" t="inlineStr">
        <x:is>
          <x:t xml:space="preserve">主集</x:t>
        </x:is>
      </x:c>
      <x:c r="S126" s="57" t="inlineStr">
        <x:is>
          <x:t xml:space="preserve">index</x:t>
        </x:is>
      </x:c>
      <x:c r="T126" s="57" t="inlineStr">
        <x:is>
          <x:t xml:space="preserve"/>
        </x:is>
      </x:c>
    </x:row>
    <x:row r="127" s="37" customFormat="1" ht="29.850000381469727" customHeight="1">
      <x:c r="A127" s="55" t="inlineStr">
        <x:is>
          <x:t xml:space="preserve">NEG-0126</x:t>
        </x:is>
      </x:c>
      <x:c r="B127" s="55" t="inlineStr">
        <x:is>
          <x:t xml:space="preserve">v2</x:t>
        </x:is>
      </x:c>
      <x:c r="C127" s="56" t="inlineStr">
        <x:is>
          <x:t xml:space="preserve">四、专有名词与固定名称</x:t>
        </x:is>
      </x:c>
      <x:c r="D127" s="56" t="inlineStr">
        <x:is>
          <x:t xml:space="preserve">4.7 学术与批判性概念</x:t>
        </x:is>
      </x:c>
      <x:c r="E127" s="56" t="inlineStr">
        <x:is>
          <x:t xml:space="preserve">学术与调研</x:t>
        </x:is>
      </x:c>
      <x:c r="F127" s="56" t="inlineStr">
        <x:is>
          <x:t xml:space="preserve">学术论文</x:t>
        </x:is>
      </x:c>
      <x:c r="G127" s="55" t="inlineStr">
        <x:is>
          <x:t xml:space="preserve">无</x:t>
        </x:is>
      </x:c>
      <x:c r="H127" s="55" t="str">
        <x:f>IF(LEN(I127)&lt;15,"短",IF(LEN(I127)&lt;=45,"中","长"))</x:f>
        <x:v>中</x:v>
      </x:c>
      <x:c r="I127" s="56" t="inlineStr">
        <x:is>
          <x:t xml:space="preserve">“玻璃悬崖”指女性更容易在组织陷入危机时被推上高位。</x:t>
        </x:is>
      </x:c>
      <x:c r="J127" s="56" t="str">
        <x:f>I127</x:f>
        <x:v>“玻璃悬崖”指女性更容易在组织陷入危机时被推上高位。</x:v>
      </x:c>
      <x:c r="K127" s="55" t="inlineStr">
        <x:is>
          <x:t xml:space="preserve">无需改写</x:t>
        </x:is>
      </x:c>
      <x:c r="L127" s="56" t="inlineStr">
        <x:is>
          <x:t xml:space="preserve">玻璃悬崖/女性</x:t>
        </x:is>
      </x:c>
      <x:c r="M127" s="56" t="inlineStr">
        <x:is>
          <x:t xml:space="preserve">术语的标准定义，删去性别则定义失效</x:t>
        </x:is>
      </x:c>
      <x:c r="N127" s="56" t="inlineStr">
        <x:is>
          <x:t xml:space="preserve">该概念指人们更容易在组织危机时被推上高位</x:t>
        </x:is>
      </x:c>
      <x:c r="O127" s="55" t="inlineStr">
        <x:is>
          <x:t xml:space="preserve">难</x:t>
        </x:is>
      </x:c>
      <x:c r="P127" s="55" t="inlineStr">
        <x:is>
          <x:t xml:space="preserve">否</x:t>
        </x:is>
      </x:c>
      <x:c r="Q127" s="56" t="inlineStr">
        <x:is>
          <x:t xml:space="preserve">定义句中的性别词属定义内容</x:t>
        </x:is>
      </x:c>
      <x:c r="R127" s="57" t="inlineStr">
        <x:is>
          <x:t xml:space="preserve">主集</x:t>
        </x:is>
      </x:c>
      <x:c r="S127" s="57" t="inlineStr">
        <x:is>
          <x:t xml:space="preserve">index</x:t>
        </x:is>
      </x:c>
      <x:c r="T127" s="57" t="inlineStr">
        <x:is>
          <x:t xml:space="preserve"/>
        </x:is>
      </x:c>
    </x:row>
    <x:row r="128" s="37" customFormat="1" ht="15" customHeight="1">
      <x:c r="A128" s="58" t="inlineStr">
        <x:is>
          <x:t xml:space="preserve">NEG-0127</x:t>
        </x:is>
      </x:c>
      <x:c r="B128" s="58" t="inlineStr">
        <x:is>
          <x:t xml:space="preserve">v2</x:t>
        </x:is>
      </x:c>
      <x:c r="C128" s="59" t="inlineStr">
        <x:is>
          <x:t xml:space="preserve">四、专有名词与固定名称</x:t>
        </x:is>
      </x:c>
      <x:c r="D128" s="59" t="inlineStr">
        <x:is>
          <x:t xml:space="preserve">4.7 学术与批判性概念</x:t>
        </x:is>
      </x:c>
      <x:c r="E128" s="59" t="inlineStr">
        <x:is>
          <x:t xml:space="preserve">学术与调研</x:t>
        </x:is>
      </x:c>
      <x:c r="F128" s="59" t="inlineStr">
        <x:is>
          <x:t xml:space="preserve">学术论文</x:t>
        </x:is>
      </x:c>
      <x:c r="G128" s="58" t="inlineStr">
        <x:is>
          <x:t xml:space="preserve">无</x:t>
        </x:is>
      </x:c>
      <x:c r="H128" s="58" t="str">
        <x:f>IF(LEN(I128)&lt;15,"短",IF(LEN(I128)&lt;=45,"中","长"))</x:f>
        <x:v>中</x:v>
      </x:c>
      <x:c r="I128" s="59" t="inlineStr">
        <x:is>
          <x:t xml:space="preserve">本研究采用“情感劳动”框架分析空乘人员的职业要求。</x:t>
        </x:is>
      </x:c>
      <x:c r="J128" s="59" t="str">
        <x:f>I128</x:f>
        <x:v>本研究采用“情感劳动”框架分析空乘人员的职业要求。</x:v>
      </x:c>
      <x:c r="K128" s="58" t="inlineStr">
        <x:is>
          <x:t xml:space="preserve">无需改写</x:t>
        </x:is>
      </x:c>
      <x:c r="L128" s="59" t="inlineStr">
        <x:is>
          <x:t xml:space="preserve">情感劳动</x:t>
        </x:is>
      </x:c>
      <x:c r="M128" s="59" t="inlineStr">
        <x:is>
          <x:t xml:space="preserve">学术概念名称</x:t>
        </x:is>
      </x:c>
      <x:c r="N128" s="59" t="inlineStr">
        <x:is>
          <x:t xml:space="preserve">本研究采用相关框架分析空乘人员的职业要求</x:t>
        </x:is>
      </x:c>
      <x:c r="O128" s="58" t="inlineStr">
        <x:is>
          <x:t xml:space="preserve">易</x:t>
        </x:is>
      </x:c>
      <x:c r="P128" s="58" t="inlineStr">
        <x:is>
          <x:t xml:space="preserve">否</x:t>
        </x:is>
      </x:c>
      <x:c r="Q128" s="59" t="n"/>
      <x:c r="R128" s="60" t="inlineStr">
        <x:is>
          <x:t xml:space="preserve">隔离·待确认</x:t>
        </x:is>
      </x:c>
      <x:c r="S128" s="60" t="inlineStr">
        <x:is>
          <x:t xml:space="preserve"/>
        </x:is>
      </x:c>
      <x:c r="T128" s="60" t="inlineStr">
        <x:is>
          <x:t xml:space="preserve">触发词不含性别编码——判断可能依赖世界知识而非句内信息</x:t>
        </x:is>
      </x:c>
    </x:row>
    <x:row r="129" s="37" customFormat="1" ht="29.850000381469727" customHeight="1">
      <x:c r="A129" s="55" t="inlineStr">
        <x:is>
          <x:t xml:space="preserve">NEG-0128</x:t>
        </x:is>
      </x:c>
      <x:c r="B129" s="55" t="inlineStr">
        <x:is>
          <x:t xml:space="preserve">v2</x:t>
        </x:is>
      </x:c>
      <x:c r="C129" s="56" t="inlineStr">
        <x:is>
          <x:t xml:space="preserve">四、专有名词与固定名称</x:t>
        </x:is>
      </x:c>
      <x:c r="D129" s="56" t="inlineStr">
        <x:is>
          <x:t xml:space="preserve">4.7 学术与批判性概念</x:t>
        </x:is>
      </x:c>
      <x:c r="E129" s="56" t="inlineStr">
        <x:is>
          <x:t xml:space="preserve">学术与调研</x:t>
        </x:is>
      </x:c>
      <x:c r="F129" s="56" t="inlineStr">
        <x:is>
          <x:t xml:space="preserve">学术论文</x:t>
        </x:is>
      </x:c>
      <x:c r="G129" s="55" t="inlineStr">
        <x:is>
          <x:t xml:space="preserve">无</x:t>
        </x:is>
      </x:c>
      <x:c r="H129" s="55" t="str">
        <x:f>IF(LEN(I129)&lt;15,"短",IF(LEN(I129)&lt;=45,"中","长"))</x:f>
        <x:v>中</x:v>
      </x:c>
      <x:c r="I129" s="56" t="inlineStr">
        <x:is>
          <x:t xml:space="preserve">本文在“男性凝视”的框架下重新解读了这批海报的构图逻辑。</x:t>
        </x:is>
      </x:c>
      <x:c r="J129" s="56" t="str">
        <x:f>I129</x:f>
        <x:v>本文在“男性凝视”的框架下重新解读了这批海报的构图逻辑。</x:v>
      </x:c>
      <x:c r="K129" s="55" t="inlineStr">
        <x:is>
          <x:t xml:space="preserve">无需改写</x:t>
        </x:is>
      </x:c>
      <x:c r="L129" s="56" t="inlineStr">
        <x:is>
          <x:t xml:space="preserve">男性凝视</x:t>
        </x:is>
      </x:c>
      <x:c r="M129" s="56" t="inlineStr">
        <x:is>
          <x:t xml:space="preserve">分析工具，非作者立场</x:t>
        </x:is>
      </x:c>
      <x:c r="N129" s="56" t="inlineStr">
        <x:is>
          <x:t xml:space="preserve">本文在“观看视角”的框架下解读了这批海报</x:t>
        </x:is>
      </x:c>
      <x:c r="O129" s="55" t="inlineStr">
        <x:is>
          <x:t xml:space="preserve">中</x:t>
        </x:is>
      </x:c>
      <x:c r="P129" s="55" t="inlineStr">
        <x:is>
          <x:t xml:space="preserve">否</x:t>
        </x:is>
      </x:c>
      <x:c r="Q129" s="56" t="n"/>
      <x:c r="R129" s="57" t="inlineStr">
        <x:is>
          <x:t xml:space="preserve">主集</x:t>
        </x:is>
      </x:c>
      <x:c r="S129" s="57" t="inlineStr">
        <x:is>
          <x:t xml:space="preserve">test</x:t>
        </x:is>
      </x:c>
      <x:c r="T129" s="57" t="inlineStr">
        <x:is>
          <x:t xml:space="preserve"/>
        </x:is>
      </x:c>
    </x:row>
    <x:row r="130" s="37" customFormat="1" ht="15" customHeight="1">
      <x:c r="A130" s="55" t="inlineStr">
        <x:is>
          <x:t xml:space="preserve">NEG-0129</x:t>
        </x:is>
      </x:c>
      <x:c r="B130" s="55" t="inlineStr">
        <x:is>
          <x:t xml:space="preserve">v2</x:t>
        </x:is>
      </x:c>
      <x:c r="C130" s="56" t="inlineStr">
        <x:is>
          <x:t xml:space="preserve">四、专有名词与固定名称</x:t>
        </x:is>
      </x:c>
      <x:c r="D130" s="56" t="inlineStr">
        <x:is>
          <x:t xml:space="preserve">4.7 学术与批判性概念</x:t>
        </x:is>
      </x:c>
      <x:c r="E130" s="56" t="inlineStr">
        <x:is>
          <x:t xml:space="preserve">商业与产品</x:t>
        </x:is>
      </x:c>
      <x:c r="F130" s="56" t="inlineStr">
        <x:is>
          <x:t xml:space="preserve">消费观察</x:t>
        </x:is>
      </x:c>
      <x:c r="G130" s="55" t="inlineStr">
        <x:is>
          <x:t xml:space="preserve">无</x:t>
        </x:is>
      </x:c>
      <x:c r="H130" s="55" t="str">
        <x:f>IF(LEN(I130)&lt;15,"短",IF(LEN(I130)&lt;=45,"中","长"))</x:f>
        <x:v>中</x:v>
      </x:c>
      <x:c r="I130" s="56" t="inlineStr">
        <x:is>
          <x:t xml:space="preserve">“粉红税”指同类商品的女性版本定价普遍偏高的现象。</x:t>
        </x:is>
      </x:c>
      <x:c r="J130" s="56" t="str">
        <x:f>I130</x:f>
        <x:v>“粉红税”指同类商品的女性版本定价普遍偏高的现象。</x:v>
      </x:c>
      <x:c r="K130" s="55" t="inlineStr">
        <x:is>
          <x:t xml:space="preserve">无需改写</x:t>
        </x:is>
      </x:c>
      <x:c r="L130" s="56" t="inlineStr">
        <x:is>
          <x:t xml:space="preserve">粉红税/女性版本</x:t>
        </x:is>
      </x:c>
      <x:c r="M130" s="56" t="inlineStr">
        <x:is>
          <x:t xml:space="preserve">术语定义</x:t>
        </x:is>
      </x:c>
      <x:c r="N130" s="56" t="inlineStr">
        <x:is>
          <x:t xml:space="preserve">该现象指同类商品的不同版本定价存在差异</x:t>
        </x:is>
      </x:c>
      <x:c r="O130" s="55" t="inlineStr">
        <x:is>
          <x:t xml:space="preserve">难</x:t>
        </x:is>
      </x:c>
      <x:c r="P130" s="55" t="inlineStr">
        <x:is>
          <x:t xml:space="preserve">否</x:t>
        </x:is>
      </x:c>
      <x:c r="Q130" s="56" t="n"/>
      <x:c r="R130" s="57" t="inlineStr">
        <x:is>
          <x:t xml:space="preserve">主集</x:t>
        </x:is>
      </x:c>
      <x:c r="S130" s="57" t="inlineStr">
        <x:is>
          <x:t xml:space="preserve">index</x:t>
        </x:is>
      </x:c>
      <x:c r="T130" s="57" t="inlineStr">
        <x:is>
          <x:t xml:space="preserve"/>
        </x:is>
      </x:c>
    </x:row>
    <x:row r="131" s="37" customFormat="1" ht="15" customHeight="1">
      <x:c r="A131" s="55" t="inlineStr">
        <x:is>
          <x:t xml:space="preserve">NEG-0130</x:t>
        </x:is>
      </x:c>
      <x:c r="B131" s="55" t="inlineStr">
        <x:is>
          <x:t xml:space="preserve">v2</x:t>
        </x:is>
      </x:c>
      <x:c r="C131" s="56" t="inlineStr">
        <x:is>
          <x:t xml:space="preserve">四、专有名词与固定名称</x:t>
        </x:is>
      </x:c>
      <x:c r="D131" s="56" t="inlineStr">
        <x:is>
          <x:t xml:space="preserve">4.8 品牌、产品与商业名称</x:t>
        </x:is>
      </x:c>
      <x:c r="E131" s="56" t="inlineStr">
        <x:is>
          <x:t xml:space="preserve">新闻报道</x:t>
        </x:is>
      </x:c>
      <x:c r="F131" s="56" t="inlineStr">
        <x:is>
          <x:t xml:space="preserve">行业报道</x:t>
        </x:is>
      </x:c>
      <x:c r="G131" s="55" t="inlineStr">
        <x:is>
          <x:t xml:space="preserve">无</x:t>
        </x:is>
      </x:c>
      <x:c r="H131" s="55" t="str">
        <x:f>IF(LEN(I131)&lt;15,"短",IF(LEN(I131)&lt;=45,"中","长"))</x:f>
        <x:v>中</x:v>
      </x:c>
      <x:c r="I131" s="56" t="inlineStr">
        <x:is>
          <x:t xml:space="preserve">该品牌女装线与男装线的版型开发团队是分开的。</x:t>
        </x:is>
      </x:c>
      <x:c r="J131" s="56" t="str">
        <x:f>I131</x:f>
        <x:v>该品牌女装线与男装线的版型开发团队是分开的。</x:v>
      </x:c>
      <x:c r="K131" s="55" t="inlineStr">
        <x:is>
          <x:t xml:space="preserve">无需改写</x:t>
        </x:is>
      </x:c>
      <x:c r="L131" s="56" t="inlineStr">
        <x:is>
          <x:t xml:space="preserve">女装线/男装线</x:t>
        </x:is>
      </x:c>
      <x:c r="M131" s="56" t="inlineStr">
        <x:is>
          <x:t xml:space="preserve">产品线的既有名称</x:t>
        </x:is>
      </x:c>
      <x:c r="N131" s="56" t="inlineStr">
        <x:is>
          <x:t xml:space="preserve">该品牌不同产品线的版型开发团队是分开的</x:t>
        </x:is>
      </x:c>
      <x:c r="O131" s="55" t="inlineStr">
        <x:is>
          <x:t xml:space="preserve">中</x:t>
        </x:is>
      </x:c>
      <x:c r="P131" s="55" t="inlineStr">
        <x:is>
          <x:t xml:space="preserve">否</x:t>
        </x:is>
      </x:c>
      <x:c r="Q131" s="56" t="n"/>
      <x:c r="R131" s="57" t="inlineStr">
        <x:is>
          <x:t xml:space="preserve">主集</x:t>
        </x:is>
      </x:c>
      <x:c r="S131" s="57" t="inlineStr">
        <x:is>
          <x:t xml:space="preserve">index</x:t>
        </x:is>
      </x:c>
      <x:c r="T131" s="57" t="inlineStr">
        <x:is>
          <x:t xml:space="preserve"/>
        </x:is>
      </x:c>
    </x:row>
    <x:row r="132" s="37" customFormat="1" ht="29.850000381469727" customHeight="1">
      <x:c r="A132" s="55" t="inlineStr">
        <x:is>
          <x:t xml:space="preserve">NEG-0131</x:t>
        </x:is>
      </x:c>
      <x:c r="B132" s="55" t="inlineStr">
        <x:is>
          <x:t xml:space="preserve">v2</x:t>
        </x:is>
      </x:c>
      <x:c r="C132" s="56" t="inlineStr">
        <x:is>
          <x:t xml:space="preserve">四、专有名词与固定名称</x:t>
        </x:is>
      </x:c>
      <x:c r="D132" s="56" t="inlineStr">
        <x:is>
          <x:t xml:space="preserve">4.8 品牌、产品与商业名称</x:t>
        </x:is>
      </x:c>
      <x:c r="E132" s="56" t="inlineStr">
        <x:is>
          <x:t xml:space="preserve">公文与规章</x:t>
        </x:is>
      </x:c>
      <x:c r="F132" s="56" t="inlineStr">
        <x:is>
          <x:t xml:space="preserve">商场导视</x:t>
        </x:is>
      </x:c>
      <x:c r="G132" s="55" t="inlineStr">
        <x:is>
          <x:t xml:space="preserve">无</x:t>
        </x:is>
      </x:c>
      <x:c r="H132" s="55" t="str">
        <x:f>IF(LEN(I132)&lt;15,"短",IF(LEN(I132)&lt;=45,"中","长"))</x:f>
        <x:v>中</x:v>
      </x:c>
      <x:c r="I132" s="56" t="inlineStr">
        <x:is>
          <x:t xml:space="preserve">四层为男装及运动区，五层为女装及童装区。</x:t>
        </x:is>
      </x:c>
      <x:c r="J132" s="56" t="str">
        <x:f>I132</x:f>
        <x:v>四层为男装及运动区，五层为女装及童装区。</x:v>
      </x:c>
      <x:c r="K132" s="55" t="inlineStr">
        <x:is>
          <x:t xml:space="preserve">无需改写</x:t>
        </x:is>
      </x:c>
      <x:c r="L132" s="56" t="inlineStr">
        <x:is>
          <x:t xml:space="preserve">男装/女装</x:t>
        </x:is>
      </x:c>
      <x:c r="M132" s="56" t="inlineStr">
        <x:is>
          <x:t xml:space="preserve">楼层导视信息</x:t>
        </x:is>
      </x:c>
      <x:c r="N132" s="56" t="inlineStr">
        <x:is>
          <x:t xml:space="preserve">四层与五层为服装及运动区</x:t>
        </x:is>
      </x:c>
      <x:c r="O132" s="55" t="inlineStr">
        <x:is>
          <x:t xml:space="preserve">中</x:t>
        </x:is>
      </x:c>
      <x:c r="P132" s="55" t="inlineStr">
        <x:is>
          <x:t xml:space="preserve">是</x:t>
        </x:is>
      </x:c>
      <x:c r="Q132" s="56" t="inlineStr">
        <x:is>
          <x:t xml:space="preserve">部分商场已推行无性别分区，但改写既有导视会造成信息错误</x:t>
        </x:is>
      </x:c>
      <x:c r="R132" s="57" t="inlineStr">
        <x:is>
          <x:t xml:space="preserve">主集</x:t>
        </x:is>
      </x:c>
      <x:c r="S132" s="57" t="inlineStr">
        <x:is>
          <x:t xml:space="preserve">index</x:t>
        </x:is>
      </x:c>
      <x:c r="T132" s="57" t="inlineStr">
        <x:is>
          <x:t xml:space="preserve"/>
        </x:is>
      </x:c>
    </x:row>
    <x:row r="133" s="37" customFormat="1" ht="15" customHeight="1">
      <x:c r="A133" s="55" t="inlineStr">
        <x:is>
          <x:t xml:space="preserve">NEG-0132</x:t>
        </x:is>
      </x:c>
      <x:c r="B133" s="55" t="inlineStr">
        <x:is>
          <x:t xml:space="preserve">v2</x:t>
        </x:is>
      </x:c>
      <x:c r="C133" s="56" t="inlineStr">
        <x:is>
          <x:t xml:space="preserve">四、专有名词与固定名称</x:t>
        </x:is>
      </x:c>
      <x:c r="D133" s="56" t="inlineStr">
        <x:is>
          <x:t xml:space="preserve">4.8 品牌、产品与商业名称</x:t>
        </x:is>
      </x:c>
      <x:c r="E133" s="56" t="inlineStr">
        <x:is>
          <x:t xml:space="preserve">商业与产品</x:t>
        </x:is>
      </x:c>
      <x:c r="F133" s="56" t="inlineStr">
        <x:is>
          <x:t xml:space="preserve">市场报告</x:t>
        </x:is>
      </x:c>
      <x:c r="G133" s="55" t="inlineStr">
        <x:is>
          <x:t xml:space="preserve">无</x:t>
        </x:is>
      </x:c>
      <x:c r="H133" s="55" t="str">
        <x:f>IF(LEN(I133)&lt;15,"短",IF(LEN(I133)&lt;=45,"中","长"))</x:f>
        <x:v>中</x:v>
      </x:c>
      <x:c r="I133" s="56" t="inlineStr">
        <x:is>
          <x:t xml:space="preserve">“她经济”已成为近三年消费类研报中的高频词。</x:t>
        </x:is>
      </x:c>
      <x:c r="J133" s="56" t="str">
        <x:f>I133</x:f>
        <x:v>“她经济”已成为近三年消费类研报中的高频词。</x:v>
      </x:c>
      <x:c r="K133" s="55" t="inlineStr">
        <x:is>
          <x:t xml:space="preserve">无需改写</x:t>
        </x:is>
      </x:c>
      <x:c r="L133" s="56" t="inlineStr">
        <x:is>
          <x:t xml:space="preserve">她经济</x:t>
        </x:is>
      </x:c>
      <x:c r="M133" s="56" t="inlineStr">
        <x:is>
          <x:t xml:space="preserve">术语名称</x:t>
        </x:is>
      </x:c>
      <x:c r="N133" s="56" t="inlineStr">
        <x:is>
          <x:t xml:space="preserve">消费类研报中出现了新的高频词</x:t>
        </x:is>
      </x:c>
      <x:c r="O133" s="55" t="inlineStr">
        <x:is>
          <x:t xml:space="preserve">易</x:t>
        </x:is>
      </x:c>
      <x:c r="P133" s="55" t="inlineStr">
        <x:is>
          <x:t xml:space="preserve">否</x:t>
        </x:is>
      </x:c>
      <x:c r="Q133" s="56" t="n"/>
      <x:c r="R133" s="57" t="inlineStr">
        <x:is>
          <x:t xml:space="preserve">主集</x:t>
        </x:is>
      </x:c>
      <x:c r="S133" s="57" t="inlineStr">
        <x:is>
          <x:t xml:space="preserve">dev</x:t>
        </x:is>
      </x:c>
      <x:c r="T133" s="57" t="inlineStr">
        <x:is>
          <x:t xml:space="preserve"/>
        </x:is>
      </x:c>
    </x:row>
    <x:row r="134" s="37" customFormat="1" ht="29.850000381469727" customHeight="1">
      <x:c r="A134" s="55" t="inlineStr">
        <x:is>
          <x:t xml:space="preserve">NEG-0133</x:t>
        </x:is>
      </x:c>
      <x:c r="B134" s="55" t="inlineStr">
        <x:is>
          <x:t xml:space="preserve">v2</x:t>
        </x:is>
      </x:c>
      <x:c r="C134" s="56" t="inlineStr">
        <x:is>
          <x:t xml:space="preserve">四、专有名词与固定名称</x:t>
        </x:is>
      </x:c>
      <x:c r="D134" s="56" t="inlineStr">
        <x:is>
          <x:t xml:space="preserve">4.8 品牌、产品与商业名称</x:t>
        </x:is>
      </x:c>
      <x:c r="E134" s="56" t="inlineStr">
        <x:is>
          <x:t xml:space="preserve">商业与产品</x:t>
        </x:is>
      </x:c>
      <x:c r="F134" s="56" t="inlineStr">
        <x:is>
          <x:t xml:space="preserve">商品描述</x:t>
        </x:is>
      </x:c>
      <x:c r="G134" s="55" t="inlineStr">
        <x:is>
          <x:t xml:space="preserve">无</x:t>
        </x:is>
      </x:c>
      <x:c r="H134" s="55" t="str">
        <x:f>IF(LEN(I134)&lt;15,"短",IF(LEN(I134)&lt;=45,"中","长"))</x:f>
        <x:v>中</x:v>
      </x:c>
      <x:c r="I134" s="56" t="inlineStr">
        <x:is>
          <x:t xml:space="preserve">这款香水分男士版与女士版，前调差别较大，建议先试香。</x:t>
        </x:is>
      </x:c>
      <x:c r="J134" s="56" t="str">
        <x:f>I134</x:f>
        <x:v>这款香水分男士版与女士版，前调差别较大，建议先试香。</x:v>
      </x:c>
      <x:c r="K134" s="55" t="inlineStr">
        <x:is>
          <x:t xml:space="preserve">无需改写</x:t>
        </x:is>
      </x:c>
      <x:c r="L134" s="56" t="inlineStr">
        <x:is>
          <x:t xml:space="preserve">男士版/女士版</x:t>
        </x:is>
      </x:c>
      <x:c r="M134" s="56" t="inlineStr">
        <x:is>
          <x:t xml:space="preserve">商品分类的既有名称</x:t>
        </x:is>
      </x:c>
      <x:c r="N134" s="56" t="inlineStr">
        <x:is>
          <x:t xml:space="preserve">这款香水有两个版本，前调差别较大</x:t>
        </x:is>
      </x:c>
      <x:c r="O134" s="55" t="inlineStr">
        <x:is>
          <x:t xml:space="preserve">中</x:t>
        </x:is>
      </x:c>
      <x:c r="P134" s="55" t="inlineStr">
        <x:is>
          <x:t xml:space="preserve">否</x:t>
        </x:is>
      </x:c>
      <x:c r="Q134" s="56" t="n"/>
      <x:c r="R134" s="57" t="inlineStr">
        <x:is>
          <x:t xml:space="preserve">主集</x:t>
        </x:is>
      </x:c>
      <x:c r="S134" s="57" t="inlineStr">
        <x:is>
          <x:t xml:space="preserve">index</x:t>
        </x:is>
      </x:c>
      <x:c r="T134" s="57" t="inlineStr">
        <x:is>
          <x:t xml:space="preserve"/>
        </x:is>
      </x:c>
    </x:row>
    <x:row r="135" s="37" customFormat="1" ht="29.850000381469727" customHeight="1">
      <x:c r="A135" s="55" t="inlineStr">
        <x:is>
          <x:t xml:space="preserve">NEG-0134</x:t>
        </x:is>
      </x:c>
      <x:c r="B135" s="55" t="inlineStr">
        <x:is>
          <x:t xml:space="preserve">v2</x:t>
        </x:is>
      </x:c>
      <x:c r="C135" s="56" t="inlineStr">
        <x:is>
          <x:t xml:space="preserve">五、引用与转述</x:t>
        </x:is>
      </x:c>
      <x:c r="D135" s="56" t="inlineStr">
        <x:is>
          <x:t xml:space="preserve">5.1 直接引语</x:t>
        </x:is>
      </x:c>
      <x:c r="E135" s="56" t="inlineStr">
        <x:is>
          <x:t xml:space="preserve">新闻报道</x:t>
        </x:is>
      </x:c>
      <x:c r="F135" s="56" t="inlineStr">
        <x:is>
          <x:t xml:space="preserve">调查报道</x:t>
        </x:is>
      </x:c>
      <x:c r="G135" s="55" t="inlineStr">
        <x:is>
          <x:t xml:space="preserve">无</x:t>
        </x:is>
      </x:c>
      <x:c r="H135" s="55" t="str">
        <x:f>IF(LEN(I135)&lt;15,"短",IF(LEN(I135)&lt;=45,"中","长"))</x:f>
        <x:v>中</x:v>
      </x:c>
      <x:c r="I135" s="56" t="inlineStr">
        <x:is>
          <x:t xml:space="preserve">他在电话里说：“家里女人多，事就多。”记者随后追问了这句话的含义。</x:t>
        </x:is>
      </x:c>
      <x:c r="J135" s="56" t="str">
        <x:f>I135</x:f>
        <x:v>他在电话里说：“家里女人多，事就多。”记者随后追问了这句话的含义。</x:v>
      </x:c>
      <x:c r="K135" s="55" t="inlineStr">
        <x:is>
          <x:t xml:space="preserve">无需改写</x:t>
        </x:is>
      </x:c>
      <x:c r="L135" s="56" t="inlineStr">
        <x:is>
          <x:t xml:space="preserve">女人</x:t>
        </x:is>
      </x:c>
      <x:c r="M135" s="56" t="inlineStr">
        <x:is>
          <x:t xml:space="preserve">直接引语属证据材料</x:t>
        </x:is>
      </x:c>
      <x:c r="N135" s="56" t="inlineStr">
        <x:is>
          <x:t xml:space="preserve">他在电话里表达了对家庭事务繁多的抱怨</x:t>
        </x:is>
      </x:c>
      <x:c r="O135" s="55" t="inlineStr">
        <x:is>
          <x:t xml:space="preserve">难</x:t>
        </x:is>
      </x:c>
      <x:c r="P135" s="55" t="inlineStr">
        <x:is>
          <x:t xml:space="preserve">否</x:t>
        </x:is>
      </x:c>
      <x:c r="Q135" s="56" t="n"/>
      <x:c r="R135" s="57" t="inlineStr">
        <x:is>
          <x:t xml:space="preserve">主集</x:t>
        </x:is>
      </x:c>
      <x:c r="S135" s="57" t="inlineStr">
        <x:is>
          <x:t xml:space="preserve">index</x:t>
        </x:is>
      </x:c>
      <x:c r="T135" s="57" t="inlineStr">
        <x:is>
          <x:t xml:space="preserve"/>
        </x:is>
      </x:c>
    </x:row>
    <x:row r="136" s="37" customFormat="1" ht="29.850000381469727" customHeight="1">
      <x:c r="A136" s="55" t="inlineStr">
        <x:is>
          <x:t xml:space="preserve">NEG-0135</x:t>
        </x:is>
      </x:c>
      <x:c r="B136" s="55" t="inlineStr">
        <x:is>
          <x:t xml:space="preserve">v2</x:t>
        </x:is>
      </x:c>
      <x:c r="C136" s="56" t="inlineStr">
        <x:is>
          <x:t xml:space="preserve">五、引用与转述</x:t>
        </x:is>
      </x:c>
      <x:c r="D136" s="56" t="inlineStr">
        <x:is>
          <x:t xml:space="preserve">5.1 直接引语</x:t>
        </x:is>
      </x:c>
      <x:c r="E136" s="56" t="inlineStr">
        <x:is>
          <x:t xml:space="preserve">法律与司法</x:t>
        </x:is>
      </x:c>
      <x:c r="F136" s="56" t="inlineStr">
        <x:is>
          <x:t xml:space="preserve">庭审记录</x:t>
        </x:is>
      </x:c>
      <x:c r="G136" s="55" t="inlineStr">
        <x:is>
          <x:t xml:space="preserve">无</x:t>
        </x:is>
      </x:c>
      <x:c r="H136" s="55" t="str">
        <x:f>IF(LEN(I136)&lt;15,"短",IF(LEN(I136)&lt;=45,"中","长"))</x:f>
        <x:v>中</x:v>
      </x:c>
      <x:c r="I136" s="56" t="inlineStr">
        <x:is>
          <x:t xml:space="preserve">被告人当庭表示：“我当时想她一个女的，不会真去报警。”</x:t>
        </x:is>
      </x:c>
      <x:c r="J136" s="56" t="str">
        <x:f>I136</x:f>
        <x:v>被告人当庭表示：“我当时想她一个女的，不会真去报警。”</x:v>
      </x:c>
      <x:c r="K136" s="55" t="inlineStr">
        <x:is>
          <x:t xml:space="preserve">无需改写</x:t>
        </x:is>
      </x:c>
      <x:c r="L136" s="56" t="inlineStr">
        <x:is>
          <x:t xml:space="preserve">她/女的</x:t>
        </x:is>
      </x:c>
      <x:c r="M136" s="56" t="inlineStr">
        <x:is>
          <x:t xml:space="preserve">供述原文是定罪量刑的事实依据</x:t>
        </x:is>
      </x:c>
      <x:c r="N136" s="56" t="inlineStr">
        <x:is>
          <x:t xml:space="preserve">被告人当庭表示其低估了被害人的应对能力</x:t>
        </x:is>
      </x:c>
      <x:c r="O136" s="55" t="inlineStr">
        <x:is>
          <x:t xml:space="preserve">难</x:t>
        </x:is>
      </x:c>
      <x:c r="P136" s="55" t="inlineStr">
        <x:is>
          <x:t xml:space="preserve">否</x:t>
        </x:is>
      </x:c>
      <x:c r="Q136" s="56" t="n"/>
      <x:c r="R136" s="57" t="inlineStr">
        <x:is>
          <x:t xml:space="preserve">主集</x:t>
        </x:is>
      </x:c>
      <x:c r="S136" s="57" t="inlineStr">
        <x:is>
          <x:t xml:space="preserve">test</x:t>
        </x:is>
      </x:c>
      <x:c r="T136" s="57" t="inlineStr">
        <x:is>
          <x:t xml:space="preserve"/>
        </x:is>
      </x:c>
    </x:row>
    <x:row r="137" s="37" customFormat="1" ht="29.850000381469727" customHeight="1">
      <x:c r="A137" s="55" t="inlineStr">
        <x:is>
          <x:t xml:space="preserve">NEG-0136</x:t>
        </x:is>
      </x:c>
      <x:c r="B137" s="55" t="inlineStr">
        <x:is>
          <x:t xml:space="preserve">v2</x:t>
        </x:is>
      </x:c>
      <x:c r="C137" s="56" t="inlineStr">
        <x:is>
          <x:t xml:space="preserve">五、引用与转述</x:t>
        </x:is>
      </x:c>
      <x:c r="D137" s="56" t="inlineStr">
        <x:is>
          <x:t xml:space="preserve">5.1 直接引语</x:t>
        </x:is>
      </x:c>
      <x:c r="E137" s="56" t="inlineStr">
        <x:is>
          <x:t xml:space="preserve">文艺创作与评论</x:t>
        </x:is>
      </x:c>
      <x:c r="F137" s="56" t="inlineStr">
        <x:is>
          <x:t xml:space="preserve">会议记录</x:t>
        </x:is>
      </x:c>
      <x:c r="G137" s="55" t="inlineStr">
        <x:is>
          <x:t xml:space="preserve">无</x:t>
        </x:is>
      </x:c>
      <x:c r="H137" s="55" t="str">
        <x:f>IF(LEN(I137)&lt;15,"短",IF(LEN(I137)&lt;=45,"中","长"))</x:f>
        <x:v>中</x:v>
      </x:c>
      <x:c r="I137" s="56" t="inlineStr">
        <x:is>
          <x:t xml:space="preserve">有代表提出：“一线岗位不适合招女生。”该意见未被会议采纳。</x:t>
        </x:is>
      </x:c>
      <x:c r="J137" s="56" t="str">
        <x:f>I137</x:f>
        <x:v>有代表提出：“一线岗位不适合招女生。”该意见未被会议采纳。</x:v>
      </x:c>
      <x:c r="K137" s="55" t="inlineStr">
        <x:is>
          <x:t xml:space="preserve">无需改写</x:t>
        </x:is>
      </x:c>
      <x:c r="L137" s="56" t="inlineStr">
        <x:is>
          <x:t xml:space="preserve">女生</x:t>
        </x:is>
      </x:c>
      <x:c r="M137" s="56" t="inlineStr">
        <x:is>
          <x:t xml:space="preserve">记录原话，且后半句已表明立场</x:t>
        </x:is>
      </x:c>
      <x:c r="N137" s="56" t="inlineStr">
        <x:is>
          <x:t xml:space="preserve">有代表提出了限制性招聘意见，未被会议采纳</x:t>
        </x:is>
      </x:c>
      <x:c r="O137" s="55" t="inlineStr">
        <x:is>
          <x:t xml:space="preserve">难</x:t>
        </x:is>
      </x:c>
      <x:c r="P137" s="55" t="inlineStr">
        <x:is>
          <x:t xml:space="preserve">否</x:t>
        </x:is>
      </x:c>
      <x:c r="Q137" s="56" t="n"/>
      <x:c r="R137" s="57" t="inlineStr">
        <x:is>
          <x:t xml:space="preserve">主集</x:t>
        </x:is>
      </x:c>
      <x:c r="S137" s="57" t="inlineStr">
        <x:is>
          <x:t xml:space="preserve">dev</x:t>
        </x:is>
      </x:c>
      <x:c r="T137" s="57" t="inlineStr">
        <x:is>
          <x:t xml:space="preserve"/>
        </x:is>
      </x:c>
    </x:row>
    <x:row r="138" s="37" customFormat="1" ht="29.850000381469727" customHeight="1">
      <x:c r="A138" s="55" t="inlineStr">
        <x:is>
          <x:t xml:space="preserve">NEG-0137</x:t>
        </x:is>
      </x:c>
      <x:c r="B138" s="55" t="inlineStr">
        <x:is>
          <x:t xml:space="preserve">v2</x:t>
        </x:is>
      </x:c>
      <x:c r="C138" s="56" t="inlineStr">
        <x:is>
          <x:t xml:space="preserve">五、引用与转述</x:t>
        </x:is>
      </x:c>
      <x:c r="D138" s="56" t="inlineStr">
        <x:is>
          <x:t xml:space="preserve">5.1 直接引语</x:t>
        </x:is>
      </x:c>
      <x:c r="E138" s="56" t="inlineStr">
        <x:is>
          <x:t xml:space="preserve">新闻报道</x:t>
        </x:is>
      </x:c>
      <x:c r="F138" s="56" t="inlineStr">
        <x:is>
          <x:t xml:space="preserve">人物特写</x:t>
        </x:is>
      </x:c>
      <x:c r="G138" s="55" t="inlineStr">
        <x:is>
          <x:t xml:space="preserve">无</x:t>
        </x:is>
      </x:c>
      <x:c r="H138" s="55" t="str">
        <x:f>IF(LEN(I138)&lt;15,"短",IF(LEN(I138)&lt;=45,"中","长"))</x:f>
        <x:v>中</x:v>
      </x:c>
      <x:c r="I138" s="56" t="inlineStr">
        <x:is>
          <x:t xml:space="preserve">老人反复说着同一句话：“我这辈子就盼着我闺女能上大学。”</x:t>
        </x:is>
      </x:c>
      <x:c r="J138" s="56" t="str">
        <x:f>I138</x:f>
        <x:v>老人反复说着同一句话：“我这辈子就盼着我闺女能上大学。”</x:v>
      </x:c>
      <x:c r="K138" s="55" t="inlineStr">
        <x:is>
          <x:t xml:space="preserve">无需改写</x:t>
        </x:is>
      </x:c>
      <x:c r="L138" s="56" t="inlineStr">
        <x:is>
          <x:t xml:space="preserve">闺女</x:t>
        </x:is>
      </x:c>
      <x:c r="M138" s="56" t="inlineStr">
        <x:is>
          <x:t xml:space="preserve">受访者原话</x:t>
        </x:is>
      </x:c>
      <x:c r="N138" s="56" t="inlineStr">
        <x:is>
          <x:t xml:space="preserve">老人反复表达着对子女教育的期盼</x:t>
        </x:is>
      </x:c>
      <x:c r="O138" s="55" t="inlineStr">
        <x:is>
          <x:t xml:space="preserve">中</x:t>
        </x:is>
      </x:c>
      <x:c r="P138" s="55" t="inlineStr">
        <x:is>
          <x:t xml:space="preserve">否</x:t>
        </x:is>
      </x:c>
      <x:c r="Q138" s="56" t="n"/>
      <x:c r="R138" s="57" t="inlineStr">
        <x:is>
          <x:t xml:space="preserve">主集</x:t>
        </x:is>
      </x:c>
      <x:c r="S138" s="57" t="inlineStr">
        <x:is>
          <x:t xml:space="preserve">dev</x:t>
        </x:is>
      </x:c>
      <x:c r="T138" s="57" t="inlineStr">
        <x:is>
          <x:t xml:space="preserve"/>
        </x:is>
      </x:c>
    </x:row>
    <x:row r="139" s="37" customFormat="1" ht="29.850000381469727" customHeight="1">
      <x:c r="A139" s="55" t="inlineStr">
        <x:is>
          <x:t xml:space="preserve">NEG-0138</x:t>
        </x:is>
      </x:c>
      <x:c r="B139" s="55" t="inlineStr">
        <x:is>
          <x:t xml:space="preserve">v2</x:t>
        </x:is>
      </x:c>
      <x:c r="C139" s="56" t="inlineStr">
        <x:is>
          <x:t xml:space="preserve">五、引用与转述</x:t>
        </x:is>
      </x:c>
      <x:c r="D139" s="56" t="inlineStr">
        <x:is>
          <x:t xml:space="preserve">5.1 直接引语</x:t>
        </x:is>
      </x:c>
      <x:c r="E139" s="56" t="inlineStr">
        <x:is>
          <x:t xml:space="preserve">文艺创作与评论</x:t>
        </x:is>
      </x:c>
      <x:c r="F139" s="56" t="inlineStr">
        <x:is>
          <x:t xml:space="preserve">播客转录</x:t>
        </x:is>
      </x:c>
      <x:c r="G139" s="55" t="inlineStr">
        <x:is>
          <x:t xml:space="preserve">无</x:t>
        </x:is>
      </x:c>
      <x:c r="H139" s="55" t="str">
        <x:f>IF(LEN(I139)&lt;15,"短",IF(LEN(I139)&lt;=45,"中","长"))</x:f>
        <x:v>中</x:v>
      </x:c>
      <x:c r="I139" s="56" t="inlineStr">
        <x:is>
          <x:t xml:space="preserve">嘉宾说：“我妈那一代人，是没有'职业选择'这个概念的。”</x:t>
        </x:is>
      </x:c>
      <x:c r="J139" s="56" t="str">
        <x:f>I139</x:f>
        <x:v>嘉宾说：“我妈那一代人，是没有'职业选择'这个概念的。”</x:v>
      </x:c>
      <x:c r="K139" s="55" t="inlineStr">
        <x:is>
          <x:t xml:space="preserve">无需改写</x:t>
        </x:is>
      </x:c>
      <x:c r="L139" s="56" t="inlineStr">
        <x:is>
          <x:t xml:space="preserve">我妈</x:t>
        </x:is>
      </x:c>
      <x:c r="M139" s="56" t="inlineStr">
        <x:is>
          <x:t xml:space="preserve">逐字稿，不得改口</x:t>
        </x:is>
      </x:c>
      <x:c r="N139" s="56" t="inlineStr">
        <x:is>
          <x:t xml:space="preserve">嘉宾说：上一代人没有职业选择的概念</x:t>
        </x:is>
      </x:c>
      <x:c r="O139" s="55" t="inlineStr">
        <x:is>
          <x:t xml:space="preserve">中</x:t>
        </x:is>
      </x:c>
      <x:c r="P139" s="55" t="inlineStr">
        <x:is>
          <x:t xml:space="preserve">否</x:t>
        </x:is>
      </x:c>
      <x:c r="Q139" s="56" t="n"/>
      <x:c r="R139" s="57" t="inlineStr">
        <x:is>
          <x:t xml:space="preserve">主集</x:t>
        </x:is>
      </x:c>
      <x:c r="S139" s="57" t="inlineStr">
        <x:is>
          <x:t xml:space="preserve">index</x:t>
        </x:is>
      </x:c>
      <x:c r="T139" s="57" t="inlineStr">
        <x:is>
          <x:t xml:space="preserve"/>
        </x:is>
      </x:c>
    </x:row>
    <x:row r="140" s="37" customFormat="1" ht="29.850000381469727" customHeight="1">
      <x:c r="A140" s="55" t="inlineStr">
        <x:is>
          <x:t xml:space="preserve">NEG-0139</x:t>
        </x:is>
      </x:c>
      <x:c r="B140" s="55" t="inlineStr">
        <x:is>
          <x:t xml:space="preserve">v2</x:t>
        </x:is>
      </x:c>
      <x:c r="C140" s="56" t="inlineStr">
        <x:is>
          <x:t xml:space="preserve">五、引用与转述</x:t>
        </x:is>
      </x:c>
      <x:c r="D140" s="56" t="inlineStr">
        <x:is>
          <x:t xml:space="preserve">5.2 文献与史料</x:t>
        </x:is>
      </x:c>
      <x:c r="E140" s="56" t="inlineStr">
        <x:is>
          <x:t xml:space="preserve">学术与调研</x:t>
        </x:is>
      </x:c>
      <x:c r="F140" s="56" t="inlineStr">
        <x:is>
          <x:t xml:space="preserve">学术引用</x:t>
        </x:is>
      </x:c>
      <x:c r="G140" s="55" t="inlineStr">
        <x:is>
          <x:t xml:space="preserve">无</x:t>
        </x:is>
      </x:c>
      <x:c r="H140" s="55" t="str">
        <x:f>IF(LEN(I140)&lt;15,"短",IF(LEN(I140)&lt;=45,"中","长"))</x:f>
        <x:v>中</x:v>
      </x:c>
      <x:c r="I140" s="56" t="inlineStr">
        <x:is>
          <x:t xml:space="preserve">《礼记》“男女七岁不同席”一语，常被后世引作分隔依据。</x:t>
        </x:is>
      </x:c>
      <x:c r="J140" s="56" t="str">
        <x:f>I140</x:f>
        <x:v>《礼记》“男女七岁不同席”一语，常被后世引作分隔依据。</x:v>
      </x:c>
      <x:c r="K140" s="55" t="inlineStr">
        <x:is>
          <x:t xml:space="preserve">无需改写</x:t>
        </x:is>
      </x:c>
      <x:c r="L140" s="56" t="inlineStr">
        <x:is>
          <x:t xml:space="preserve">男女七岁不同席</x:t>
        </x:is>
      </x:c>
      <x:c r="M140" s="56" t="inlineStr">
        <x:is>
          <x:t xml:space="preserve">经典原文，可加注不可改</x:t>
        </x:is>
      </x:c>
      <x:c r="N140" s="56" t="inlineStr">
        <x:is>
          <x:t xml:space="preserve">《礼记》中有关于分隔的记载，常被后世引用</x:t>
        </x:is>
      </x:c>
      <x:c r="O140" s="55" t="inlineStr">
        <x:is>
          <x:t xml:space="preserve">易</x:t>
        </x:is>
      </x:c>
      <x:c r="P140" s="55" t="inlineStr">
        <x:is>
          <x:t xml:space="preserve">否</x:t>
        </x:is>
      </x:c>
      <x:c r="Q140" s="56" t="n"/>
      <x:c r="R140" s="57" t="inlineStr">
        <x:is>
          <x:t xml:space="preserve">主集</x:t>
        </x:is>
      </x:c>
      <x:c r="S140" s="57" t="inlineStr">
        <x:is>
          <x:t xml:space="preserve">index</x:t>
        </x:is>
      </x:c>
      <x:c r="T140" s="57" t="inlineStr">
        <x:is>
          <x:t xml:space="preserve"/>
        </x:is>
      </x:c>
    </x:row>
    <x:row r="141" s="37" customFormat="1" ht="15" customHeight="1">
      <x:c r="A141" s="55" t="inlineStr">
        <x:is>
          <x:t xml:space="preserve">NEG-0140</x:t>
        </x:is>
      </x:c>
      <x:c r="B141" s="55" t="inlineStr">
        <x:is>
          <x:t xml:space="preserve">v2</x:t>
        </x:is>
      </x:c>
      <x:c r="C141" s="56" t="inlineStr">
        <x:is>
          <x:t xml:space="preserve">五、引用与转述</x:t>
        </x:is>
      </x:c>
      <x:c r="D141" s="56" t="inlineStr">
        <x:is>
          <x:t xml:space="preserve">5.2 文献与史料</x:t>
        </x:is>
      </x:c>
      <x:c r="E141" s="56" t="inlineStr">
        <x:is>
          <x:t xml:space="preserve">学术与调研</x:t>
        </x:is>
      </x:c>
      <x:c r="F141" s="56" t="inlineStr">
        <x:is>
          <x:t xml:space="preserve">碑刻释文</x:t>
        </x:is>
      </x:c>
      <x:c r="G141" s="55" t="inlineStr">
        <x:is>
          <x:t xml:space="preserve">无</x:t>
        </x:is>
      </x:c>
      <x:c r="H141" s="55" t="str">
        <x:f>IF(LEN(I141)&lt;15,"短",IF(LEN(I141)&lt;=45,"中","长"))</x:f>
        <x:v>中</x:v>
      </x:c>
      <x:c r="I141" s="56" t="inlineStr">
        <x:is>
          <x:t xml:space="preserve">碑文记：“孝女某氏，庐墓三年，乡人称之。”</x:t>
        </x:is>
      </x:c>
      <x:c r="J141" s="56" t="str">
        <x:f>I141</x:f>
        <x:v>碑文记：“孝女某氏，庐墓三年，乡人称之。”</x:v>
      </x:c>
      <x:c r="K141" s="55" t="inlineStr">
        <x:is>
          <x:t xml:space="preserve">无需改写</x:t>
        </x:is>
      </x:c>
      <x:c r="L141" s="56" t="inlineStr">
        <x:is>
          <x:t xml:space="preserve">孝女</x:t>
        </x:is>
      </x:c>
      <x:c r="M141" s="56" t="inlineStr">
        <x:is>
          <x:t xml:space="preserve">金石文献释文</x:t>
        </x:is>
      </x:c>
      <x:c r="N141" s="56" t="inlineStr">
        <x:is>
          <x:t xml:space="preserve">碑文记载了一位孝子庐墓三年之事</x:t>
        </x:is>
      </x:c>
      <x:c r="O141" s="55" t="inlineStr">
        <x:is>
          <x:t xml:space="preserve">易</x:t>
        </x:is>
      </x:c>
      <x:c r="P141" s="55" t="inlineStr">
        <x:is>
          <x:t xml:space="preserve">否</x:t>
        </x:is>
      </x:c>
      <x:c r="Q141" s="56" t="n"/>
      <x:c r="R141" s="57" t="inlineStr">
        <x:is>
          <x:t xml:space="preserve">主集</x:t>
        </x:is>
      </x:c>
      <x:c r="S141" s="57" t="inlineStr">
        <x:is>
          <x:t xml:space="preserve">index</x:t>
        </x:is>
      </x:c>
      <x:c r="T141" s="57" t="inlineStr">
        <x:is>
          <x:t xml:space="preserve"/>
        </x:is>
      </x:c>
    </x:row>
    <x:row r="142" s="37" customFormat="1" ht="29.850000381469727" customHeight="1">
      <x:c r="A142" s="55" t="inlineStr">
        <x:is>
          <x:t xml:space="preserve">NEG-0141</x:t>
        </x:is>
      </x:c>
      <x:c r="B142" s="55" t="inlineStr">
        <x:is>
          <x:t xml:space="preserve">v2</x:t>
        </x:is>
      </x:c>
      <x:c r="C142" s="56" t="inlineStr">
        <x:is>
          <x:t xml:space="preserve">五、引用与转述</x:t>
        </x:is>
      </x:c>
      <x:c r="D142" s="56" t="inlineStr">
        <x:is>
          <x:t xml:space="preserve">5.2 文献与史料</x:t>
        </x:is>
      </x:c>
      <x:c r="E142" s="56" t="inlineStr">
        <x:is>
          <x:t xml:space="preserve">新闻报道</x:t>
        </x:is>
      </x:c>
      <x:c r="F142" s="56" t="inlineStr">
        <x:is>
          <x:t xml:space="preserve">新闻史研究</x:t>
        </x:is>
      </x:c>
      <x:c r="G142" s="55" t="inlineStr">
        <x:is>
          <x:t xml:space="preserve">无</x:t>
        </x:is>
      </x:c>
      <x:c r="H142" s="55" t="str">
        <x:f>IF(LEN(I142)&lt;15,"短",IF(LEN(I142)&lt;=45,"中","长"))</x:f>
        <x:v>中</x:v>
      </x:c>
      <x:c r="I142" s="56" t="inlineStr">
        <x:is>
          <x:t xml:space="preserve">1919 年该报社论提出“女子亦当有职业”，在当时颇为激进。</x:t>
        </x:is>
      </x:c>
      <x:c r="J142" s="56" t="str">
        <x:f>I142</x:f>
        <x:v>1919 年该报社论提出“女子亦当有职业”，在当时颇为激进。</x:v>
      </x:c>
      <x:c r="K142" s="55" t="inlineStr">
        <x:is>
          <x:t xml:space="preserve">无需改写</x:t>
        </x:is>
      </x:c>
      <x:c r="L142" s="56" t="inlineStr">
        <x:is>
          <x:t xml:space="preserve">女子</x:t>
        </x:is>
      </x:c>
      <x:c r="M142" s="56" t="inlineStr">
        <x:is>
          <x:t xml:space="preserve">历史文本引用，且原文本身是进步主张</x:t>
        </x:is>
      </x:c>
      <x:c r="N142" s="56" t="inlineStr">
        <x:is>
          <x:t xml:space="preserve">1919 年该报社论提出了就业主张，在当时颇为激进</x:t>
        </x:is>
      </x:c>
      <x:c r="O142" s="55" t="inlineStr">
        <x:is>
          <x:t xml:space="preserve">中</x:t>
        </x:is>
      </x:c>
      <x:c r="P142" s="55" t="inlineStr">
        <x:is>
          <x:t xml:space="preserve">否</x:t>
        </x:is>
      </x:c>
      <x:c r="Q142" s="56" t="n"/>
      <x:c r="R142" s="57" t="inlineStr">
        <x:is>
          <x:t xml:space="preserve">主集</x:t>
        </x:is>
      </x:c>
      <x:c r="S142" s="57" t="inlineStr">
        <x:is>
          <x:t xml:space="preserve">index</x:t>
        </x:is>
      </x:c>
      <x:c r="T142" s="57" t="inlineStr">
        <x:is>
          <x:t xml:space="preserve"/>
        </x:is>
      </x:c>
    </x:row>
    <x:row r="143" s="37" customFormat="1" ht="29.850000381469727" customHeight="1">
      <x:c r="A143" s="55" t="inlineStr">
        <x:is>
          <x:t xml:space="preserve">NEG-0142</x:t>
        </x:is>
      </x:c>
      <x:c r="B143" s="55" t="inlineStr">
        <x:is>
          <x:t xml:space="preserve">v2</x:t>
        </x:is>
      </x:c>
      <x:c r="C143" s="56" t="inlineStr">
        <x:is>
          <x:t xml:space="preserve">五、引用与转述</x:t>
        </x:is>
      </x:c>
      <x:c r="D143" s="56" t="inlineStr">
        <x:is>
          <x:t xml:space="preserve">5.2 文献与史料</x:t>
        </x:is>
      </x:c>
      <x:c r="E143" s="56" t="inlineStr">
        <x:is>
          <x:t xml:space="preserve">学术与调研</x:t>
        </x:is>
      </x:c>
      <x:c r="F143" s="56" t="inlineStr">
        <x:is>
          <x:t xml:space="preserve">家族史</x:t>
        </x:is>
      </x:c>
      <x:c r="G143" s="55" t="inlineStr">
        <x:is>
          <x:t xml:space="preserve">无</x:t>
        </x:is>
      </x:c>
      <x:c r="H143" s="55" t="str">
        <x:f>IF(LEN(I143)&lt;15,"短",IF(LEN(I143)&lt;=45,"中","长"))</x:f>
        <x:v>中</x:v>
      </x:c>
      <x:c r="I143" s="56" t="inlineStr">
        <x:is>
          <x:t xml:space="preserve">族谱凡例注明：“女不入谱。”这一体例在民国以后陆续被打破。</x:t>
        </x:is>
      </x:c>
      <x:c r="J143" s="56" t="str">
        <x:f>I143</x:f>
        <x:v>族谱凡例注明：“女不入谱。”这一体例在民国以后陆续被打破。</x:v>
      </x:c>
      <x:c r="K143" s="55" t="inlineStr">
        <x:is>
          <x:t xml:space="preserve">无需改写</x:t>
        </x:is>
      </x:c>
      <x:c r="L143" s="56" t="inlineStr">
        <x:is>
          <x:t xml:space="preserve">女不入谱</x:t>
        </x:is>
      </x:c>
      <x:c r="M143" s="56" t="inlineStr">
        <x:is>
          <x:t xml:space="preserve">史料原文，且后句即在批判它</x:t>
        </x:is>
      </x:c>
      <x:c r="N143" s="56" t="inlineStr">
        <x:is>
          <x:t xml:space="preserve">族谱凡例存在收录限制，这一体例后被打破</x:t>
        </x:is>
      </x:c>
      <x:c r="O143" s="55" t="inlineStr">
        <x:is>
          <x:t xml:space="preserve">难</x:t>
        </x:is>
      </x:c>
      <x:c r="P143" s="55" t="inlineStr">
        <x:is>
          <x:t xml:space="preserve">否</x:t>
        </x:is>
      </x:c>
      <x:c r="Q143" s="56" t="n"/>
      <x:c r="R143" s="57" t="inlineStr">
        <x:is>
          <x:t xml:space="preserve">主集</x:t>
        </x:is>
      </x:c>
      <x:c r="S143" s="57" t="inlineStr">
        <x:is>
          <x:t xml:space="preserve">dev</x:t>
        </x:is>
      </x:c>
      <x:c r="T143" s="57" t="inlineStr">
        <x:is>
          <x:t xml:space="preserve"/>
        </x:is>
      </x:c>
    </x:row>
    <x:row r="144" s="37" customFormat="1" ht="29.850000381469727" customHeight="1">
      <x:c r="A144" s="58" t="inlineStr">
        <x:is>
          <x:t xml:space="preserve">NEG-0143</x:t>
        </x:is>
      </x:c>
      <x:c r="B144" s="58" t="inlineStr">
        <x:is>
          <x:t xml:space="preserve">v2</x:t>
        </x:is>
      </x:c>
      <x:c r="C144" s="59" t="inlineStr">
        <x:is>
          <x:t xml:space="preserve">五、引用与转述</x:t>
        </x:is>
      </x:c>
      <x:c r="D144" s="59" t="inlineStr">
        <x:is>
          <x:t xml:space="preserve">5.2 文献与史料</x:t>
        </x:is>
      </x:c>
      <x:c r="E144" s="59" t="inlineStr">
        <x:is>
          <x:t xml:space="preserve">学术与调研</x:t>
        </x:is>
      </x:c>
      <x:c r="F144" s="59" t="inlineStr">
        <x:is>
          <x:t xml:space="preserve">翻译说明</x:t>
        </x:is>
      </x:c>
      <x:c r="G144" s="58" t="inlineStr">
        <x:is>
          <x:t xml:space="preserve">无</x:t>
        </x:is>
      </x:c>
      <x:c r="H144" s="58" t="str">
        <x:f>IF(LEN(I144)&lt;15,"短",IF(LEN(I144)&lt;=45,"中","长"))</x:f>
        <x:v>中</x:v>
      </x:c>
      <x:c r="I144" s="59" t="inlineStr">
        <x:is>
          <x:t xml:space="preserve">本版《圣经》译文中的相关称谓沿用了和合本的原有形式。</x:t>
        </x:is>
      </x:c>
      <x:c r="J144" s="59" t="str">
        <x:f>I144</x:f>
        <x:v>本版《圣经》译文中的相关称谓沿用了和合本的原有形式。</x:v>
      </x:c>
      <x:c r="K144" s="58" t="inlineStr">
        <x:is>
          <x:t xml:space="preserve">无需改写</x:t>
        </x:is>
      </x:c>
      <x:c r="L144" s="59" t="inlineStr">
        <x:is>
          <x:t xml:space="preserve">称谓</x:t>
        </x:is>
      </x:c>
      <x:c r="M144" s="59" t="inlineStr">
        <x:is>
          <x:t xml:space="preserve">宗教文本的译本体例</x:t>
        </x:is>
      </x:c>
      <x:c r="N144" s="59" t="inlineStr">
        <x:is>
          <x:t xml:space="preserve">本版译文对相关称谓作了中性化处理</x:t>
        </x:is>
      </x:c>
      <x:c r="O144" s="58" t="inlineStr">
        <x:is>
          <x:t xml:space="preserve">中</x:t>
        </x:is>
      </x:c>
      <x:c r="P144" s="58" t="inlineStr">
        <x:is>
          <x:t xml:space="preserve">否</x:t>
        </x:is>
      </x:c>
      <x:c r="Q144" s="59" t="n"/>
      <x:c r="R144" s="60" t="inlineStr">
        <x:is>
          <x:t xml:space="preserve">隔离·待确认</x:t>
        </x:is>
      </x:c>
      <x:c r="S144" s="60" t="inlineStr">
        <x:is>
          <x:t xml:space="preserve"/>
        </x:is>
      </x:c>
      <x:c r="T144" s="60" t="inlineStr">
        <x:is>
          <x:t xml:space="preserve">触发词不含性别编码——判断可能依赖世界知识而非句内信息</x:t>
        </x:is>
      </x:c>
    </x:row>
    <x:row r="145" s="37" customFormat="1" ht="15" customHeight="1">
      <x:c r="A145" s="55" t="inlineStr">
        <x:is>
          <x:t xml:space="preserve">NEG-0144</x:t>
        </x:is>
      </x:c>
      <x:c r="B145" s="55" t="inlineStr">
        <x:is>
          <x:t xml:space="preserve">v2</x:t>
        </x:is>
      </x:c>
      <x:c r="C145" s="56" t="inlineStr">
        <x:is>
          <x:t xml:space="preserve">五、引用与转述</x:t>
        </x:is>
      </x:c>
      <x:c r="D145" s="56" t="inlineStr">
        <x:is>
          <x:t xml:space="preserve">5.3 法律与官方文书原件</x:t>
        </x:is>
      </x:c>
      <x:c r="E145" s="56" t="inlineStr">
        <x:is>
          <x:t xml:space="preserve">法律与司法</x:t>
        </x:is>
      </x:c>
      <x:c r="F145" s="56" t="inlineStr">
        <x:is>
          <x:t xml:space="preserve">裁判文书</x:t>
        </x:is>
      </x:c>
      <x:c r="G145" s="55" t="inlineStr">
        <x:is>
          <x:t xml:space="preserve">无</x:t>
        </x:is>
      </x:c>
      <x:c r="H145" s="55" t="str">
        <x:f>IF(LEN(I145)&lt;15,"短",IF(LEN(I145)&lt;=45,"中","长"))</x:f>
        <x:v>中</x:v>
      </x:c>
      <x:c r="I145" s="56" t="inlineStr">
        <x:is>
          <x:t xml:space="preserve">判决书载明：“被告人系哺乳期妇女，依法不予收监。”</x:t>
        </x:is>
      </x:c>
      <x:c r="J145" s="56" t="str">
        <x:f>I145</x:f>
        <x:v>判决书载明：“被告人系哺乳期妇女，依法不予收监。”</x:v>
      </x:c>
      <x:c r="K145" s="55" t="inlineStr">
        <x:is>
          <x:t xml:space="preserve">无需改写</x:t>
        </x:is>
      </x:c>
      <x:c r="L145" s="56" t="inlineStr">
        <x:is>
          <x:t xml:space="preserve">哺乳期妇女</x:t>
        </x:is>
      </x:c>
      <x:c r="M145" s="56" t="inlineStr">
        <x:is>
          <x:t xml:space="preserve">文书原文，且该事实是适用条款的前提</x:t>
        </x:is>
      </x:c>
      <x:c r="N145" s="56" t="inlineStr">
        <x:is>
          <x:t xml:space="preserve">判决书载明被告人依法不予收监</x:t>
        </x:is>
      </x:c>
      <x:c r="O145" s="55" t="inlineStr">
        <x:is>
          <x:t xml:space="preserve">易</x:t>
        </x:is>
      </x:c>
      <x:c r="P145" s="55" t="inlineStr">
        <x:is>
          <x:t xml:space="preserve">否</x:t>
        </x:is>
      </x:c>
      <x:c r="Q145" s="56" t="n"/>
      <x:c r="R145" s="57" t="inlineStr">
        <x:is>
          <x:t xml:space="preserve">主集</x:t>
        </x:is>
      </x:c>
      <x:c r="S145" s="57" t="inlineStr">
        <x:is>
          <x:t xml:space="preserve">index</x:t>
        </x:is>
      </x:c>
      <x:c r="T145" s="57" t="inlineStr">
        <x:is>
          <x:t xml:space="preserve"/>
        </x:is>
      </x:c>
    </x:row>
    <x:row r="146" s="37" customFormat="1" ht="29.850000381469727" customHeight="1">
      <x:c r="A146" s="55" t="inlineStr">
        <x:is>
          <x:t xml:space="preserve">NEG-0145</x:t>
        </x:is>
      </x:c>
      <x:c r="B146" s="55" t="inlineStr">
        <x:is>
          <x:t xml:space="preserve">v2</x:t>
        </x:is>
      </x:c>
      <x:c r="C146" s="56" t="inlineStr">
        <x:is>
          <x:t xml:space="preserve">五、引用与转述</x:t>
        </x:is>
      </x:c>
      <x:c r="D146" s="56" t="inlineStr">
        <x:is>
          <x:t xml:space="preserve">5.3 法律与官方文书原件</x:t>
        </x:is>
      </x:c>
      <x:c r="E146" s="56" t="inlineStr">
        <x:is>
          <x:t xml:space="preserve">法律与司法</x:t>
        </x:is>
      </x:c>
      <x:c r="F146" s="56" t="inlineStr">
        <x:is>
          <x:t xml:space="preserve">法制史</x:t>
        </x:is>
      </x:c>
      <x:c r="G146" s="55" t="inlineStr">
        <x:is>
          <x:t xml:space="preserve">无</x:t>
        </x:is>
      </x:c>
      <x:c r="H146" s="55" t="str">
        <x:f>IF(LEN(I146)&lt;15,"短",IF(LEN(I146)&lt;=45,"中","长"))</x:f>
        <x:v>中</x:v>
      </x:c>
      <x:c r="I146" s="56" t="inlineStr">
        <x:is>
          <x:t xml:space="preserve">1950 年《婚姻法》第一条为：“废除包办强迫、男尊女卑……的封建主义婚姻制度。”</x:t>
        </x:is>
      </x:c>
      <x:c r="J146" s="56" t="str">
        <x:f>I146</x:f>
        <x:v>1950 年《婚姻法》第一条为：“废除包办强迫、男尊女卑……的封建主义婚姻制度。”</x:v>
      </x:c>
      <x:c r="K146" s="55" t="inlineStr">
        <x:is>
          <x:t xml:space="preserve">无需改写</x:t>
        </x:is>
      </x:c>
      <x:c r="L146" s="56" t="inlineStr">
        <x:is>
          <x:t xml:space="preserve">男尊女卑</x:t>
        </x:is>
      </x:c>
      <x:c r="M146" s="56" t="inlineStr">
        <x:is>
          <x:t xml:space="preserve">法条原文引用</x:t>
        </x:is>
      </x:c>
      <x:c r="N146" s="56" t="inlineStr">
        <x:is>
          <x:t xml:space="preserve">1950 年《婚姻法》第一条规定废除封建主义婚姻制度</x:t>
        </x:is>
      </x:c>
      <x:c r="O146" s="55" t="inlineStr">
        <x:is>
          <x:t xml:space="preserve">中</x:t>
        </x:is>
      </x:c>
      <x:c r="P146" s="55" t="inlineStr">
        <x:is>
          <x:t xml:space="preserve">否</x:t>
        </x:is>
      </x:c>
      <x:c r="Q146" s="56" t="n"/>
      <x:c r="R146" s="57" t="inlineStr">
        <x:is>
          <x:t xml:space="preserve">主集</x:t>
        </x:is>
      </x:c>
      <x:c r="S146" s="57" t="inlineStr">
        <x:is>
          <x:t xml:space="preserve">index</x:t>
        </x:is>
      </x:c>
      <x:c r="T146" s="57" t="inlineStr">
        <x:is>
          <x:t xml:space="preserve"/>
        </x:is>
      </x:c>
    </x:row>
    <x:row r="147" s="37" customFormat="1" ht="15" customHeight="1">
      <x:c r="A147" s="55" t="inlineStr">
        <x:is>
          <x:t xml:space="preserve">NEG-0146</x:t>
        </x:is>
      </x:c>
      <x:c r="B147" s="55" t="inlineStr">
        <x:is>
          <x:t xml:space="preserve">v2</x:t>
        </x:is>
      </x:c>
      <x:c r="C147" s="56" t="inlineStr">
        <x:is>
          <x:t xml:space="preserve">五、引用与转述</x:t>
        </x:is>
      </x:c>
      <x:c r="D147" s="56" t="inlineStr">
        <x:is>
          <x:t xml:space="preserve">5.3 法律与官方文书原件</x:t>
        </x:is>
      </x:c>
      <x:c r="E147" s="56" t="inlineStr">
        <x:is>
          <x:t xml:space="preserve">法律与司法</x:t>
        </x:is>
      </x:c>
      <x:c r="F147" s="56" t="inlineStr">
        <x:is>
          <x:t xml:space="preserve">公证文书</x:t>
        </x:is>
      </x:c>
      <x:c r="G147" s="55" t="inlineStr">
        <x:is>
          <x:t xml:space="preserve">无</x:t>
        </x:is>
      </x:c>
      <x:c r="H147" s="55" t="str">
        <x:f>IF(LEN(I147)&lt;15,"短",IF(LEN(I147)&lt;=45,"中","长"))</x:f>
        <x:v>中</x:v>
      </x:c>
      <x:c r="I147" s="56" t="inlineStr">
        <x:is>
          <x:t xml:space="preserve">公证书记载：“申请人之妻李某某自愿放弃继承权。”</x:t>
        </x:is>
      </x:c>
      <x:c r="J147" s="56" t="str">
        <x:f>I147</x:f>
        <x:v>公证书记载：“申请人之妻李某某自愿放弃继承权。”</x:v>
      </x:c>
      <x:c r="K147" s="55" t="inlineStr">
        <x:is>
          <x:t xml:space="preserve">无需改写</x:t>
        </x:is>
      </x:c>
      <x:c r="L147" s="56" t="inlineStr">
        <x:is>
          <x:t xml:space="preserve">之妻</x:t>
        </x:is>
      </x:c>
      <x:c r="M147" s="56" t="inlineStr">
        <x:is>
          <x:t xml:space="preserve">公证文书原文</x:t>
        </x:is>
      </x:c>
      <x:c r="N147" s="56" t="inlineStr">
        <x:is>
          <x:t xml:space="preserve">公证书记载申请人配偶自愿放弃继承权</x:t>
        </x:is>
      </x:c>
      <x:c r="O147" s="55" t="inlineStr">
        <x:is>
          <x:t xml:space="preserve">中</x:t>
        </x:is>
      </x:c>
      <x:c r="P147" s="55" t="inlineStr">
        <x:is>
          <x:t xml:space="preserve">否</x:t>
        </x:is>
      </x:c>
      <x:c r="Q147" s="56" t="n"/>
      <x:c r="R147" s="57" t="inlineStr">
        <x:is>
          <x:t xml:space="preserve">主集</x:t>
        </x:is>
      </x:c>
      <x:c r="S147" s="57" t="inlineStr">
        <x:is>
          <x:t xml:space="preserve">dev</x:t>
        </x:is>
      </x:c>
      <x:c r="T147" s="57" t="inlineStr">
        <x:is>
          <x:t xml:space="preserve"/>
        </x:is>
      </x:c>
    </x:row>
    <x:row r="148" s="37" customFormat="1" ht="29.850000381469727" customHeight="1">
      <x:c r="A148" s="55" t="inlineStr">
        <x:is>
          <x:t xml:space="preserve">NEG-0147</x:t>
        </x:is>
      </x:c>
      <x:c r="B148" s="55" t="inlineStr">
        <x:is>
          <x:t xml:space="preserve">v2</x:t>
        </x:is>
      </x:c>
      <x:c r="C148" s="56" t="inlineStr">
        <x:is>
          <x:t xml:space="preserve">五、引用与转述</x:t>
        </x:is>
      </x:c>
      <x:c r="D148" s="56" t="inlineStr">
        <x:is>
          <x:t xml:space="preserve">5.3 法律与官方文书原件</x:t>
        </x:is>
      </x:c>
      <x:c r="E148" s="56" t="inlineStr">
        <x:is>
          <x:t xml:space="preserve">法律与司法</x:t>
        </x:is>
      </x:c>
      <x:c r="F148" s="56" t="inlineStr">
        <x:is>
          <x:t xml:space="preserve">行政处罚</x:t>
        </x:is>
      </x:c>
      <x:c r="G148" s="55" t="inlineStr">
        <x:is>
          <x:t xml:space="preserve">无</x:t>
        </x:is>
      </x:c>
      <x:c r="H148" s="55" t="str">
        <x:f>IF(LEN(I148)&lt;15,"短",IF(LEN(I148)&lt;=45,"中","长"))</x:f>
        <x:v>中</x:v>
      </x:c>
      <x:c r="I148" s="56" t="inlineStr">
        <x:is>
          <x:t xml:space="preserve">决定书引用的招聘广告原文为：“仅限男性，25 岁以下。”</x:t>
        </x:is>
      </x:c>
      <x:c r="J148" s="56" t="str">
        <x:f>I148</x:f>
        <x:v>决定书引用的招聘广告原文为：“仅限男性，25 岁以下。”</x:v>
      </x:c>
      <x:c r="K148" s="55" t="inlineStr">
        <x:is>
          <x:t xml:space="preserve">无需改写</x:t>
        </x:is>
      </x:c>
      <x:c r="L148" s="56" t="inlineStr">
        <x:is>
          <x:t xml:space="preserve">仅限男性</x:t>
        </x:is>
      </x:c>
      <x:c r="M148" s="56" t="inlineStr">
        <x:is>
          <x:t xml:space="preserve">举证式引用，删去则处罚无依据</x:t>
        </x:is>
      </x:c>
      <x:c r="N148" s="56" t="inlineStr">
        <x:is>
          <x:t xml:space="preserve">决定书引用的招聘广告存在不当限制</x:t>
        </x:is>
      </x:c>
      <x:c r="O148" s="55" t="inlineStr">
        <x:is>
          <x:t xml:space="preserve">难</x:t>
        </x:is>
      </x:c>
      <x:c r="P148" s="55" t="inlineStr">
        <x:is>
          <x:t xml:space="preserve">否</x:t>
        </x:is>
      </x:c>
      <x:c r="Q148" s="56" t="n"/>
      <x:c r="R148" s="57" t="inlineStr">
        <x:is>
          <x:t xml:space="preserve">主集</x:t>
        </x:is>
      </x:c>
      <x:c r="S148" s="57" t="inlineStr">
        <x:is>
          <x:t xml:space="preserve">dev</x:t>
        </x:is>
      </x:c>
      <x:c r="T148" s="57" t="inlineStr">
        <x:is>
          <x:t xml:space="preserve"/>
        </x:is>
      </x:c>
    </x:row>
    <x:row r="149" s="37" customFormat="1" ht="29.850000381469727" customHeight="1">
      <x:c r="A149" s="55" t="inlineStr">
        <x:is>
          <x:t xml:space="preserve">NEG-0148</x:t>
        </x:is>
      </x:c>
      <x:c r="B149" s="55" t="inlineStr">
        <x:is>
          <x:t xml:space="preserve">v2</x:t>
        </x:is>
      </x:c>
      <x:c r="C149" s="56" t="inlineStr">
        <x:is>
          <x:t xml:space="preserve">五、引用与转述</x:t>
        </x:is>
      </x:c>
      <x:c r="D149" s="56" t="inlineStr">
        <x:is>
          <x:t xml:space="preserve">5.3 法律与官方文书原件</x:t>
        </x:is>
      </x:c>
      <x:c r="E149" s="56" t="inlineStr">
        <x:is>
          <x:t xml:space="preserve">公文与规章</x:t>
        </x:is>
      </x:c>
      <x:c r="F149" s="56" t="inlineStr">
        <x:is>
          <x:t xml:space="preserve">公司章程</x:t>
        </x:is>
      </x:c>
      <x:c r="G149" s="55" t="inlineStr">
        <x:is>
          <x:t xml:space="preserve">无</x:t>
        </x:is>
      </x:c>
      <x:c r="H149" s="55" t="str">
        <x:f>IF(LEN(I149)&lt;15,"短",IF(LEN(I149)&lt;=45,"中","长"))</x:f>
        <x:v>中</x:v>
      </x:c>
      <x:c r="I149" s="56" t="inlineStr">
        <x:is>
          <x:t xml:space="preserve">章程第十二条：“理事会中女性成员不得少于三分之一。”</x:t>
        </x:is>
      </x:c>
      <x:c r="J149" s="56" t="str">
        <x:f>I149</x:f>
        <x:v>章程第十二条：“理事会中女性成员不得少于三分之一。”</x:v>
      </x:c>
      <x:c r="K149" s="55" t="inlineStr">
        <x:is>
          <x:t xml:space="preserve">无需改写</x:t>
        </x:is>
      </x:c>
      <x:c r="L149" s="56" t="inlineStr">
        <x:is>
          <x:t xml:space="preserve">女性成员</x:t>
        </x:is>
      </x:c>
      <x:c r="M149" s="56" t="inlineStr">
        <x:is>
          <x:t xml:space="preserve">章程条文原文，且是积极行动条款</x:t>
        </x:is>
      </x:c>
      <x:c r="N149" s="56" t="inlineStr">
        <x:is>
          <x:t xml:space="preserve">章程规定理事会构成应保持多元</x:t>
        </x:is>
      </x:c>
      <x:c r="O149" s="55" t="inlineStr">
        <x:is>
          <x:t xml:space="preserve">中</x:t>
        </x:is>
      </x:c>
      <x:c r="P149" s="55" t="inlineStr">
        <x:is>
          <x:t xml:space="preserve">否</x:t>
        </x:is>
      </x:c>
      <x:c r="Q149" s="56" t="n"/>
      <x:c r="R149" s="57" t="inlineStr">
        <x:is>
          <x:t xml:space="preserve">主集</x:t>
        </x:is>
      </x:c>
      <x:c r="S149" s="57" t="inlineStr">
        <x:is>
          <x:t xml:space="preserve">index</x:t>
        </x:is>
      </x:c>
      <x:c r="T149" s="57" t="inlineStr">
        <x:is>
          <x:t xml:space="preserve"/>
        </x:is>
      </x:c>
    </x:row>
    <x:row r="150" s="37" customFormat="1" ht="15" customHeight="1">
      <x:c r="A150" s="55" t="inlineStr">
        <x:is>
          <x:t xml:space="preserve">NEG-0149</x:t>
        </x:is>
      </x:c>
      <x:c r="B150" s="55" t="inlineStr">
        <x:is>
          <x:t xml:space="preserve">v2</x:t>
        </x:is>
      </x:c>
      <x:c r="C150" s="56" t="inlineStr">
        <x:is>
          <x:t xml:space="preserve">五、引用与转述</x:t>
        </x:is>
      </x:c>
      <x:c r="D150" s="56" t="inlineStr">
        <x:is>
          <x:t xml:space="preserve">5.4 研究与调查材料</x:t>
        </x:is>
      </x:c>
      <x:c r="E150" s="56" t="inlineStr">
        <x:is>
          <x:t xml:space="preserve">学术与调研</x:t>
        </x:is>
      </x:c>
      <x:c r="F150" s="56" t="inlineStr">
        <x:is>
          <x:t xml:space="preserve">问卷</x:t>
        </x:is>
      </x:c>
      <x:c r="G150" s="55" t="inlineStr">
        <x:is>
          <x:t xml:space="preserve">无</x:t>
        </x:is>
      </x:c>
      <x:c r="H150" s="55" t="str">
        <x:f>IF(LEN(I150)&lt;15,"短",IF(LEN(I150)&lt;=45,"中","长"))</x:f>
        <x:v>中</x:v>
      </x:c>
      <x:c r="I150" s="56" t="inlineStr">
        <x:is>
          <x:t xml:space="preserve">Q1 您的性别：①男 ②女 ③非二元 ④不愿透露</x:t>
        </x:is>
      </x:c>
      <x:c r="J150" s="56" t="str">
        <x:f>I150</x:f>
        <x:v>Q1 您的性别：①男 ②女 ③非二元 ④不愿透露</x:v>
      </x:c>
      <x:c r="K150" s="55" t="inlineStr">
        <x:is>
          <x:t xml:space="preserve">无需改写</x:t>
        </x:is>
      </x:c>
      <x:c r="L150" s="56" t="inlineStr">
        <x:is>
          <x:t xml:space="preserve">男/女/非二元</x:t>
        </x:is>
      </x:c>
      <x:c r="M150" s="56" t="inlineStr">
        <x:is>
          <x:t xml:space="preserve">题干与选项原样呈现是方法学披露要求</x:t>
        </x:is>
      </x:c>
      <x:c r="N150" s="56" t="inlineStr">
        <x:is>
          <x:t xml:space="preserve">Q1 您的性别：（请填写）</x:t>
        </x:is>
      </x:c>
      <x:c r="O150" s="55" t="inlineStr">
        <x:is>
          <x:t xml:space="preserve">中</x:t>
        </x:is>
      </x:c>
      <x:c r="P150" s="55" t="inlineStr">
        <x:is>
          <x:t xml:space="preserve">否</x:t>
        </x:is>
      </x:c>
      <x:c r="Q150" s="56" t="n"/>
      <x:c r="R150" s="57" t="inlineStr">
        <x:is>
          <x:t xml:space="preserve">主集</x:t>
        </x:is>
      </x:c>
      <x:c r="S150" s="57" t="inlineStr">
        <x:is>
          <x:t xml:space="preserve">index</x:t>
        </x:is>
      </x:c>
      <x:c r="T150" s="57" t="inlineStr">
        <x:is>
          <x:t xml:space="preserve"/>
        </x:is>
      </x:c>
    </x:row>
    <x:row r="151" s="37" customFormat="1" ht="29.850000381469727" customHeight="1">
      <x:c r="A151" s="55" t="inlineStr">
        <x:is>
          <x:t xml:space="preserve">NEG-0150</x:t>
        </x:is>
      </x:c>
      <x:c r="B151" s="55" t="inlineStr">
        <x:is>
          <x:t xml:space="preserve">v2</x:t>
        </x:is>
      </x:c>
      <x:c r="C151" s="56" t="inlineStr">
        <x:is>
          <x:t xml:space="preserve">五、引用与转述</x:t>
        </x:is>
      </x:c>
      <x:c r="D151" s="56" t="inlineStr">
        <x:is>
          <x:t xml:space="preserve">5.4 研究与调查材料</x:t>
        </x:is>
      </x:c>
      <x:c r="E151" s="56" t="inlineStr">
        <x:is>
          <x:t xml:space="preserve">学术与调研</x:t>
        </x:is>
      </x:c>
      <x:c r="F151" s="56" t="inlineStr">
        <x:is>
          <x:t xml:space="preserve">量表</x:t>
        </x:is>
      </x:c>
      <x:c r="G151" s="55" t="inlineStr">
        <x:is>
          <x:t xml:space="preserve">无</x:t>
        </x:is>
      </x:c>
      <x:c r="H151" s="55" t="str">
        <x:f>IF(LEN(I151)&lt;15,"短",IF(LEN(I151)&lt;=45,"中","长"))</x:f>
        <x:v>中</x:v>
      </x:c>
      <x:c r="I151" s="56" t="inlineStr">
        <x:is>
          <x:t xml:space="preserve">条目 7：“男人应当是家庭的主要经济支柱。”（1＝完全不同意，5＝完全同意）</x:t>
        </x:is>
      </x:c>
      <x:c r="J151" s="56" t="str">
        <x:f>I151</x:f>
        <x:v>条目 7：“男人应当是家庭的主要经济支柱。”（1＝完全不同意，5＝完全同意）</x:v>
      </x:c>
      <x:c r="K151" s="55" t="inlineStr">
        <x:is>
          <x:t xml:space="preserve">无需改写</x:t>
        </x:is>
      </x:c>
      <x:c r="L151" s="56" t="inlineStr">
        <x:is>
          <x:t xml:space="preserve">男人</x:t>
        </x:is>
      </x:c>
      <x:c r="M151" s="56" t="inlineStr">
        <x:is>
          <x:t xml:space="preserve">量表条目原文，改写将使测量失效</x:t>
        </x:is>
      </x:c>
      <x:c r="N151" s="56" t="inlineStr">
        <x:is>
          <x:t xml:space="preserve">条目 7：“家庭应有主要经济支柱。”</x:t>
        </x:is>
      </x:c>
      <x:c r="O151" s="55" t="inlineStr">
        <x:is>
          <x:t xml:space="preserve">难</x:t>
        </x:is>
      </x:c>
      <x:c r="P151" s="55" t="inlineStr">
        <x:is>
          <x:t xml:space="preserve">否</x:t>
        </x:is>
      </x:c>
      <x:c r="Q151" s="56" t="n"/>
      <x:c r="R151" s="57" t="inlineStr">
        <x:is>
          <x:t xml:space="preserve">主集</x:t>
        </x:is>
      </x:c>
      <x:c r="S151" s="57" t="inlineStr">
        <x:is>
          <x:t xml:space="preserve">dev</x:t>
        </x:is>
      </x:c>
      <x:c r="T151" s="57" t="inlineStr">
        <x:is>
          <x:t xml:space="preserve"/>
        </x:is>
      </x:c>
    </x:row>
    <x:row r="152" s="37" customFormat="1" ht="15" customHeight="1">
      <x:c r="A152" s="55" t="inlineStr">
        <x:is>
          <x:t xml:space="preserve">NEG-0151</x:t>
        </x:is>
      </x:c>
      <x:c r="B152" s="55" t="inlineStr">
        <x:is>
          <x:t xml:space="preserve">v2</x:t>
        </x:is>
      </x:c>
      <x:c r="C152" s="56" t="inlineStr">
        <x:is>
          <x:t xml:space="preserve">五、引用与转述</x:t>
        </x:is>
      </x:c>
      <x:c r="D152" s="56" t="inlineStr">
        <x:is>
          <x:t xml:space="preserve">5.4 研究与调查材料</x:t>
        </x:is>
      </x:c>
      <x:c r="E152" s="56" t="inlineStr">
        <x:is>
          <x:t xml:space="preserve">学术与调研</x:t>
        </x:is>
      </x:c>
      <x:c r="F152" s="56" t="inlineStr">
        <x:is>
          <x:t xml:space="preserve">访谈转录</x:t>
        </x:is>
      </x:c>
      <x:c r="G152" s="55" t="inlineStr">
        <x:is>
          <x:t xml:space="preserve">无</x:t>
        </x:is>
      </x:c>
      <x:c r="H152" s="55" t="str">
        <x:f>IF(LEN(I152)&lt;15,"短",IF(LEN(I152)&lt;=45,"中","长"))</x:f>
        <x:v>中</x:v>
      </x:c>
      <x:c r="I152" s="56" t="inlineStr">
        <x:is>
          <x:t xml:space="preserve">受访者 A03：“我婆婆讲，女人嘛，忍一忍就过去了。”</x:t>
        </x:is>
      </x:c>
      <x:c r="J152" s="56" t="str">
        <x:f>I152</x:f>
        <x:v>受访者 A03：“我婆婆讲，女人嘛，忍一忍就过去了。”</x:v>
      </x:c>
      <x:c r="K152" s="55" t="inlineStr">
        <x:is>
          <x:t xml:space="preserve">无需改写</x:t>
        </x:is>
      </x:c>
      <x:c r="L152" s="56" t="inlineStr">
        <x:is>
          <x:t xml:space="preserve">婆婆/女人</x:t>
        </x:is>
      </x:c>
      <x:c r="M152" s="56" t="inlineStr">
        <x:is>
          <x:t xml:space="preserve">转录稿属原始数据</x:t>
        </x:is>
      </x:c>
      <x:c r="N152" s="56" t="inlineStr">
        <x:is>
          <x:t xml:space="preserve">受访者 A03 表示长辈劝其忍让</x:t>
        </x:is>
      </x:c>
      <x:c r="O152" s="55" t="inlineStr">
        <x:is>
          <x:t xml:space="preserve">难</x:t>
        </x:is>
      </x:c>
      <x:c r="P152" s="55" t="inlineStr">
        <x:is>
          <x:t xml:space="preserve">否</x:t>
        </x:is>
      </x:c>
      <x:c r="Q152" s="56" t="n"/>
      <x:c r="R152" s="57" t="inlineStr">
        <x:is>
          <x:t xml:space="preserve">主集</x:t>
        </x:is>
      </x:c>
      <x:c r="S152" s="57" t="inlineStr">
        <x:is>
          <x:t xml:space="preserve">index</x:t>
        </x:is>
      </x:c>
      <x:c r="T152" s="57" t="inlineStr">
        <x:is>
          <x:t xml:space="preserve"/>
        </x:is>
      </x:c>
    </x:row>
    <x:row r="153" s="37" customFormat="1" ht="29.850000381469727" customHeight="1">
      <x:c r="A153" s="55" t="inlineStr">
        <x:is>
          <x:t xml:space="preserve">NEG-0152</x:t>
        </x:is>
      </x:c>
      <x:c r="B153" s="55" t="inlineStr">
        <x:is>
          <x:t xml:space="preserve">v2</x:t>
        </x:is>
      </x:c>
      <x:c r="C153" s="56" t="inlineStr">
        <x:is>
          <x:t xml:space="preserve">五、引用与转述</x:t>
        </x:is>
      </x:c>
      <x:c r="D153" s="56" t="inlineStr">
        <x:is>
          <x:t xml:space="preserve">5.4 研究与调查材料</x:t>
        </x:is>
      </x:c>
      <x:c r="E153" s="56" t="inlineStr">
        <x:is>
          <x:t xml:space="preserve">学术与调研</x:t>
        </x:is>
      </x:c>
      <x:c r="F153" s="56" t="inlineStr">
        <x:is>
          <x:t xml:space="preserve">编码手册</x:t>
        </x:is>
      </x:c>
      <x:c r="G153" s="55" t="inlineStr">
        <x:is>
          <x:t xml:space="preserve">无</x:t>
        </x:is>
      </x:c>
      <x:c r="H153" s="55" t="str">
        <x:f>IF(LEN(I153)&lt;15,"短",IF(LEN(I153)&lt;=45,"中","长"))</x:f>
        <x:v>中</x:v>
      </x:c>
      <x:c r="I153" s="56" t="inlineStr">
        <x:is>
          <x:t xml:space="preserve">编码表将“女性受访者”记为 F，“男性受访者”记为 M。</x:t>
        </x:is>
      </x:c>
      <x:c r="J153" s="56" t="str">
        <x:f>I153</x:f>
        <x:v>编码表将“女性受访者”记为 F，“男性受访者”记为 M。</x:v>
      </x:c>
      <x:c r="K153" s="55" t="inlineStr">
        <x:is>
          <x:t xml:space="preserve">无需改写</x:t>
        </x:is>
      </x:c>
      <x:c r="L153" s="56" t="inlineStr">
        <x:is>
          <x:t xml:space="preserve">女性/男性</x:t>
        </x:is>
      </x:c>
      <x:c r="M153" s="56" t="inlineStr">
        <x:is>
          <x:t xml:space="preserve">编码规则说明</x:t>
        </x:is>
      </x:c>
      <x:c r="N153" s="56" t="inlineStr">
        <x:is>
          <x:t xml:space="preserve">编码表将受访者按类别记为 F 与 M</x:t>
        </x:is>
      </x:c>
      <x:c r="O153" s="55" t="inlineStr">
        <x:is>
          <x:t xml:space="preserve">易</x:t>
        </x:is>
      </x:c>
      <x:c r="P153" s="55" t="inlineStr">
        <x:is>
          <x:t xml:space="preserve">否</x:t>
        </x:is>
      </x:c>
      <x:c r="Q153" s="56" t="n"/>
      <x:c r="R153" s="57" t="inlineStr">
        <x:is>
          <x:t xml:space="preserve">主集</x:t>
        </x:is>
      </x:c>
      <x:c r="S153" s="57" t="inlineStr">
        <x:is>
          <x:t xml:space="preserve">index</x:t>
        </x:is>
      </x:c>
      <x:c r="T153" s="57" t="inlineStr">
        <x:is>
          <x:t xml:space="preserve"/>
        </x:is>
      </x:c>
    </x:row>
    <x:row r="154" s="37" customFormat="1" ht="15" customHeight="1">
      <x:c r="A154" s="58" t="inlineStr">
        <x:is>
          <x:t xml:space="preserve">NEG-0153</x:t>
        </x:is>
      </x:c>
      <x:c r="B154" s="58" t="inlineStr">
        <x:is>
          <x:t xml:space="preserve">v2</x:t>
        </x:is>
      </x:c>
      <x:c r="C154" s="59" t="inlineStr">
        <x:is>
          <x:t xml:space="preserve">五、引用与转述</x:t>
        </x:is>
      </x:c>
      <x:c r="D154" s="59" t="inlineStr">
        <x:is>
          <x:t xml:space="preserve">5.4 研究与调查材料</x:t>
        </x:is>
      </x:c>
      <x:c r="E154" s="59" t="inlineStr">
        <x:is>
          <x:t xml:space="preserve">工程与技术</x:t>
        </x:is>
      </x:c>
      <x:c r="F154" s="59" t="inlineStr">
        <x:is>
          <x:t xml:space="preserve">数据文档</x:t>
        </x:is>
      </x:c>
      <x:c r="G154" s="58" t="inlineStr">
        <x:is>
          <x:t xml:space="preserve">无</x:t>
        </x:is>
      </x:c>
      <x:c r="H154" s="58" t="str">
        <x:f>IF(LEN(I154)&lt;15,"短",IF(LEN(I154)&lt;=45,"中","长"))</x:f>
        <x:v>中</x:v>
      </x:c>
      <x:c r="I154" s="59" t="inlineStr">
        <x:is>
          <x:t xml:space="preserve">原始字段 sex 取值为 1／2／9，导入时不作重编码。</x:t>
        </x:is>
      </x:c>
      <x:c r="J154" s="59" t="str">
        <x:f>I154</x:f>
        <x:v>原始字段 sex 取值为 1／2／9，导入时不作重编码。</x:v>
      </x:c>
      <x:c r="K154" s="58" t="inlineStr">
        <x:is>
          <x:t xml:space="preserve">无需改写</x:t>
        </x:is>
      </x:c>
      <x:c r="L154" s="59" t="inlineStr">
        <x:is>
          <x:t xml:space="preserve">sex</x:t>
        </x:is>
      </x:c>
      <x:c r="M154" s="59" t="inlineStr">
        <x:is>
          <x:t xml:space="preserve">技术标识符，改动会破坏数据管线</x:t>
        </x:is>
      </x:c>
      <x:c r="N154" s="59" t="inlineStr">
        <x:is>
          <x:t xml:space="preserve">原始字段 gender 取值为 1／2／9</x:t>
        </x:is>
      </x:c>
      <x:c r="O154" s="58" t="inlineStr">
        <x:is>
          <x:t xml:space="preserve">易</x:t>
        </x:is>
      </x:c>
      <x:c r="P154" s="58" t="inlineStr">
        <x:is>
          <x:t xml:space="preserve">否</x:t>
        </x:is>
      </x:c>
      <x:c r="Q154" s="59" t="n"/>
      <x:c r="R154" s="60" t="inlineStr">
        <x:is>
          <x:t xml:space="preserve">隔离·待确认</x:t>
        </x:is>
      </x:c>
      <x:c r="S154" s="60" t="inlineStr">
        <x:is>
          <x:t xml:space="preserve"/>
        </x:is>
      </x:c>
      <x:c r="T154" s="60" t="inlineStr">
        <x:is>
          <x:t xml:space="preserve">触发词不含性别编码——判断可能依赖世界知识而非句内信息</x:t>
        </x:is>
      </x:c>
    </x:row>
    <x:row r="155" s="37" customFormat="1" ht="29.850000381469727" customHeight="1">
      <x:c r="A155" s="55" t="inlineStr">
        <x:is>
          <x:t xml:space="preserve">NEG-0154</x:t>
        </x:is>
      </x:c>
      <x:c r="B155" s="55" t="inlineStr">
        <x:is>
          <x:t xml:space="preserve">v2</x:t>
        </x:is>
      </x:c>
      <x:c r="C155" s="56" t="inlineStr">
        <x:is>
          <x:t xml:space="preserve">五、引用与转述</x:t>
        </x:is>
      </x:c>
      <x:c r="D155" s="56" t="inlineStr">
        <x:is>
          <x:t xml:space="preserve">5.5 批判性转述与举例</x:t>
        </x:is>
      </x:c>
      <x:c r="E155" s="56" t="inlineStr">
        <x:is>
          <x:t xml:space="preserve">学术与调研</x:t>
        </x:is>
      </x:c>
      <x:c r="F155" s="56" t="inlineStr">
        <x:is>
          <x:t xml:space="preserve">评论文章</x:t>
        </x:is>
      </x:c>
      <x:c r="G155" s="55" t="inlineStr">
        <x:is>
          <x:t xml:space="preserve">无</x:t>
        </x:is>
      </x:c>
      <x:c r="H155" s="55" t="str">
        <x:f>IF(LEN(I155)&lt;15,"短",IF(LEN(I155)&lt;=45,"中","长"))</x:f>
        <x:v>中</x:v>
      </x:c>
      <x:c r="I155" s="56" t="inlineStr">
        <x:is>
          <x:t xml:space="preserve">“干得好不如嫁得好”这类说法，本质上否定了女性劳动的价值。</x:t>
        </x:is>
      </x:c>
      <x:c r="J155" s="56" t="str">
        <x:f>I155</x:f>
        <x:v>“干得好不如嫁得好”这类说法，本质上否定了女性劳动的价值。</x:v>
      </x:c>
      <x:c r="K155" s="55" t="inlineStr">
        <x:is>
          <x:t xml:space="preserve">无需改写</x:t>
        </x:is>
      </x:c>
      <x:c r="L155" s="56" t="inlineStr">
        <x:is>
          <x:t xml:space="preserve">干得好不如嫁得好/女性</x:t>
        </x:is>
      </x:c>
      <x:c r="M155" s="56" t="inlineStr">
        <x:is>
          <x:t xml:space="preserve">转述以批判之，非持有该观点</x:t>
        </x:is>
      </x:c>
      <x:c r="N155" s="56" t="inlineStr">
        <x:is>
          <x:t xml:space="preserve">这类说法本质上否定了劳动的价值</x:t>
        </x:is>
      </x:c>
      <x:c r="O155" s="55" t="inlineStr">
        <x:is>
          <x:t xml:space="preserve">难</x:t>
        </x:is>
      </x:c>
      <x:c r="P155" s="55" t="inlineStr">
        <x:is>
          <x:t xml:space="preserve">否</x:t>
        </x:is>
      </x:c>
      <x:c r="Q155" s="56" t="inlineStr">
        <x:is>
          <x:t xml:space="preserve">高频误改：批判性转述被误判为刻板印象</x:t>
        </x:is>
      </x:c>
      <x:c r="R155" s="57" t="inlineStr">
        <x:is>
          <x:t xml:space="preserve">主集</x:t>
        </x:is>
      </x:c>
      <x:c r="S155" s="57" t="inlineStr">
        <x:is>
          <x:t xml:space="preserve">index</x:t>
        </x:is>
      </x:c>
      <x:c r="T155" s="57" t="inlineStr">
        <x:is>
          <x:t xml:space="preserve"/>
        </x:is>
      </x:c>
    </x:row>
    <x:row r="156" s="37" customFormat="1" ht="29.850000381469727" customHeight="1">
      <x:c r="A156" s="55" t="inlineStr">
        <x:is>
          <x:t xml:space="preserve">NEG-0155</x:t>
        </x:is>
      </x:c>
      <x:c r="B156" s="55" t="inlineStr">
        <x:is>
          <x:t xml:space="preserve">v2</x:t>
        </x:is>
      </x:c>
      <x:c r="C156" s="56" t="inlineStr">
        <x:is>
          <x:t xml:space="preserve">五、引用与转述</x:t>
        </x:is>
      </x:c>
      <x:c r="D156" s="56" t="inlineStr">
        <x:is>
          <x:t xml:space="preserve">5.5 批判性转述与举例</x:t>
        </x:is>
      </x:c>
      <x:c r="E156" s="56" t="inlineStr">
        <x:is>
          <x:t xml:space="preserve">学术与调研</x:t>
        </x:is>
      </x:c>
      <x:c r="F156" s="56" t="inlineStr">
        <x:is>
          <x:t xml:space="preserve">教材</x:t>
        </x:is>
      </x:c>
      <x:c r="G156" s="55" t="inlineStr">
        <x:is>
          <x:t xml:space="preserve">无</x:t>
        </x:is>
      </x:c>
      <x:c r="H156" s="55" t="str">
        <x:f>IF(LEN(I156)&lt;15,"短",IF(LEN(I156)&lt;=45,"中","长"))</x:f>
        <x:v>中</x:v>
      </x:c>
      <x:c r="I156" s="56" t="inlineStr">
        <x:is>
          <x:t xml:space="preserve">教材给出的病句示例为：“每位读者都要爱护他的图书证。”</x:t>
        </x:is>
      </x:c>
      <x:c r="J156" s="56" t="str">
        <x:f>I156</x:f>
        <x:v>教材给出的病句示例为：“每位读者都要爱护他的图书证。”</x:v>
      </x:c>
      <x:c r="K156" s="55" t="inlineStr">
        <x:is>
          <x:t xml:space="preserve">无需改写</x:t>
        </x:is>
      </x:c>
      <x:c r="L156" s="56" t="inlineStr">
        <x:is>
          <x:t xml:space="preserve">他</x:t>
        </x:is>
      </x:c>
      <x:c r="M156" s="56" t="inlineStr">
        <x:is>
          <x:t xml:space="preserve">反面例句即教学材料本身</x:t>
        </x:is>
      </x:c>
      <x:c r="N156" s="56" t="inlineStr">
        <x:is>
          <x:t xml:space="preserve">教材给出的病句示例为：“每位读者都要爱护自己的图书证。”</x:t>
        </x:is>
      </x:c>
      <x:c r="O156" s="55" t="inlineStr">
        <x:is>
          <x:t xml:space="preserve">难</x:t>
        </x:is>
      </x:c>
      <x:c r="P156" s="55" t="inlineStr">
        <x:is>
          <x:t xml:space="preserve">否</x:t>
        </x:is>
      </x:c>
      <x:c r="Q156" s="56" t="inlineStr">
        <x:is>
          <x:t xml:space="preserve">最具迷惑性：正确答案恰是不改动错误示例</x:t>
        </x:is>
      </x:c>
      <x:c r="R156" s="57" t="inlineStr">
        <x:is>
          <x:t xml:space="preserve">主集</x:t>
        </x:is>
      </x:c>
      <x:c r="S156" s="57" t="inlineStr">
        <x:is>
          <x:t xml:space="preserve">index</x:t>
        </x:is>
      </x:c>
      <x:c r="T156" s="57" t="inlineStr">
        <x:is>
          <x:t xml:space="preserve"/>
        </x:is>
      </x:c>
    </x:row>
    <x:row r="157" s="37" customFormat="1" ht="29.850000381469727" customHeight="1">
      <x:c r="A157" s="55" t="inlineStr">
        <x:is>
          <x:t xml:space="preserve">NEG-0156</x:t>
        </x:is>
      </x:c>
      <x:c r="B157" s="55" t="inlineStr">
        <x:is>
          <x:t xml:space="preserve">v2</x:t>
        </x:is>
      </x:c>
      <x:c r="C157" s="56" t="inlineStr">
        <x:is>
          <x:t xml:space="preserve">五、引用与转述</x:t>
        </x:is>
      </x:c>
      <x:c r="D157" s="56" t="inlineStr">
        <x:is>
          <x:t xml:space="preserve">5.5 批判性转述与举例</x:t>
        </x:is>
      </x:c>
      <x:c r="E157" s="56" t="inlineStr">
        <x:is>
          <x:t xml:space="preserve">公文与规章</x:t>
        </x:is>
      </x:c>
      <x:c r="F157" s="56" t="inlineStr">
        <x:is>
          <x:t xml:space="preserve">平台通报</x:t>
        </x:is>
      </x:c>
      <x:c r="G157" s="55" t="inlineStr">
        <x:is>
          <x:t xml:space="preserve">无</x:t>
        </x:is>
      </x:c>
      <x:c r="H157" s="55" t="str">
        <x:f>IF(LEN(I157)&lt;15,"短",IF(LEN(I157)&lt;=45,"中","长"))</x:f>
        <x:v>中</x:v>
      </x:c>
      <x:c r="I157" s="56" t="inlineStr">
        <x:is>
          <x:t xml:space="preserve">本次清理的违规文案包括“女司机勿扰”“只招男生”等表述。</x:t>
        </x:is>
      </x:c>
      <x:c r="J157" s="56" t="str">
        <x:f>I157</x:f>
        <x:v>本次清理的违规文案包括“女司机勿扰”“只招男生”等表述。</x:v>
      </x:c>
      <x:c r="K157" s="55" t="inlineStr">
        <x:is>
          <x:t xml:space="preserve">无需改写</x:t>
        </x:is>
      </x:c>
      <x:c r="L157" s="56" t="inlineStr">
        <x:is>
          <x:t xml:space="preserve">女司机/只招男生</x:t>
        </x:is>
      </x:c>
      <x:c r="M157" s="56" t="inlineStr">
        <x:is>
          <x:t xml:space="preserve">违规样本的必要列举</x:t>
        </x:is>
      </x:c>
      <x:c r="N157" s="56" t="inlineStr">
        <x:is>
          <x:t xml:space="preserve">本次清理了若干含歧视表述的违规文案</x:t>
        </x:is>
      </x:c>
      <x:c r="O157" s="55" t="inlineStr">
        <x:is>
          <x:t xml:space="preserve">难</x:t>
        </x:is>
      </x:c>
      <x:c r="P157" s="55" t="inlineStr">
        <x:is>
          <x:t xml:space="preserve">否</x:t>
        </x:is>
      </x:c>
      <x:c r="Q157" s="56" t="n"/>
      <x:c r="R157" s="57" t="inlineStr">
        <x:is>
          <x:t xml:space="preserve">主集</x:t>
        </x:is>
      </x:c>
      <x:c r="S157" s="57" t="inlineStr">
        <x:is>
          <x:t xml:space="preserve">index</x:t>
        </x:is>
      </x:c>
      <x:c r="T157" s="57" t="inlineStr">
        <x:is>
          <x:t xml:space="preserve"/>
        </x:is>
      </x:c>
    </x:row>
    <x:row r="158" s="37" customFormat="1" ht="29.850000381469727" customHeight="1">
      <x:c r="A158" s="55" t="inlineStr">
        <x:is>
          <x:t xml:space="preserve">NEG-0157</x:t>
        </x:is>
      </x:c>
      <x:c r="B158" s="55" t="inlineStr">
        <x:is>
          <x:t xml:space="preserve">v2</x:t>
        </x:is>
      </x:c>
      <x:c r="C158" s="56" t="inlineStr">
        <x:is>
          <x:t xml:space="preserve">五、引用与转述</x:t>
        </x:is>
      </x:c>
      <x:c r="D158" s="56" t="inlineStr">
        <x:is>
          <x:t xml:space="preserve">5.5 批判性转述与举例</x:t>
        </x:is>
      </x:c>
      <x:c r="E158" s="56" t="inlineStr">
        <x:is>
          <x:t xml:space="preserve">学术与调研</x:t>
        </x:is>
      </x:c>
      <x:c r="F158" s="56" t="inlineStr">
        <x:is>
          <x:t xml:space="preserve">调查报告</x:t>
        </x:is>
      </x:c>
      <x:c r="G158" s="55" t="inlineStr">
        <x:is>
          <x:t xml:space="preserve">无</x:t>
        </x:is>
      </x:c>
      <x:c r="H158" s="55" t="str">
        <x:f>IF(LEN(I158)&lt;15,"短",IF(LEN(I158)&lt;=45,"中","长"))</x:f>
        <x:v>中</x:v>
      </x:c>
      <x:c r="I158" s="56" t="inlineStr">
        <x:is>
          <x:t xml:space="preserve">调查显示，“女生天生不适合编程”仍是中学生中较常见的看法。</x:t>
        </x:is>
      </x:c>
      <x:c r="J158" s="56" t="str">
        <x:f>I158</x:f>
        <x:v>调查显示，“女生天生不适合编程”仍是中学生中较常见的看法。</x:v>
      </x:c>
      <x:c r="K158" s="55" t="inlineStr">
        <x:is>
          <x:t xml:space="preserve">无需改写</x:t>
        </x:is>
      </x:c>
      <x:c r="L158" s="56" t="inlineStr">
        <x:is>
          <x:t xml:space="preserve">女生</x:t>
        </x:is>
      </x:c>
      <x:c r="M158" s="56" t="inlineStr">
        <x:is>
          <x:t xml:space="preserve">转述被调查者的观念分布</x:t>
        </x:is>
      </x:c>
      <x:c r="N158" s="56" t="inlineStr">
        <x:is>
          <x:t xml:space="preserve">调查显示，学科能力偏见在中学生中仍较常见</x:t>
        </x:is>
      </x:c>
      <x:c r="O158" s="55" t="inlineStr">
        <x:is>
          <x:t xml:space="preserve">难</x:t>
        </x:is>
      </x:c>
      <x:c r="P158" s="55" t="inlineStr">
        <x:is>
          <x:t xml:space="preserve">否</x:t>
        </x:is>
      </x:c>
      <x:c r="Q158" s="56" t="n"/>
      <x:c r="R158" s="57" t="inlineStr">
        <x:is>
          <x:t xml:space="preserve">主集</x:t>
        </x:is>
      </x:c>
      <x:c r="S158" s="57" t="inlineStr">
        <x:is>
          <x:t xml:space="preserve">index</x:t>
        </x:is>
      </x:c>
      <x:c r="T158" s="57" t="inlineStr">
        <x:is>
          <x:t xml:space="preserve"/>
        </x:is>
      </x:c>
    </x:row>
    <x:row r="159" s="37" customFormat="1" ht="15" customHeight="1">
      <x:c r="A159" s="55" t="inlineStr">
        <x:is>
          <x:t xml:space="preserve">NEG-0158</x:t>
        </x:is>
      </x:c>
      <x:c r="B159" s="55" t="inlineStr">
        <x:is>
          <x:t xml:space="preserve">v2</x:t>
        </x:is>
      </x:c>
      <x:c r="C159" s="56" t="inlineStr">
        <x:is>
          <x:t xml:space="preserve">五、引用与转述</x:t>
        </x:is>
      </x:c>
      <x:c r="D159" s="56" t="inlineStr">
        <x:is>
          <x:t xml:space="preserve">5.5 批判性转述与举例</x:t>
        </x:is>
      </x:c>
      <x:c r="E159" s="56" t="inlineStr">
        <x:is>
          <x:t xml:space="preserve">公文与规章</x:t>
        </x:is>
      </x:c>
      <x:c r="F159" s="56" t="inlineStr">
        <x:is>
          <x:t xml:space="preserve">广告监管</x:t>
        </x:is>
      </x:c>
      <x:c r="G159" s="55" t="inlineStr">
        <x:is>
          <x:t xml:space="preserve">无</x:t>
        </x:is>
      </x:c>
      <x:c r="H159" s="55" t="str">
        <x:f>IF(LEN(I159)&lt;15,"短",IF(LEN(I159)&lt;=45,"中","长"))</x:f>
        <x:v>中</x:v>
      </x:c>
      <x:c r="I159" s="56" t="inlineStr">
        <x:is>
          <x:t xml:space="preserve">该广告因使用“做女人挺好”的双关语被要求整改。</x:t>
        </x:is>
      </x:c>
      <x:c r="J159" s="56" t="str">
        <x:f>I159</x:f>
        <x:v>该广告因使用“做女人挺好”的双关语被要求整改。</x:v>
      </x:c>
      <x:c r="K159" s="55" t="inlineStr">
        <x:is>
          <x:t xml:space="preserve">无需改写</x:t>
        </x:is>
      </x:c>
      <x:c r="L159" s="56" t="inlineStr">
        <x:is>
          <x:t xml:space="preserve">做女人挺好</x:t>
        </x:is>
      </x:c>
      <x:c r="M159" s="56" t="inlineStr">
        <x:is>
          <x:t xml:space="preserve">被处罚对象的原文</x:t>
        </x:is>
      </x:c>
      <x:c r="N159" s="56" t="inlineStr">
        <x:is>
          <x:t xml:space="preserve">该广告因使用不当双关语被要求整改</x:t>
        </x:is>
      </x:c>
      <x:c r="O159" s="55" t="inlineStr">
        <x:is>
          <x:t xml:space="preserve">中</x:t>
        </x:is>
      </x:c>
      <x:c r="P159" s="55" t="inlineStr">
        <x:is>
          <x:t xml:space="preserve">否</x:t>
        </x:is>
      </x:c>
      <x:c r="Q159" s="56" t="n"/>
      <x:c r="R159" s="57" t="inlineStr">
        <x:is>
          <x:t xml:space="preserve">主集</x:t>
        </x:is>
      </x:c>
      <x:c r="S159" s="57" t="inlineStr">
        <x:is>
          <x:t xml:space="preserve">dev</x:t>
        </x:is>
      </x:c>
      <x:c r="T159" s="57" t="inlineStr">
        <x:is>
          <x:t xml:space="preserve"/>
        </x:is>
      </x:c>
    </x:row>
    <x:row r="160" s="37" customFormat="1" ht="29.850000381469727" customHeight="1">
      <x:c r="A160" s="58" t="inlineStr">
        <x:is>
          <x:t xml:space="preserve">NEG-0159</x:t>
        </x:is>
      </x:c>
      <x:c r="B160" s="58" t="inlineStr">
        <x:is>
          <x:t xml:space="preserve">v2</x:t>
        </x:is>
      </x:c>
      <x:c r="C160" s="59" t="inlineStr">
        <x:is>
          <x:t xml:space="preserve">五、引用与转述</x:t>
        </x:is>
      </x:c>
      <x:c r="D160" s="59" t="inlineStr">
        <x:is>
          <x:t xml:space="preserve">5.6 二手转述与新闻报道</x:t>
        </x:is>
      </x:c>
      <x:c r="E160" s="59" t="inlineStr">
        <x:is>
          <x:t xml:space="preserve">新闻报道</x:t>
        </x:is>
      </x:c>
      <x:c r="F160" s="59" t="inlineStr">
        <x:is>
          <x:t xml:space="preserve">调查报道</x:t>
        </x:is>
      </x:c>
      <x:c r="G160" s="58" t="inlineStr">
        <x:is>
          <x:t xml:space="preserve">无</x:t>
        </x:is>
      </x:c>
      <x:c r="H160" s="58" t="str">
        <x:f>IF(LEN(I160)&lt;15,"短",IF(LEN(I160)&lt;=45,"中","长"))</x:f>
        <x:v>中</x:v>
      </x:c>
      <x:c r="I160" s="59" t="inlineStr">
        <x:is>
          <x:t xml:space="preserve">据报道，该员工被主管当众要求“先把生孩子的事安排明白再谈晋升”。</x:t>
        </x:is>
      </x:c>
      <x:c r="J160" s="59" t="str">
        <x:f>I160</x:f>
        <x:v>据报道，该员工被主管当众要求“先把生孩子的事安排明白再谈晋升”。</x:v>
      </x:c>
      <x:c r="K160" s="58" t="inlineStr">
        <x:is>
          <x:t xml:space="preserve">无需改写</x:t>
        </x:is>
      </x:c>
      <x:c r="L160" s="59" t="inlineStr">
        <x:is>
          <x:t xml:space="preserve">生孩子</x:t>
        </x:is>
      </x:c>
      <x:c r="M160" s="59" t="inlineStr">
        <x:is>
          <x:t xml:space="preserve">核心事实引述，是报道的证据</x:t>
        </x:is>
      </x:c>
      <x:c r="N160" s="59" t="inlineStr">
        <x:is>
          <x:t xml:space="preserve">据报道，该员工被主管当众提出不当要求</x:t>
        </x:is>
      </x:c>
      <x:c r="O160" s="58" t="inlineStr">
        <x:is>
          <x:t xml:space="preserve">难</x:t>
        </x:is>
      </x:c>
      <x:c r="P160" s="58" t="inlineStr">
        <x:is>
          <x:t xml:space="preserve">否</x:t>
        </x:is>
      </x:c>
      <x:c r="Q160" s="59" t="n"/>
      <x:c r="R160" s="60" t="inlineStr">
        <x:is>
          <x:t xml:space="preserve">隔离·待确认</x:t>
        </x:is>
      </x:c>
      <x:c r="S160" s="60" t="inlineStr">
        <x:is>
          <x:t xml:space="preserve"/>
        </x:is>
      </x:c>
      <x:c r="T160" s="60" t="inlineStr">
        <x:is>
          <x:t xml:space="preserve">触发词不含性别编码——判断可能依赖世界知识而非句内信息</x:t>
        </x:is>
      </x:c>
    </x:row>
    <x:row r="161" s="37" customFormat="1" ht="29.850000381469727" customHeight="1">
      <x:c r="A161" s="55" t="inlineStr">
        <x:is>
          <x:t xml:space="preserve">NEG-0160</x:t>
        </x:is>
      </x:c>
      <x:c r="B161" s="55" t="inlineStr">
        <x:is>
          <x:t xml:space="preserve">v2</x:t>
        </x:is>
      </x:c>
      <x:c r="C161" s="56" t="inlineStr">
        <x:is>
          <x:t xml:space="preserve">五、引用与转述</x:t>
        </x:is>
      </x:c>
      <x:c r="D161" s="56" t="inlineStr">
        <x:is>
          <x:t xml:space="preserve">5.6 二手转述与新闻报道</x:t>
        </x:is>
      </x:c>
      <x:c r="E161" s="56" t="inlineStr">
        <x:is>
          <x:t xml:space="preserve">新闻报道</x:t>
        </x:is>
      </x:c>
      <x:c r="F161" s="56" t="inlineStr">
        <x:is>
          <x:t xml:space="preserve">教育新闻</x:t>
        </x:is>
      </x:c>
      <x:c r="G161" s="55" t="inlineStr">
        <x:is>
          <x:t xml:space="preserve">无</x:t>
        </x:is>
      </x:c>
      <x:c r="H161" s="55" t="str">
        <x:f>IF(LEN(I161)&lt;15,"短",IF(LEN(I161)&lt;=45,"中","长"))</x:f>
        <x:v>中</x:v>
      </x:c>
      <x:c r="I161" s="56" t="inlineStr">
        <x:is>
          <x:t xml:space="preserve">多名家长反映，班主任在家长会上说“男孩后劲足，女孩现在好没用”。</x:t>
        </x:is>
      </x:c>
      <x:c r="J161" s="56" t="str">
        <x:f>I161</x:f>
        <x:v>多名家长反映，班主任在家长会上说“男孩后劲足，女孩现在好没用”。</x:v>
      </x:c>
      <x:c r="K161" s="55" t="inlineStr">
        <x:is>
          <x:t xml:space="preserve">无需改写</x:t>
        </x:is>
      </x:c>
      <x:c r="L161" s="56" t="inlineStr">
        <x:is>
          <x:t xml:space="preserve">男孩/女孩</x:t>
        </x:is>
      </x:c>
      <x:c r="M161" s="56" t="inlineStr">
        <x:is>
          <x:t xml:space="preserve">家长转述的原话，是事件本身</x:t>
        </x:is>
      </x:c>
      <x:c r="N161" s="56" t="inlineStr">
        <x:is>
          <x:t xml:space="preserve">多名家长反映班主任发表了不当言论</x:t>
        </x:is>
      </x:c>
      <x:c r="O161" s="55" t="inlineStr">
        <x:is>
          <x:t xml:space="preserve">难</x:t>
        </x:is>
      </x:c>
      <x:c r="P161" s="55" t="inlineStr">
        <x:is>
          <x:t xml:space="preserve">否</x:t>
        </x:is>
      </x:c>
      <x:c r="Q161" s="56" t="n"/>
      <x:c r="R161" s="57" t="inlineStr">
        <x:is>
          <x:t xml:space="preserve">主集</x:t>
        </x:is>
      </x:c>
      <x:c r="S161" s="57" t="inlineStr">
        <x:is>
          <x:t xml:space="preserve">index</x:t>
        </x:is>
      </x:c>
      <x:c r="T161" s="57" t="inlineStr">
        <x:is>
          <x:t xml:space="preserve"/>
        </x:is>
      </x:c>
    </x:row>
    <x:row r="162" s="37" customFormat="1" ht="15" customHeight="1">
      <x:c r="A162" s="55" t="inlineStr">
        <x:is>
          <x:t xml:space="preserve">NEG-0161</x:t>
        </x:is>
      </x:c>
      <x:c r="B162" s="55" t="inlineStr">
        <x:is>
          <x:t xml:space="preserve">v2</x:t>
        </x:is>
      </x:c>
      <x:c r="C162" s="56" t="inlineStr">
        <x:is>
          <x:t xml:space="preserve">五、引用与转述</x:t>
        </x:is>
      </x:c>
      <x:c r="D162" s="56" t="inlineStr">
        <x:is>
          <x:t xml:space="preserve">5.6 二手转述与新闻报道</x:t>
        </x:is>
      </x:c>
      <x:c r="E162" s="56" t="inlineStr">
        <x:is>
          <x:t xml:space="preserve">公文与规章</x:t>
        </x:is>
      </x:c>
      <x:c r="F162" s="56" t="inlineStr">
        <x:is>
          <x:t xml:space="preserve">官方通报</x:t>
        </x:is>
      </x:c>
      <x:c r="G162" s="55" t="inlineStr">
        <x:is>
          <x:t xml:space="preserve">无</x:t>
        </x:is>
      </x:c>
      <x:c r="H162" s="55" t="str">
        <x:f>IF(LEN(I162)&lt;15,"短",IF(LEN(I162)&lt;=45,"中","长"))</x:f>
        <x:v>中</x:v>
      </x:c>
      <x:c r="I162" s="56" t="inlineStr">
        <x:is>
          <x:t xml:space="preserve">通报称，涉事教师在课堂上多次使用侮辱女生的言辞。</x:t>
        </x:is>
      </x:c>
      <x:c r="J162" s="56" t="str">
        <x:f>I162</x:f>
        <x:v>通报称，涉事教师在课堂上多次使用侮辱女生的言辞。</x:v>
      </x:c>
      <x:c r="K162" s="55" t="inlineStr">
        <x:is>
          <x:t xml:space="preserve">无需改写</x:t>
        </x:is>
      </x:c>
      <x:c r="L162" s="56" t="inlineStr">
        <x:is>
          <x:t xml:space="preserve">女生</x:t>
        </x:is>
      </x:c>
      <x:c r="M162" s="56" t="inlineStr">
        <x:is>
          <x:t xml:space="preserve">通报中对违规事实的认定</x:t>
        </x:is>
      </x:c>
      <x:c r="N162" s="56" t="inlineStr">
        <x:is>
          <x:t xml:space="preserve">通报称涉事教师在课堂上多次使用侮辱性言辞</x:t>
        </x:is>
      </x:c>
      <x:c r="O162" s="55" t="inlineStr">
        <x:is>
          <x:t xml:space="preserve">中</x:t>
        </x:is>
      </x:c>
      <x:c r="P162" s="55" t="inlineStr">
        <x:is>
          <x:t xml:space="preserve">否</x:t>
        </x:is>
      </x:c>
      <x:c r="Q162" s="56" t="n"/>
      <x:c r="R162" s="57" t="inlineStr">
        <x:is>
          <x:t xml:space="preserve">主集</x:t>
        </x:is>
      </x:c>
      <x:c r="S162" s="57" t="inlineStr">
        <x:is>
          <x:t xml:space="preserve">index</x:t>
        </x:is>
      </x:c>
      <x:c r="T162" s="57" t="inlineStr">
        <x:is>
          <x:t xml:space="preserve"/>
        </x:is>
      </x:c>
    </x:row>
    <x:row r="163" s="37" customFormat="1" ht="15" customHeight="1">
      <x:c r="A163" s="55" t="inlineStr">
        <x:is>
          <x:t xml:space="preserve">NEG-0162</x:t>
        </x:is>
      </x:c>
      <x:c r="B163" s="55" t="inlineStr">
        <x:is>
          <x:t xml:space="preserve">v2</x:t>
        </x:is>
      </x:c>
      <x:c r="C163" s="56" t="inlineStr">
        <x:is>
          <x:t xml:space="preserve">五、引用与转述</x:t>
        </x:is>
      </x:c>
      <x:c r="D163" s="56" t="inlineStr">
        <x:is>
          <x:t xml:space="preserve">5.6 二手转述与新闻报道</x:t>
        </x:is>
      </x:c>
      <x:c r="E163" s="56" t="inlineStr">
        <x:is>
          <x:t xml:space="preserve">新闻报道</x:t>
        </x:is>
      </x:c>
      <x:c r="F163" s="56" t="inlineStr">
        <x:is>
          <x:t xml:space="preserve">科技媒体</x:t>
        </x:is>
      </x:c>
      <x:c r="G163" s="55" t="inlineStr">
        <x:is>
          <x:t xml:space="preserve">无</x:t>
        </x:is>
      </x:c>
      <x:c r="H163" s="55" t="str">
        <x:f>IF(LEN(I163)&lt;15,"短",IF(LEN(I163)&lt;=45,"中","长"))</x:f>
        <x:v>中</x:v>
      </x:c>
      <x:c r="I163" s="56" t="inlineStr">
        <x:is>
          <x:t xml:space="preserve">报道援引内部邮件：“这个岗位还是招个男生稳妥。”</x:t>
        </x:is>
      </x:c>
      <x:c r="J163" s="56" t="str">
        <x:f>I163</x:f>
        <x:v>报道援引内部邮件：“这个岗位还是招个男生稳妥。”</x:v>
      </x:c>
      <x:c r="K163" s="55" t="inlineStr">
        <x:is>
          <x:t xml:space="preserve">无需改写</x:t>
        </x:is>
      </x:c>
      <x:c r="L163" s="56" t="inlineStr">
        <x:is>
          <x:t xml:space="preserve">男生</x:t>
        </x:is>
      </x:c>
      <x:c r="M163" s="56" t="inlineStr">
        <x:is>
          <x:t xml:space="preserve">邮件原文引述</x:t>
        </x:is>
      </x:c>
      <x:c r="N163" s="56" t="inlineStr">
        <x:is>
          <x:t xml:space="preserve">报道援引内部邮件称该岗位有招聘倾向</x:t>
        </x:is>
      </x:c>
      <x:c r="O163" s="55" t="inlineStr">
        <x:is>
          <x:t xml:space="preserve">难</x:t>
        </x:is>
      </x:c>
      <x:c r="P163" s="55" t="inlineStr">
        <x:is>
          <x:t xml:space="preserve">否</x:t>
        </x:is>
      </x:c>
      <x:c r="Q163" s="56" t="n"/>
      <x:c r="R163" s="57" t="inlineStr">
        <x:is>
          <x:t xml:space="preserve">主集</x:t>
        </x:is>
      </x:c>
      <x:c r="S163" s="57" t="inlineStr">
        <x:is>
          <x:t xml:space="preserve">dev</x:t>
        </x:is>
      </x:c>
      <x:c r="T163" s="57" t="inlineStr">
        <x:is>
          <x:t xml:space="preserve"/>
        </x:is>
      </x:c>
    </x:row>
    <x:row r="164" s="37" customFormat="1" ht="29.850000381469727" customHeight="1">
      <x:c r="A164" s="58" t="inlineStr">
        <x:is>
          <x:t xml:space="preserve">NEG-0163</x:t>
        </x:is>
      </x:c>
      <x:c r="B164" s="58" t="inlineStr">
        <x:is>
          <x:t xml:space="preserve">v2</x:t>
        </x:is>
      </x:c>
      <x:c r="C164" s="59" t="inlineStr">
        <x:is>
          <x:t xml:space="preserve">五、引用与转述</x:t>
        </x:is>
      </x:c>
      <x:c r="D164" s="59" t="inlineStr">
        <x:is>
          <x:t xml:space="preserve">5.6 二手转述与新闻报道</x:t>
        </x:is>
      </x:c>
      <x:c r="E164" s="59" t="inlineStr">
        <x:is>
          <x:t xml:space="preserve">新闻报道</x:t>
        </x:is>
      </x:c>
      <x:c r="F164" s="59" t="inlineStr">
        <x:is>
          <x:t xml:space="preserve">媒体批评</x:t>
        </x:is>
      </x:c>
      <x:c r="G164" s="58" t="inlineStr">
        <x:is>
          <x:t xml:space="preserve">无</x:t>
        </x:is>
      </x:c>
      <x:c r="H164" s="58" t="str">
        <x:f>IF(LEN(I164)&lt;15,"短",IF(LEN(I164)&lt;=45,"中","长"))</x:f>
        <x:v>中</x:v>
      </x:c>
      <x:c r="I164" s="59" t="inlineStr">
        <x:is>
          <x:t xml:space="preserve">该事件中“保姆”一词被反复使用，引发了对家政职业称谓的讨论。</x:t>
        </x:is>
      </x:c>
      <x:c r="J164" s="59" t="str">
        <x:f>I164</x:f>
        <x:v>该事件中“保姆”一词被反复使用，引发了对家政职业称谓的讨论。</x:v>
      </x:c>
      <x:c r="K164" s="58" t="inlineStr">
        <x:is>
          <x:t xml:space="preserve">无需改写</x:t>
        </x:is>
      </x:c>
      <x:c r="L164" s="59" t="inlineStr">
        <x:is>
          <x:t xml:space="preserve">保姆</x:t>
        </x:is>
      </x:c>
      <x:c r="M164" s="59" t="inlineStr">
        <x:is>
          <x:t xml:space="preserve">被讨论的词语本身</x:t>
        </x:is>
      </x:c>
      <x:c r="N164" s="59" t="inlineStr">
        <x:is>
          <x:t xml:space="preserve">该事件中相关职业称谓的使用引发了讨论</x:t>
        </x:is>
      </x:c>
      <x:c r="O164" s="58" t="inlineStr">
        <x:is>
          <x:t xml:space="preserve">中</x:t>
        </x:is>
      </x:c>
      <x:c r="P164" s="58" t="inlineStr">
        <x:is>
          <x:t xml:space="preserve">否</x:t>
        </x:is>
      </x:c>
      <x:c r="Q164" s="59" t="n"/>
      <x:c r="R164" s="60" t="inlineStr">
        <x:is>
          <x:t xml:space="preserve">隔离·待确认</x:t>
        </x:is>
      </x:c>
      <x:c r="S164" s="60" t="inlineStr">
        <x:is>
          <x:t xml:space="preserve"/>
        </x:is>
      </x:c>
      <x:c r="T164" s="60" t="inlineStr">
        <x:is>
          <x:t xml:space="preserve">触发词不含性别编码——判断可能依赖世界知识而非句内信息</x:t>
        </x:is>
      </x:c>
    </x:row>
    <x:row r="165" s="37" customFormat="1" ht="15" customHeight="1">
      <x:c r="A165" s="55" t="inlineStr">
        <x:is>
          <x:t xml:space="preserve">NEG-0164</x:t>
        </x:is>
      </x:c>
      <x:c r="B165" s="55" t="inlineStr">
        <x:is>
          <x:t xml:space="preserve">v2</x:t>
        </x:is>
      </x:c>
      <x:c r="C165" s="56" t="inlineStr">
        <x:is>
          <x:t xml:space="preserve">六、自我认同与自称</x:t>
        </x:is>
      </x:c>
      <x:c r="D165" s="56" t="inlineStr">
        <x:is>
          <x:t xml:space="preserve">6.1 自我描述的性别标签</x:t>
        </x:is>
      </x:c>
      <x:c r="E165" s="56" t="inlineStr">
        <x:is>
          <x:t xml:space="preserve">社交与社区</x:t>
        </x:is>
      </x:c>
      <x:c r="F165" s="56" t="inlineStr">
        <x:is>
          <x:t xml:space="preserve">社交媒体</x:t>
        </x:is>
      </x:c>
      <x:c r="G165" s="55" t="inlineStr">
        <x:is>
          <x:t xml:space="preserve">无</x:t>
        </x:is>
      </x:c>
      <x:c r="H165" s="55" t="str">
        <x:f>IF(LEN(I165)&lt;15,"短",IF(LEN(I165)&lt;=45,"中","长"))</x:f>
        <x:v>中</x:v>
      </x:c>
      <x:c r="I165" s="56" t="inlineStr">
        <x:is>
          <x:t xml:space="preserve">我是个女生，也是全组唯一会开叉车的人。</x:t>
        </x:is>
      </x:c>
      <x:c r="J165" s="56" t="str">
        <x:f>I165</x:f>
        <x:v>我是个女生，也是全组唯一会开叉车的人。</x:v>
      </x:c>
      <x:c r="K165" s="55" t="inlineStr">
        <x:is>
          <x:t xml:space="preserve">无需改写</x:t>
        </x:is>
      </x:c>
      <x:c r="L165" s="56" t="inlineStr">
        <x:is>
          <x:t xml:space="preserve">女生</x:t>
        </x:is>
      </x:c>
      <x:c r="M165" s="56" t="inlineStr">
        <x:is>
          <x:t xml:space="preserve">当事人自述，且句子本身在打破预期</x:t>
        </x:is>
      </x:c>
      <x:c r="N165" s="56" t="inlineStr">
        <x:is>
          <x:t xml:space="preserve">我是全组唯一会开叉车的人</x:t>
        </x:is>
      </x:c>
      <x:c r="O165" s="55" t="inlineStr">
        <x:is>
          <x:t xml:space="preserve">难</x:t>
        </x:is>
      </x:c>
      <x:c r="P165" s="55" t="inlineStr">
        <x:is>
          <x:t xml:space="preserve">否</x:t>
        </x:is>
      </x:c>
      <x:c r="Q165" s="56" t="n"/>
      <x:c r="R165" s="57" t="inlineStr">
        <x:is>
          <x:t xml:space="preserve">主集</x:t>
        </x:is>
      </x:c>
      <x:c r="S165" s="57" t="inlineStr">
        <x:is>
          <x:t xml:space="preserve">dev</x:t>
        </x:is>
      </x:c>
      <x:c r="T165" s="57" t="inlineStr">
        <x:is>
          <x:t xml:space="preserve"/>
        </x:is>
      </x:c>
    </x:row>
    <x:row r="166" s="37" customFormat="1" ht="29.850000381469727" customHeight="1">
      <x:c r="A166" s="55" t="inlineStr">
        <x:is>
          <x:t xml:space="preserve">NEG-0165</x:t>
        </x:is>
      </x:c>
      <x:c r="B166" s="55" t="inlineStr">
        <x:is>
          <x:t xml:space="preserve">v2</x:t>
        </x:is>
      </x:c>
      <x:c r="C166" s="56" t="inlineStr">
        <x:is>
          <x:t xml:space="preserve">六、自我认同与自称</x:t>
        </x:is>
      </x:c>
      <x:c r="D166" s="56" t="inlineStr">
        <x:is>
          <x:t xml:space="preserve">6.1 自我描述的性别标签</x:t>
        </x:is>
      </x:c>
      <x:c r="E166" s="56" t="inlineStr">
        <x:is>
          <x:t xml:space="preserve">口语与私人交流</x:t>
        </x:is>
      </x:c>
      <x:c r="F166" s="56" t="inlineStr">
        <x:is>
          <x:t xml:space="preserve">个人简介</x:t>
        </x:is>
      </x:c>
      <x:c r="G166" s="55" t="inlineStr">
        <x:is>
          <x:t xml:space="preserve">无</x:t>
        </x:is>
      </x:c>
      <x:c r="H166" s="55" t="str">
        <x:f>IF(LEN(I166)&lt;15,"短",IF(LEN(I166)&lt;=45,"中","长"))</x:f>
        <x:v>中</x:v>
      </x:c>
      <x:c r="I166" s="56" t="inlineStr">
        <x:is>
          <x:t xml:space="preserve">她在个人简介里写：“母亲、工程师、马拉松爱好者。”</x:t>
        </x:is>
      </x:c>
      <x:c r="J166" s="56" t="str">
        <x:f>I166</x:f>
        <x:v>她在个人简介里写：“母亲、工程师、马拉松爱好者。”</x:v>
      </x:c>
      <x:c r="K166" s="55" t="inlineStr">
        <x:is>
          <x:t xml:space="preserve">无需改写</x:t>
        </x:is>
      </x:c>
      <x:c r="L166" s="56" t="inlineStr">
        <x:is>
          <x:t xml:space="preserve">母亲</x:t>
        </x:is>
      </x:c>
      <x:c r="M166" s="56" t="inlineStr">
        <x:is>
          <x:t xml:space="preserve">自选的身份排序与措辞</x:t>
        </x:is>
      </x:c>
      <x:c r="N166" s="56" t="inlineStr">
        <x:is>
          <x:t xml:space="preserve">她在个人简介里写：“家长、工程师、马拉松爱好者。”</x:t>
        </x:is>
      </x:c>
      <x:c r="O166" s="55" t="inlineStr">
        <x:is>
          <x:t xml:space="preserve">难</x:t>
        </x:is>
      </x:c>
      <x:c r="P166" s="55" t="inlineStr">
        <x:is>
          <x:t xml:space="preserve">否</x:t>
        </x:is>
      </x:c>
      <x:c r="Q166" s="56" t="n"/>
      <x:c r="R166" s="57" t="inlineStr">
        <x:is>
          <x:t xml:space="preserve">主集</x:t>
        </x:is>
      </x:c>
      <x:c r="S166" s="57" t="inlineStr">
        <x:is>
          <x:t xml:space="preserve">test</x:t>
        </x:is>
      </x:c>
      <x:c r="T166" s="57" t="inlineStr">
        <x:is>
          <x:t xml:space="preserve"/>
        </x:is>
      </x:c>
    </x:row>
    <x:row r="167" s="37" customFormat="1" ht="15" customHeight="1">
      <x:c r="A167" s="55" t="inlineStr">
        <x:is>
          <x:t xml:space="preserve">NEG-0166</x:t>
        </x:is>
      </x:c>
      <x:c r="B167" s="55" t="inlineStr">
        <x:is>
          <x:t xml:space="preserve">v2</x:t>
        </x:is>
      </x:c>
      <x:c r="C167" s="56" t="inlineStr">
        <x:is>
          <x:t xml:space="preserve">六、自我认同与自称</x:t>
        </x:is>
      </x:c>
      <x:c r="D167" s="56" t="inlineStr">
        <x:is>
          <x:t xml:space="preserve">6.1 自我描述的性别标签</x:t>
        </x:is>
      </x:c>
      <x:c r="E167" s="56" t="inlineStr">
        <x:is>
          <x:t xml:space="preserve">口语与私人交流</x:t>
        </x:is>
      </x:c>
      <x:c r="F167" s="56" t="inlineStr">
        <x:is>
          <x:t xml:space="preserve">口语自述</x:t>
        </x:is>
      </x:c>
      <x:c r="G167" s="55" t="inlineStr">
        <x:is>
          <x:t xml:space="preserve">无</x:t>
        </x:is>
      </x:c>
      <x:c r="H167" s="55" t="str">
        <x:f>IF(LEN(I167)&lt;15,"短",IF(LEN(I167)&lt;=45,"中","长"))</x:f>
        <x:v>中</x:v>
      </x:c>
      <x:c r="I167" s="56" t="inlineStr">
        <x:is>
          <x:t xml:space="preserve">我承认我就是个“女汉子”，搬家从来不叫人。</x:t>
        </x:is>
      </x:c>
      <x:c r="J167" s="56" t="str">
        <x:f>I167</x:f>
        <x:v>我承认我就是个“女汉子”，搬家从来不叫人。</x:v>
      </x:c>
      <x:c r="K167" s="55" t="inlineStr">
        <x:is>
          <x:t xml:space="preserve">无需改写</x:t>
        </x:is>
      </x:c>
      <x:c r="L167" s="56" t="inlineStr">
        <x:is>
          <x:t xml:space="preserve">女汉子</x:t>
        </x:is>
      </x:c>
      <x:c r="M167" s="56" t="inlineStr">
        <x:is>
          <x:t xml:space="preserve">自称属自我认同范畴</x:t>
        </x:is>
      </x:c>
      <x:c r="N167" s="56" t="inlineStr">
        <x:is>
          <x:t xml:space="preserve">我承认我性格独立，搬家从来不叫人</x:t>
        </x:is>
      </x:c>
      <x:c r="O167" s="55" t="inlineStr">
        <x:is>
          <x:t xml:space="preserve">难</x:t>
        </x:is>
      </x:c>
      <x:c r="P167" s="55" t="inlineStr">
        <x:is>
          <x:t xml:space="preserve">否</x:t>
        </x:is>
      </x:c>
      <x:c r="Q167" s="56" t="n"/>
      <x:c r="R167" s="57" t="inlineStr">
        <x:is>
          <x:t xml:space="preserve">主集</x:t>
        </x:is>
      </x:c>
      <x:c r="S167" s="57" t="inlineStr">
        <x:is>
          <x:t xml:space="preserve">dev</x:t>
        </x:is>
      </x:c>
      <x:c r="T167" s="57" t="inlineStr">
        <x:is>
          <x:t xml:space="preserve"/>
        </x:is>
      </x:c>
    </x:row>
    <x:row r="168" s="37" customFormat="1" ht="15" customHeight="1">
      <x:c r="A168" s="55" t="inlineStr">
        <x:is>
          <x:t xml:space="preserve">NEG-0167</x:t>
        </x:is>
      </x:c>
      <x:c r="B168" s="55" t="inlineStr">
        <x:is>
          <x:t xml:space="preserve">v2</x:t>
        </x:is>
      </x:c>
      <x:c r="C168" s="56" t="inlineStr">
        <x:is>
          <x:t xml:space="preserve">六、自我认同与自称</x:t>
        </x:is>
      </x:c>
      <x:c r="D168" s="56" t="inlineStr">
        <x:is>
          <x:t xml:space="preserve">6.1 自我描述的性别标签</x:t>
        </x:is>
      </x:c>
      <x:c r="E168" s="56" t="inlineStr">
        <x:is>
          <x:t xml:space="preserve">文艺创作与评论</x:t>
        </x:is>
      </x:c>
      <x:c r="F168" s="56" t="inlineStr">
        <x:is>
          <x:t xml:space="preserve">人物采访</x:t>
        </x:is>
      </x:c>
      <x:c r="G168" s="55" t="inlineStr">
        <x:is>
          <x:t xml:space="preserve">无</x:t>
        </x:is>
      </x:c>
      <x:c r="H168" s="55" t="str">
        <x:f>IF(LEN(I168)&lt;15,"短",IF(LEN(I168)&lt;=45,"中","长"))</x:f>
        <x:v>中</x:v>
      </x:c>
      <x:c r="I168" s="56" t="inlineStr">
        <x:is>
          <x:t xml:space="preserve">他说自己是“家庭妇男”，语气里没有半点自嘲。</x:t>
        </x:is>
      </x:c>
      <x:c r="J168" s="56" t="str">
        <x:f>I168</x:f>
        <x:v>他说自己是“家庭妇男”，语气里没有半点自嘲。</x:v>
      </x:c>
      <x:c r="K168" s="55" t="inlineStr">
        <x:is>
          <x:t xml:space="preserve">无需改写</x:t>
        </x:is>
      </x:c>
      <x:c r="L168" s="56" t="inlineStr">
        <x:is>
          <x:t xml:space="preserve">家庭妇男</x:t>
        </x:is>
      </x:c>
      <x:c r="M168" s="56" t="inlineStr">
        <x:is>
          <x:t xml:space="preserve">受访者自选标签</x:t>
        </x:is>
      </x:c>
      <x:c r="N168" s="56" t="inlineStr">
        <x:is>
          <x:t xml:space="preserve">他说自己是“全职家长”</x:t>
        </x:is>
      </x:c>
      <x:c r="O168" s="55" t="inlineStr">
        <x:is>
          <x:t xml:space="preserve">难</x:t>
        </x:is>
      </x:c>
      <x:c r="P168" s="55" t="inlineStr">
        <x:is>
          <x:t xml:space="preserve">否</x:t>
        </x:is>
      </x:c>
      <x:c r="Q168" s="56" t="n"/>
      <x:c r="R168" s="57" t="inlineStr">
        <x:is>
          <x:t xml:space="preserve">主集</x:t>
        </x:is>
      </x:c>
      <x:c r="S168" s="57" t="inlineStr">
        <x:is>
          <x:t xml:space="preserve">index</x:t>
        </x:is>
      </x:c>
      <x:c r="T168" s="57" t="inlineStr">
        <x:is>
          <x:t xml:space="preserve"/>
        </x:is>
      </x:c>
    </x:row>
    <x:row r="169" s="37" customFormat="1" ht="29.850000381469727" customHeight="1">
      <x:c r="A169" s="55" t="inlineStr">
        <x:is>
          <x:t xml:space="preserve">NEG-0168</x:t>
        </x:is>
      </x:c>
      <x:c r="B169" s="55" t="inlineStr">
        <x:is>
          <x:t xml:space="preserve">v2</x:t>
        </x:is>
      </x:c>
      <x:c r="C169" s="56" t="inlineStr">
        <x:is>
          <x:t xml:space="preserve">六、自我认同与自称</x:t>
        </x:is>
      </x:c>
      <x:c r="D169" s="56" t="inlineStr">
        <x:is>
          <x:t xml:space="preserve">6.1 自我描述的性别标签</x:t>
        </x:is>
      </x:c>
      <x:c r="E169" s="56" t="inlineStr">
        <x:is>
          <x:t xml:space="preserve">学术与调研</x:t>
        </x:is>
      </x:c>
      <x:c r="F169" s="56" t="inlineStr">
        <x:is>
          <x:t xml:space="preserve">学术前言</x:t>
        </x:is>
      </x:c>
      <x:c r="G169" s="55" t="inlineStr">
        <x:is>
          <x:t xml:space="preserve">无</x:t>
        </x:is>
      </x:c>
      <x:c r="H169" s="55" t="str">
        <x:f>IF(LEN(I169)&lt;15,"短",IF(LEN(I169)&lt;=45,"中","长"))</x:f>
        <x:v>中</x:v>
      </x:c>
      <x:c r="I169" s="56" t="inlineStr">
        <x:is>
          <x:t xml:space="preserve">作者自述：“作为一名女性主义者，我对这一结论保持警惕。”</x:t>
        </x:is>
      </x:c>
      <x:c r="J169" s="56" t="str">
        <x:f>I169</x:f>
        <x:v>作者自述：“作为一名女性主义者，我对这一结论保持警惕。”</x:v>
      </x:c>
      <x:c r="K169" s="55" t="inlineStr">
        <x:is>
          <x:t xml:space="preserve">无需改写</x:t>
        </x:is>
      </x:c>
      <x:c r="L169" s="56" t="inlineStr">
        <x:is>
          <x:t xml:space="preserve">女性主义者</x:t>
        </x:is>
      </x:c>
      <x:c r="M169" s="56" t="inlineStr">
        <x:is>
          <x:t xml:space="preserve">作者的立场声明</x:t>
        </x:is>
      </x:c>
      <x:c r="N169" s="56" t="inlineStr">
        <x:is>
          <x:t xml:space="preserve">作者自述其对这一结论保持警惕</x:t>
        </x:is>
      </x:c>
      <x:c r="O169" s="55" t="inlineStr">
        <x:is>
          <x:t xml:space="preserve">中</x:t>
        </x:is>
      </x:c>
      <x:c r="P169" s="55" t="inlineStr">
        <x:is>
          <x:t xml:space="preserve">否</x:t>
        </x:is>
      </x:c>
      <x:c r="Q169" s="56" t="n"/>
      <x:c r="R169" s="57" t="inlineStr">
        <x:is>
          <x:t xml:space="preserve">主集</x:t>
        </x:is>
      </x:c>
      <x:c r="S169" s="57" t="inlineStr">
        <x:is>
          <x:t xml:space="preserve">index</x:t>
        </x:is>
      </x:c>
      <x:c r="T169" s="57" t="inlineStr">
        <x:is>
          <x:t xml:space="preserve"/>
        </x:is>
      </x:c>
    </x:row>
    <x:row r="170" s="37" customFormat="1" ht="15" customHeight="1">
      <x:c r="A170" s="55" t="inlineStr">
        <x:is>
          <x:t xml:space="preserve">NEG-0169</x:t>
        </x:is>
      </x:c>
      <x:c r="B170" s="55" t="inlineStr">
        <x:is>
          <x:t xml:space="preserve">v2</x:t>
        </x:is>
      </x:c>
      <x:c r="C170" s="56" t="inlineStr">
        <x:is>
          <x:t xml:space="preserve">六、自我认同与自称</x:t>
        </x:is>
      </x:c>
      <x:c r="D170" s="56" t="inlineStr">
        <x:is>
          <x:t xml:space="preserve">6.2 主动声明的性别与代词</x:t>
        </x:is>
      </x:c>
      <x:c r="E170" s="56" t="inlineStr">
        <x:is>
          <x:t xml:space="preserve">口语与私人交流</x:t>
        </x:is>
      </x:c>
      <x:c r="F170" s="56" t="inlineStr">
        <x:is>
          <x:t xml:space="preserve">邮件签名</x:t>
        </x:is>
      </x:c>
      <x:c r="G170" s="55" t="inlineStr">
        <x:is>
          <x:t xml:space="preserve">无</x:t>
        </x:is>
      </x:c>
      <x:c r="H170" s="55" t="str">
        <x:f>IF(LEN(I170)&lt;15,"短",IF(LEN(I170)&lt;=45,"中","长"))</x:f>
        <x:v>中</x:v>
      </x:c>
      <x:c r="I170" s="56" t="inlineStr">
        <x:is>
          <x:t xml:space="preserve">李某某（她／她的）｜产品部 ｜ 分机 8102</x:t>
        </x:is>
      </x:c>
      <x:c r="J170" s="56" t="str">
        <x:f>I170</x:f>
        <x:v>李某某（她／她的）｜产品部 ｜ 分机 8102</x:v>
      </x:c>
      <x:c r="K170" s="55" t="inlineStr">
        <x:is>
          <x:t xml:space="preserve">无需改写</x:t>
        </x:is>
      </x:c>
      <x:c r="L170" s="56" t="inlineStr">
        <x:is>
          <x:t xml:space="preserve">她／她的</x:t>
        </x:is>
      </x:c>
      <x:c r="M170" s="56" t="inlineStr">
        <x:is>
          <x:t xml:space="preserve">本人声明的代词偏好</x:t>
        </x:is>
      </x:c>
      <x:c r="N170" s="56" t="inlineStr">
        <x:is>
          <x:t xml:space="preserve">李某某（TA／TA的）｜产品部</x:t>
        </x:is>
      </x:c>
      <x:c r="O170" s="55" t="inlineStr">
        <x:is>
          <x:t xml:space="preserve">难</x:t>
        </x:is>
      </x:c>
      <x:c r="P170" s="55" t="inlineStr">
        <x:is>
          <x:t xml:space="preserve">否</x:t>
        </x:is>
      </x:c>
      <x:c r="Q170" s="56" t="inlineStr">
        <x:is>
          <x:t xml:space="preserve">按本人声明使用即是包容</x:t>
        </x:is>
      </x:c>
      <x:c r="R170" s="57" t="inlineStr">
        <x:is>
          <x:t xml:space="preserve">主集</x:t>
        </x:is>
      </x:c>
      <x:c r="S170" s="57" t="inlineStr">
        <x:is>
          <x:t xml:space="preserve">index</x:t>
        </x:is>
      </x:c>
      <x:c r="T170" s="57" t="inlineStr">
        <x:is>
          <x:t xml:space="preserve"/>
        </x:is>
      </x:c>
    </x:row>
    <x:row r="171" s="37" customFormat="1" ht="15" customHeight="1">
      <x:c r="A171" s="58" t="inlineStr">
        <x:is>
          <x:t xml:space="preserve">NEG-0170</x:t>
        </x:is>
      </x:c>
      <x:c r="B171" s="58" t="inlineStr">
        <x:is>
          <x:t xml:space="preserve">v2</x:t>
        </x:is>
      </x:c>
      <x:c r="C171" s="59" t="inlineStr">
        <x:is>
          <x:t xml:space="preserve">六、自我认同与自称</x:t>
        </x:is>
      </x:c>
      <x:c r="D171" s="59" t="inlineStr">
        <x:is>
          <x:t xml:space="preserve">6.2 主动声明的性别与代词</x:t>
        </x:is>
      </x:c>
      <x:c r="E171" s="59" t="inlineStr">
        <x:is>
          <x:t xml:space="preserve">口语与私人交流</x:t>
        </x:is>
      </x:c>
      <x:c r="F171" s="59" t="inlineStr">
        <x:is>
          <x:t xml:space="preserve">会议软件</x:t>
        </x:is>
      </x:c>
      <x:c r="G171" s="58" t="inlineStr">
        <x:is>
          <x:t xml:space="preserve">无</x:t>
        </x:is>
      </x:c>
      <x:c r="H171" s="58" t="str">
        <x:f>IF(LEN(I171)&lt;15,"短",IF(LEN(I171)&lt;=45,"中","长"))</x:f>
        <x:v>中</x:v>
      </x:c>
      <x:c r="I171" s="59" t="inlineStr">
        <x:is>
          <x:t xml:space="preserve">他的会议昵称后面标着 he/him，同事都照此称呼。</x:t>
        </x:is>
      </x:c>
      <x:c r="J171" s="59" t="str">
        <x:f>I171</x:f>
        <x:v>他的会议昵称后面标着 he/him，同事都照此称呼。</x:v>
      </x:c>
      <x:c r="K171" s="58" t="inlineStr">
        <x:is>
          <x:t xml:space="preserve">无需改写</x:t>
        </x:is>
      </x:c>
      <x:c r="L171" s="59" t="inlineStr">
        <x:is>
          <x:t xml:space="preserve">he/him</x:t>
        </x:is>
      </x:c>
      <x:c r="M171" s="59" t="inlineStr">
        <x:is>
          <x:t xml:space="preserve">本人设置的代词标注</x:t>
        </x:is>
      </x:c>
      <x:c r="N171" s="59" t="inlineStr">
        <x:is>
          <x:t xml:space="preserve">他的会议昵称后面标着代词标识</x:t>
        </x:is>
      </x:c>
      <x:c r="O171" s="58" t="inlineStr">
        <x:is>
          <x:t xml:space="preserve">中</x:t>
        </x:is>
      </x:c>
      <x:c r="P171" s="58" t="inlineStr">
        <x:is>
          <x:t xml:space="preserve">否</x:t>
        </x:is>
      </x:c>
      <x:c r="Q171" s="59" t="n"/>
      <x:c r="R171" s="60" t="inlineStr">
        <x:is>
          <x:t xml:space="preserve">隔离·待确认</x:t>
        </x:is>
      </x:c>
      <x:c r="S171" s="60" t="inlineStr">
        <x:is>
          <x:t xml:space="preserve"/>
        </x:is>
      </x:c>
      <x:c r="T171" s="60" t="inlineStr">
        <x:is>
          <x:t xml:space="preserve">触发词不含性别编码——判断可能依赖世界知识而非句内信息</x:t>
        </x:is>
      </x:c>
    </x:row>
    <x:row r="172" s="37" customFormat="1" ht="15" customHeight="1">
      <x:c r="A172" s="58" t="inlineStr">
        <x:is>
          <x:t xml:space="preserve">NEG-0171</x:t>
        </x:is>
      </x:c>
      <x:c r="B172" s="58" t="inlineStr">
        <x:is>
          <x:t xml:space="preserve">v2</x:t>
        </x:is>
      </x:c>
      <x:c r="C172" s="59" t="inlineStr">
        <x:is>
          <x:t xml:space="preserve">六、自我认同与自称</x:t>
        </x:is>
      </x:c>
      <x:c r="D172" s="59" t="inlineStr">
        <x:is>
          <x:t xml:space="preserve">6.2 主动声明的性别与代词</x:t>
        </x:is>
      </x:c>
      <x:c r="E172" s="59" t="inlineStr">
        <x:is>
          <x:t xml:space="preserve">口语与私人交流</x:t>
        </x:is>
      </x:c>
      <x:c r="F172" s="59" t="inlineStr">
        <x:is>
          <x:t xml:space="preserve">个人主页</x:t>
        </x:is>
      </x:c>
      <x:c r="G172" s="58" t="inlineStr">
        <x:is>
          <x:t xml:space="preserve">无</x:t>
        </x:is>
      </x:c>
      <x:c r="H172" s="58" t="str">
        <x:f>IF(LEN(I172)&lt;15,"短",IF(LEN(I172)&lt;=45,"中","长"))</x:f>
        <x:v>中</x:v>
      </x:c>
      <x:c r="I172" s="59" t="inlineStr">
        <x:is>
          <x:t xml:space="preserve">她在主页写明：非二元，请用 TA 称呼我。</x:t>
        </x:is>
      </x:c>
      <x:c r="J172" s="59" t="str">
        <x:f>I172</x:f>
        <x:v>她在主页写明：非二元，请用 TA 称呼我。</x:v>
      </x:c>
      <x:c r="K172" s="58" t="inlineStr">
        <x:is>
          <x:t xml:space="preserve">无需改写</x:t>
        </x:is>
      </x:c>
      <x:c r="L172" s="59" t="inlineStr">
        <x:is>
          <x:t xml:space="preserve">非二元/TA</x:t>
        </x:is>
      </x:c>
      <x:c r="M172" s="59" t="inlineStr">
        <x:is>
          <x:t xml:space="preserve">自我认同声明</x:t>
        </x:is>
      </x:c>
      <x:c r="N172" s="59" t="inlineStr">
        <x:is>
          <x:t xml:space="preserve">她在主页写明了称呼偏好</x:t>
        </x:is>
      </x:c>
      <x:c r="O172" s="58" t="inlineStr">
        <x:is>
          <x:t xml:space="preserve">中</x:t>
        </x:is>
      </x:c>
      <x:c r="P172" s="58" t="inlineStr">
        <x:is>
          <x:t xml:space="preserve">否</x:t>
        </x:is>
      </x:c>
      <x:c r="Q172" s="59" t="n"/>
      <x:c r="R172" s="60" t="inlineStr">
        <x:is>
          <x:t xml:space="preserve">隔离·待确认</x:t>
        </x:is>
      </x:c>
      <x:c r="S172" s="60" t="inlineStr">
        <x:is>
          <x:t xml:space="preserve"/>
        </x:is>
      </x:c>
      <x:c r="T172" s="60" t="inlineStr">
        <x:is>
          <x:t xml:space="preserve">触发词不含性别编码——判断可能依赖世界知识而非句内信息</x:t>
        </x:is>
      </x:c>
    </x:row>
    <x:row r="173" s="37" customFormat="1" ht="29.850000381469727" customHeight="1">
      <x:c r="A173" s="58" t="inlineStr">
        <x:is>
          <x:t xml:space="preserve">NEG-0172</x:t>
        </x:is>
      </x:c>
      <x:c r="B173" s="58" t="inlineStr">
        <x:is>
          <x:t xml:space="preserve">v2</x:t>
        </x:is>
      </x:c>
      <x:c r="C173" s="59" t="inlineStr">
        <x:is>
          <x:t xml:space="preserve">六、自我认同与自称</x:t>
        </x:is>
      </x:c>
      <x:c r="D173" s="59" t="inlineStr">
        <x:is>
          <x:t xml:space="preserve">6.2 主动声明的性别与代词</x:t>
        </x:is>
      </x:c>
      <x:c r="E173" s="59" t="inlineStr">
        <x:is>
          <x:t xml:space="preserve">公文与规章</x:t>
        </x:is>
      </x:c>
      <x:c r="F173" s="59" t="inlineStr">
        <x:is>
          <x:t xml:space="preserve">教务通知</x:t>
        </x:is>
      </x:c>
      <x:c r="G173" s="58" t="inlineStr">
        <x:is>
          <x:t xml:space="preserve">无</x:t>
        </x:is>
      </x:c>
      <x:c r="H173" s="58" t="str">
        <x:f>IF(LEN(I173)&lt;15,"短",IF(LEN(I173)&lt;=45,"中","长"))</x:f>
        <x:v>中</x:v>
      </x:c>
      <x:c r="I173" s="59" t="inlineStr">
        <x:is>
          <x:t xml:space="preserve">该同学更名后，学籍系统已启用现用名，曾用名不再显示。</x:t>
        </x:is>
      </x:c>
      <x:c r="J173" s="59" t="str">
        <x:f>I173</x:f>
        <x:v>该同学更名后，学籍系统已启用现用名，曾用名不再显示。</x:v>
      </x:c>
      <x:c r="K173" s="58" t="inlineStr">
        <x:is>
          <x:t xml:space="preserve">无需改写</x:t>
        </x:is>
      </x:c>
      <x:c r="L173" s="59" t="inlineStr">
        <x:is>
          <x:t xml:space="preserve">现用名/曾用名</x:t>
        </x:is>
      </x:c>
      <x:c r="M173" s="59" t="inlineStr">
        <x:is>
          <x:t xml:space="preserve">不展示曾用名本身即是包容做法</x:t>
        </x:is>
      </x:c>
      <x:c r="N173" s="59" t="inlineStr">
        <x:is>
          <x:t xml:space="preserve">该同学更名后，系统同时保留现用名与曾用名</x:t>
        </x:is>
      </x:c>
      <x:c r="O173" s="58" t="inlineStr">
        <x:is>
          <x:t xml:space="preserve">难</x:t>
        </x:is>
      </x:c>
      <x:c r="P173" s="58" t="inlineStr">
        <x:is>
          <x:t xml:space="preserve">否</x:t>
        </x:is>
      </x:c>
      <x:c r="Q173" s="59" t="n"/>
      <x:c r="R173" s="60" t="inlineStr">
        <x:is>
          <x:t xml:space="preserve">隔离·待确认</x:t>
        </x:is>
      </x:c>
      <x:c r="S173" s="60" t="inlineStr">
        <x:is>
          <x:t xml:space="preserve"/>
        </x:is>
      </x:c>
      <x:c r="T173" s="60" t="inlineStr">
        <x:is>
          <x:t xml:space="preserve">触发词不含性别编码——判断可能依赖世界知识而非句内信息</x:t>
        </x:is>
      </x:c>
    </x:row>
    <x:row r="174" s="37" customFormat="1" ht="15" customHeight="1">
      <x:c r="A174" s="58" t="inlineStr">
        <x:is>
          <x:t xml:space="preserve">NEG-0173</x:t>
        </x:is>
      </x:c>
      <x:c r="B174" s="58" t="inlineStr">
        <x:is>
          <x:t xml:space="preserve">v2</x:t>
        </x:is>
      </x:c>
      <x:c r="C174" s="59" t="inlineStr">
        <x:is>
          <x:t xml:space="preserve">六、自我认同与自称</x:t>
        </x:is>
      </x:c>
      <x:c r="D174" s="59" t="inlineStr">
        <x:is>
          <x:t xml:space="preserve">6.2 主动声明的性别与代词</x:t>
        </x:is>
      </x:c>
      <x:c r="E174" s="59" t="inlineStr">
        <x:is>
          <x:t xml:space="preserve">口语与私人交流</x:t>
        </x:is>
      </x:c>
      <x:c r="F174" s="59" t="inlineStr">
        <x:is>
          <x:t xml:space="preserve">口语自我介绍</x:t>
        </x:is>
      </x:c>
      <x:c r="G174" s="58" t="inlineStr">
        <x:is>
          <x:t xml:space="preserve">无</x:t>
        </x:is>
      </x:c>
      <x:c r="H174" s="58" t="str">
        <x:f>IF(LEN(I174)&lt;15,"短",IF(LEN(I174)&lt;=45,"中","长"))</x:f>
        <x:v>中</x:v>
      </x:c>
      <x:c r="I174" s="59" t="inlineStr">
        <x:is>
          <x:t xml:space="preserve">我叫小林，代词随便，怎么顺口怎么叫。</x:t>
        </x:is>
      </x:c>
      <x:c r="J174" s="59" t="str">
        <x:f>I174</x:f>
        <x:v>我叫小林，代词随便，怎么顺口怎么叫。</x:v>
      </x:c>
      <x:c r="K174" s="58" t="inlineStr">
        <x:is>
          <x:t xml:space="preserve">无需改写</x:t>
        </x:is>
      </x:c>
      <x:c r="L174" s="59" t="inlineStr">
        <x:is>
          <x:t xml:space="preserve">代词</x:t>
        </x:is>
      </x:c>
      <x:c r="M174" s="59" t="inlineStr">
        <x:is>
          <x:t xml:space="preserve">本人明确表达的宽松偏好</x:t>
        </x:is>
      </x:c>
      <x:c r="N174" s="59" t="inlineStr">
        <x:is>
          <x:t xml:space="preserve">我叫小林，请使用中性代词称呼我</x:t>
        </x:is>
      </x:c>
      <x:c r="O174" s="58" t="inlineStr">
        <x:is>
          <x:t xml:space="preserve">中</x:t>
        </x:is>
      </x:c>
      <x:c r="P174" s="58" t="inlineStr">
        <x:is>
          <x:t xml:space="preserve">否</x:t>
        </x:is>
      </x:c>
      <x:c r="Q174" s="59" t="n"/>
      <x:c r="R174" s="60" t="inlineStr">
        <x:is>
          <x:t xml:space="preserve">隔离·待确认</x:t>
        </x:is>
      </x:c>
      <x:c r="S174" s="60" t="inlineStr">
        <x:is>
          <x:t xml:space="preserve"/>
        </x:is>
      </x:c>
      <x:c r="T174" s="60" t="inlineStr">
        <x:is>
          <x:t xml:space="preserve">触发词不含性别编码——判断可能依赖世界知识而非句内信息</x:t>
        </x:is>
      </x:c>
    </x:row>
    <x:row r="175" s="37" customFormat="1" ht="29.850000381469727" customHeight="1">
      <x:c r="A175" s="55" t="inlineStr">
        <x:is>
          <x:t xml:space="preserve">NEG-0174</x:t>
        </x:is>
      </x:c>
      <x:c r="B175" s="55" t="inlineStr">
        <x:is>
          <x:t xml:space="preserve">v2</x:t>
        </x:is>
      </x:c>
      <x:c r="C175" s="56" t="inlineStr">
        <x:is>
          <x:t xml:space="preserve">六、自我认同与自称</x:t>
        </x:is>
      </x:c>
      <x:c r="D175" s="56" t="inlineStr">
        <x:is>
          <x:t xml:space="preserve">6.3 社群内部用语</x:t>
        </x:is>
      </x:c>
      <x:c r="E175" s="56" t="inlineStr">
        <x:is>
          <x:t xml:space="preserve">社交与社区</x:t>
        </x:is>
      </x:c>
      <x:c r="F175" s="56" t="inlineStr">
        <x:is>
          <x:t xml:space="preserve">社群观察</x:t>
        </x:is>
      </x:c>
      <x:c r="G175" s="55" t="inlineStr">
        <x:is>
          <x:t xml:space="preserve">无</x:t>
        </x:is>
      </x:c>
      <x:c r="H175" s="55" t="str">
        <x:f>IF(LEN(I175)&lt;15,"短",IF(LEN(I175)&lt;=45,"中","长"))</x:f>
        <x:v>中</x:v>
      </x:c>
      <x:c r="I175" s="56" t="inlineStr">
        <x:is>
          <x:t xml:space="preserve">群里不分男女，见面都叫“姐妹”。</x:t>
        </x:is>
      </x:c>
      <x:c r="J175" s="56" t="str">
        <x:f>I175</x:f>
        <x:v>群里不分男女，见面都叫“姐妹”。</x:v>
      </x:c>
      <x:c r="K175" s="55" t="inlineStr">
        <x:is>
          <x:t xml:space="preserve">无需改写</x:t>
        </x:is>
      </x:c>
      <x:c r="L175" s="56" t="inlineStr">
        <x:is>
          <x:t xml:space="preserve">姐妹</x:t>
        </x:is>
      </x:c>
      <x:c r="M175" s="56" t="inlineStr">
        <x:is>
          <x:t xml:space="preserve">社群内部自称</x:t>
        </x:is>
      </x:c>
      <x:c r="N175" s="56" t="inlineStr">
        <x:is>
          <x:t xml:space="preserve">群里不分性别，见面都叫“伙伴”</x:t>
        </x:is>
      </x:c>
      <x:c r="O175" s="55" t="inlineStr">
        <x:is>
          <x:t xml:space="preserve">难</x:t>
        </x:is>
      </x:c>
      <x:c r="P175" s="55" t="inlineStr">
        <x:is>
          <x:t xml:space="preserve">是</x:t>
        </x:is>
      </x:c>
      <x:c r="Q175" s="56" t="inlineStr">
        <x:is>
          <x:t xml:space="preserve">社群内可用与社群外可用的边界存在争议</x:t>
        </x:is>
      </x:c>
      <x:c r="R175" s="57" t="inlineStr">
        <x:is>
          <x:t xml:space="preserve">主集</x:t>
        </x:is>
      </x:c>
      <x:c r="S175" s="57" t="inlineStr">
        <x:is>
          <x:t xml:space="preserve">test</x:t>
        </x:is>
      </x:c>
      <x:c r="T175" s="57" t="inlineStr">
        <x:is>
          <x:t xml:space="preserve"/>
        </x:is>
      </x:c>
    </x:row>
    <x:row r="176" s="37" customFormat="1" ht="15" customHeight="1">
      <x:c r="A176" s="58" t="inlineStr">
        <x:is>
          <x:t xml:space="preserve">NEG-0175</x:t>
        </x:is>
      </x:c>
      <x:c r="B176" s="58" t="inlineStr">
        <x:is>
          <x:t xml:space="preserve">v2</x:t>
        </x:is>
      </x:c>
      <x:c r="C176" s="59" t="inlineStr">
        <x:is>
          <x:t xml:space="preserve">六、自我认同与自称</x:t>
        </x:is>
      </x:c>
      <x:c r="D176" s="59" t="inlineStr">
        <x:is>
          <x:t xml:space="preserve">6.3 社群内部用语</x:t>
        </x:is>
      </x:c>
      <x:c r="E176" s="59" t="inlineStr">
        <x:is>
          <x:t xml:space="preserve">口语与私人交流</x:t>
        </x:is>
      </x:c>
      <x:c r="F176" s="59" t="inlineStr">
        <x:is>
          <x:t xml:space="preserve">行业口语</x:t>
        </x:is>
      </x:c>
      <x:c r="G176" s="58" t="inlineStr">
        <x:is>
          <x:t xml:space="preserve">无</x:t>
        </x:is>
      </x:c>
      <x:c r="H176" s="58" t="str">
        <x:f>IF(LEN(I176)&lt;15,"短",IF(LEN(I176)&lt;=45,"中","长"))</x:f>
        <x:v>中</x:v>
      </x:c>
      <x:c r="I176" s="59" t="inlineStr">
        <x:is>
          <x:t xml:space="preserve">圈内互称“老师”，跟性别和年龄都没关系。</x:t>
        </x:is>
      </x:c>
      <x:c r="J176" s="59" t="str">
        <x:f>I176</x:f>
        <x:v>圈内互称“老师”，跟性别和年龄都没关系。</x:v>
      </x:c>
      <x:c r="K176" s="58" t="inlineStr">
        <x:is>
          <x:t xml:space="preserve">无需改写</x:t>
        </x:is>
      </x:c>
      <x:c r="L176" s="59" t="inlineStr">
        <x:is>
          <x:t xml:space="preserve">老师</x:t>
        </x:is>
      </x:c>
      <x:c r="M176" s="59" t="inlineStr">
        <x:is>
          <x:t xml:space="preserve">已完全中性化的行业称谓</x:t>
        </x:is>
      </x:c>
      <x:c r="N176" s="59" t="inlineStr">
        <x:is>
          <x:t xml:space="preserve">圈内互称“同行”</x:t>
        </x:is>
      </x:c>
      <x:c r="O176" s="58" t="inlineStr">
        <x:is>
          <x:t xml:space="preserve">易</x:t>
        </x:is>
      </x:c>
      <x:c r="P176" s="58" t="inlineStr">
        <x:is>
          <x:t xml:space="preserve">否</x:t>
        </x:is>
      </x:c>
      <x:c r="Q176" s="59" t="n"/>
      <x:c r="R176" s="60" t="inlineStr">
        <x:is>
          <x:t xml:space="preserve">隔离·待确认</x:t>
        </x:is>
      </x:c>
      <x:c r="S176" s="60" t="inlineStr">
        <x:is>
          <x:t xml:space="preserve"/>
        </x:is>
      </x:c>
      <x:c r="T176" s="60" t="inlineStr">
        <x:is>
          <x:t xml:space="preserve">触发词不含性别编码——判断可能依赖世界知识而非句内信息</x:t>
        </x:is>
      </x:c>
    </x:row>
    <x:row r="177" s="37" customFormat="1" ht="29.850000381469727" customHeight="1">
      <x:c r="A177" s="55" t="inlineStr">
        <x:is>
          <x:t xml:space="preserve">NEG-0176</x:t>
        </x:is>
      </x:c>
      <x:c r="B177" s="55" t="inlineStr">
        <x:is>
          <x:t xml:space="preserve">v2</x:t>
        </x:is>
      </x:c>
      <x:c r="C177" s="56" t="inlineStr">
        <x:is>
          <x:t xml:space="preserve">六、自我认同与自称</x:t>
        </x:is>
      </x:c>
      <x:c r="D177" s="56" t="inlineStr">
        <x:is>
          <x:t xml:space="preserve">6.3 社群内部用语</x:t>
        </x:is>
      </x:c>
      <x:c r="E177" s="56" t="inlineStr">
        <x:is>
          <x:t xml:space="preserve">文艺创作与评论</x:t>
        </x:is>
      </x:c>
      <x:c r="F177" s="56" t="inlineStr">
        <x:is>
          <x:t xml:space="preserve">文化评论</x:t>
        </x:is>
      </x:c>
      <x:c r="G177" s="55" t="inlineStr">
        <x:is>
          <x:t xml:space="preserve">无</x:t>
        </x:is>
      </x:c>
      <x:c r="H177" s="55" t="str">
        <x:f>IF(LEN(I177)&lt;15,"短",IF(LEN(I177)&lt;=45,"中","长"))</x:f>
        <x:v>中</x:v>
      </x:c>
      <x:c r="I177" s="56" t="inlineStr">
        <x:is>
          <x:t xml:space="preserve">“腐女”这个词最早带贬义，如今更多是圈内自称。</x:t>
        </x:is>
      </x:c>
      <x:c r="J177" s="56" t="str">
        <x:f>I177</x:f>
        <x:v>“腐女”这个词最早带贬义，如今更多是圈内自称。</x:v>
      </x:c>
      <x:c r="K177" s="55" t="inlineStr">
        <x:is>
          <x:t xml:space="preserve">无需改写</x:t>
        </x:is>
      </x:c>
      <x:c r="L177" s="56" t="inlineStr">
        <x:is>
          <x:t xml:space="preserve">腐女</x:t>
        </x:is>
      </x:c>
      <x:c r="M177" s="56" t="inlineStr">
        <x:is>
          <x:t xml:space="preserve">被重新挪用的词汇，句子本身在说明这一点</x:t>
        </x:is>
      </x:c>
      <x:c r="N177" s="56" t="inlineStr">
        <x:is>
          <x:t xml:space="preserve">该词最早带贬义，如今更多是圈内自称</x:t>
        </x:is>
      </x:c>
      <x:c r="O177" s="55" t="inlineStr">
        <x:is>
          <x:t xml:space="preserve">中</x:t>
        </x:is>
      </x:c>
      <x:c r="P177" s="55" t="inlineStr">
        <x:is>
          <x:t xml:space="preserve">是</x:t>
        </x:is>
      </x:c>
      <x:c r="Q177" s="56" t="n"/>
      <x:c r="R177" s="57" t="inlineStr">
        <x:is>
          <x:t xml:space="preserve">主集</x:t>
        </x:is>
      </x:c>
      <x:c r="S177" s="57" t="inlineStr">
        <x:is>
          <x:t xml:space="preserve">index</x:t>
        </x:is>
      </x:c>
      <x:c r="T177" s="57" t="inlineStr">
        <x:is>
          <x:t xml:space="preserve"/>
        </x:is>
      </x:c>
    </x:row>
    <x:row r="178" s="37" customFormat="1" ht="15" customHeight="1">
      <x:c r="A178" s="55" t="inlineStr">
        <x:is>
          <x:t xml:space="preserve">NEG-0177</x:t>
        </x:is>
      </x:c>
      <x:c r="B178" s="55" t="inlineStr">
        <x:is>
          <x:t xml:space="preserve">v2</x:t>
        </x:is>
      </x:c>
      <x:c r="C178" s="56" t="inlineStr">
        <x:is>
          <x:t xml:space="preserve">六、自我认同与自称</x:t>
        </x:is>
      </x:c>
      <x:c r="D178" s="56" t="inlineStr">
        <x:is>
          <x:t xml:space="preserve">6.3 社群内部用语</x:t>
        </x:is>
      </x:c>
      <x:c r="E178" s="56" t="inlineStr">
        <x:is>
          <x:t xml:space="preserve">社交与社区</x:t>
        </x:is>
      </x:c>
      <x:c r="F178" s="56" t="inlineStr">
        <x:is>
          <x:t xml:space="preserve">游戏社区</x:t>
        </x:is>
      </x:c>
      <x:c r="G178" s="55" t="inlineStr">
        <x:is>
          <x:t xml:space="preserve">无</x:t>
        </x:is>
      </x:c>
      <x:c r="H178" s="55" t="str">
        <x:f>IF(LEN(I178)&lt;15,"短",IF(LEN(I178)&lt;=45,"中","长"))</x:f>
        <x:v>中</x:v>
      </x:c>
      <x:c r="I178" s="56" t="inlineStr">
        <x:is>
          <x:t xml:space="preserve">论坛里管资深玩家叫“老哥”，实际发帖的女玩家不少。</x:t>
        </x:is>
      </x:c>
      <x:c r="J178" s="56" t="str">
        <x:f>I178</x:f>
        <x:v>论坛里管资深玩家叫“老哥”，实际发帖的女玩家不少。</x:v>
      </x:c>
      <x:c r="K178" s="55" t="inlineStr">
        <x:is>
          <x:t xml:space="preserve">无需改写</x:t>
        </x:is>
      </x:c>
      <x:c r="L178" s="56" t="inlineStr">
        <x:is>
          <x:t xml:space="preserve">老哥/女玩家</x:t>
        </x:is>
      </x:c>
      <x:c r="M178" s="56" t="inlineStr">
        <x:is>
          <x:t xml:space="preserve">社区用语实况描述</x:t>
        </x:is>
      </x:c>
      <x:c r="N178" s="56" t="inlineStr">
        <x:is>
          <x:t xml:space="preserve">论坛里管资深玩家叫“前辈”</x:t>
        </x:is>
      </x:c>
      <x:c r="O178" s="55" t="inlineStr">
        <x:is>
          <x:t xml:space="preserve">中</x:t>
        </x:is>
      </x:c>
      <x:c r="P178" s="55" t="inlineStr">
        <x:is>
          <x:t xml:space="preserve">是</x:t>
        </x:is>
      </x:c>
      <x:c r="Q178" s="56" t="n"/>
      <x:c r="R178" s="57" t="inlineStr">
        <x:is>
          <x:t xml:space="preserve">主集</x:t>
        </x:is>
      </x:c>
      <x:c r="S178" s="57" t="inlineStr">
        <x:is>
          <x:t xml:space="preserve">dev</x:t>
        </x:is>
      </x:c>
      <x:c r="T178" s="57" t="inlineStr">
        <x:is>
          <x:t xml:space="preserve"/>
        </x:is>
      </x:c>
    </x:row>
    <x:row r="179" s="37" customFormat="1" ht="29.850000381469727" customHeight="1">
      <x:c r="A179" s="55" t="inlineStr">
        <x:is>
          <x:t xml:space="preserve">NEG-0178</x:t>
        </x:is>
      </x:c>
      <x:c r="B179" s="55" t="inlineStr">
        <x:is>
          <x:t xml:space="preserve">v2</x:t>
        </x:is>
      </x:c>
      <x:c r="C179" s="56" t="inlineStr">
        <x:is>
          <x:t xml:space="preserve">六、自我认同与自称</x:t>
        </x:is>
      </x:c>
      <x:c r="D179" s="56" t="inlineStr">
        <x:is>
          <x:t xml:space="preserve">6.3 社群内部用语</x:t>
        </x:is>
      </x:c>
      <x:c r="E179" s="56" t="inlineStr">
        <x:is>
          <x:t xml:space="preserve">社交与社区</x:t>
        </x:is>
      </x:c>
      <x:c r="F179" s="56" t="inlineStr">
        <x:is>
          <x:t xml:space="preserve">社群指南</x:t>
        </x:is>
      </x:c>
      <x:c r="G179" s="55" t="inlineStr">
        <x:is>
          <x:t xml:space="preserve">无</x:t>
        </x:is>
      </x:c>
      <x:c r="H179" s="55" t="str">
        <x:f>IF(LEN(I179)&lt;15,"短",IF(LEN(I179)&lt;=45,"中","长"))</x:f>
        <x:v>中</x:v>
      </x:c>
      <x:c r="I179" s="56" t="inlineStr">
        <x:is>
          <x:t xml:space="preserve">跨性别社群内部常以“姐妹”互称，社群外使用则需谨慎。</x:t>
        </x:is>
      </x:c>
      <x:c r="J179" s="56" t="str">
        <x:f>I179</x:f>
        <x:v>跨性别社群内部常以“姐妹”互称，社群外使用则需谨慎。</x:v>
      </x:c>
      <x:c r="K179" s="55" t="inlineStr">
        <x:is>
          <x:t xml:space="preserve">无需改写</x:t>
        </x:is>
      </x:c>
      <x:c r="L179" s="56" t="inlineStr">
        <x:is>
          <x:t xml:space="preserve">姐妹</x:t>
        </x:is>
      </x:c>
      <x:c r="M179" s="56" t="inlineStr">
        <x:is>
          <x:t xml:space="preserve">内外有别的用语规范说明</x:t>
        </x:is>
      </x:c>
      <x:c r="N179" s="56" t="inlineStr">
        <x:is>
          <x:t xml:space="preserve">相关社群内部有特定互称方式</x:t>
        </x:is>
      </x:c>
      <x:c r="O179" s="55" t="inlineStr">
        <x:is>
          <x:t xml:space="preserve">中</x:t>
        </x:is>
      </x:c>
      <x:c r="P179" s="55" t="inlineStr">
        <x:is>
          <x:t xml:space="preserve">否</x:t>
        </x:is>
      </x:c>
      <x:c r="Q179" s="56" t="n"/>
      <x:c r="R179" s="57" t="inlineStr">
        <x:is>
          <x:t xml:space="preserve">主集</x:t>
        </x:is>
      </x:c>
      <x:c r="S179" s="57" t="inlineStr">
        <x:is>
          <x:t xml:space="preserve">dev</x:t>
        </x:is>
      </x:c>
      <x:c r="T179" s="57" t="inlineStr">
        <x:is>
          <x:t xml:space="preserve"/>
        </x:is>
      </x:c>
    </x:row>
    <x:row r="180" s="37" customFormat="1" ht="29.850000381469727" customHeight="1">
      <x:c r="A180" s="55" t="inlineStr">
        <x:is>
          <x:t xml:space="preserve">NEG-0179</x:t>
        </x:is>
      </x:c>
      <x:c r="B180" s="55" t="inlineStr">
        <x:is>
          <x:t xml:space="preserve">v2</x:t>
        </x:is>
      </x:c>
      <x:c r="C180" s="56" t="inlineStr">
        <x:is>
          <x:t xml:space="preserve">六、自我认同与自称</x:t>
        </x:is>
      </x:c>
      <x:c r="D180" s="56" t="inlineStr">
        <x:is>
          <x:t xml:space="preserve">6.4 职业与身份的自我定位</x:t>
        </x:is>
      </x:c>
      <x:c r="E180" s="56" t="inlineStr">
        <x:is>
          <x:t xml:space="preserve">文艺创作与评论</x:t>
        </x:is>
      </x:c>
      <x:c r="F180" s="56" t="inlineStr">
        <x:is>
          <x:t xml:space="preserve">人物采访</x:t>
        </x:is>
      </x:c>
      <x:c r="G180" s="55" t="inlineStr">
        <x:is>
          <x:t xml:space="preserve">无</x:t>
        </x:is>
      </x:c>
      <x:c r="H180" s="55" t="str">
        <x:f>IF(LEN(I180)&lt;15,"短",IF(LEN(I180)&lt;=45,"中","长"))</x:f>
        <x:v>中</x:v>
      </x:c>
      <x:c r="I180" s="56" t="inlineStr">
        <x:is>
          <x:t xml:space="preserve">“作为一个男幼师，我最常被问的是：你怎么会想干这行？”</x:t>
        </x:is>
      </x:c>
      <x:c r="J180" s="56" t="str">
        <x:f>I180</x:f>
        <x:v>“作为一个男幼师，我最常被问的是：你怎么会想干这行？”</x:v>
      </x:c>
      <x:c r="K180" s="55" t="inlineStr">
        <x:is>
          <x:t xml:space="preserve">无需改写</x:t>
        </x:is>
      </x:c>
      <x:c r="L180" s="56" t="inlineStr">
        <x:is>
          <x:t xml:space="preserve">男幼师</x:t>
        </x:is>
      </x:c>
      <x:c r="M180" s="56" t="inlineStr">
        <x:is>
          <x:t xml:space="preserve">当事人以此身份展开叙述，是全文立论起点</x:t>
        </x:is>
      </x:c>
      <x:c r="N180" s="56" t="inlineStr">
        <x:is>
          <x:t xml:space="preserve">作为一名幼师，我最常被问的是……</x:t>
        </x:is>
      </x:c>
      <x:c r="O180" s="55" t="inlineStr">
        <x:is>
          <x:t xml:space="preserve">难</x:t>
        </x:is>
      </x:c>
      <x:c r="P180" s="55" t="inlineStr">
        <x:is>
          <x:t xml:space="preserve">否</x:t>
        </x:is>
      </x:c>
      <x:c r="Q180" s="56" t="n"/>
      <x:c r="R180" s="57" t="inlineStr">
        <x:is>
          <x:t xml:space="preserve">主集</x:t>
        </x:is>
      </x:c>
      <x:c r="S180" s="57" t="inlineStr">
        <x:is>
          <x:t xml:space="preserve">test</x:t>
        </x:is>
      </x:c>
      <x:c r="T180" s="57" t="inlineStr">
        <x:is>
          <x:t xml:space="preserve"/>
        </x:is>
      </x:c>
    </x:row>
    <x:row r="181" s="37" customFormat="1" ht="29.850000381469727" customHeight="1">
      <x:c r="A181" s="55" t="inlineStr">
        <x:is>
          <x:t xml:space="preserve">NEG-0180</x:t>
        </x:is>
      </x:c>
      <x:c r="B181" s="55" t="inlineStr">
        <x:is>
          <x:t xml:space="preserve">v2</x:t>
        </x:is>
      </x:c>
      <x:c r="C181" s="56" t="inlineStr">
        <x:is>
          <x:t xml:space="preserve">六、自我认同与自称</x:t>
        </x:is>
      </x:c>
      <x:c r="D181" s="56" t="inlineStr">
        <x:is>
          <x:t xml:space="preserve">6.4 职业与身份的自我定位</x:t>
        </x:is>
      </x:c>
      <x:c r="E181" s="56" t="inlineStr">
        <x:is>
          <x:t xml:space="preserve">文艺创作与评论</x:t>
        </x:is>
      </x:c>
      <x:c r="F181" s="56" t="inlineStr">
        <x:is>
          <x:t xml:space="preserve">演讲开场</x:t>
        </x:is>
      </x:c>
      <x:c r="G181" s="55" t="inlineStr">
        <x:is>
          <x:t xml:space="preserve">无</x:t>
        </x:is>
      </x:c>
      <x:c r="H181" s="55" t="str">
        <x:f>IF(LEN(I181)&lt;15,"短",IF(LEN(I181)&lt;=45,"中","长"))</x:f>
        <x:v>中</x:v>
      </x:c>
      <x:c r="I181" s="56" t="inlineStr">
        <x:is>
          <x:t xml:space="preserve">“我是一名女性外科医生。这句话我说了二十年，还是有人惊讶。”</x:t>
        </x:is>
      </x:c>
      <x:c r="J181" s="56" t="str">
        <x:f>I181</x:f>
        <x:v>“我是一名女性外科医生。这句话我说了二十年，还是有人惊讶。”</x:v>
      </x:c>
      <x:c r="K181" s="55" t="inlineStr">
        <x:is>
          <x:t xml:space="preserve">无需改写</x:t>
        </x:is>
      </x:c>
      <x:c r="L181" s="56" t="inlineStr">
        <x:is>
          <x:t xml:space="preserve">女性外科医生</x:t>
        </x:is>
      </x:c>
      <x:c r="M181" s="56" t="inlineStr">
        <x:is>
          <x:t xml:space="preserve">自我定位，且句子在陈述这一标签的处境</x:t>
        </x:is>
      </x:c>
      <x:c r="N181" s="56" t="inlineStr">
        <x:is>
          <x:t xml:space="preserve">我是一名外科医生。这句话我说了二十年……</x:t>
        </x:is>
      </x:c>
      <x:c r="O181" s="55" t="inlineStr">
        <x:is>
          <x:t xml:space="preserve">难</x:t>
        </x:is>
      </x:c>
      <x:c r="P181" s="55" t="inlineStr">
        <x:is>
          <x:t xml:space="preserve">否</x:t>
        </x:is>
      </x:c>
      <x:c r="Q181" s="56" t="n"/>
      <x:c r="R181" s="57" t="inlineStr">
        <x:is>
          <x:t xml:space="preserve">主集</x:t>
        </x:is>
      </x:c>
      <x:c r="S181" s="57" t="inlineStr">
        <x:is>
          <x:t xml:space="preserve">test</x:t>
        </x:is>
      </x:c>
      <x:c r="T181" s="57" t="inlineStr">
        <x:is>
          <x:t xml:space="preserve"/>
        </x:is>
      </x:c>
    </x:row>
    <x:row r="182" s="37" customFormat="1" ht="29.850000381469727" customHeight="1">
      <x:c r="A182" s="55" t="inlineStr">
        <x:is>
          <x:t xml:space="preserve">NEG-0181</x:t>
        </x:is>
      </x:c>
      <x:c r="B182" s="55" t="inlineStr">
        <x:is>
          <x:t xml:space="preserve">v2</x:t>
        </x:is>
      </x:c>
      <x:c r="C182" s="56" t="inlineStr">
        <x:is>
          <x:t xml:space="preserve">六、自我认同与自称</x:t>
        </x:is>
      </x:c>
      <x:c r="D182" s="56" t="inlineStr">
        <x:is>
          <x:t xml:space="preserve">6.4 职业与身份的自我定位</x:t>
        </x:is>
      </x:c>
      <x:c r="E182" s="56" t="inlineStr">
        <x:is>
          <x:t xml:space="preserve">文艺创作与评论</x:t>
        </x:is>
      </x:c>
      <x:c r="F182" s="56" t="inlineStr">
        <x:is>
          <x:t xml:space="preserve">纪录片同期声</x:t>
        </x:is>
      </x:c>
      <x:c r="G182" s="55" t="inlineStr">
        <x:is>
          <x:t xml:space="preserve">无</x:t>
        </x:is>
      </x:c>
      <x:c r="H182" s="55" t="str">
        <x:f>IF(LEN(I182)&lt;15,"短",IF(LEN(I182)&lt;=45,"中","长"))</x:f>
        <x:v>中</x:v>
      </x:c>
      <x:c r="I182" s="56" t="inlineStr">
        <x:is>
          <x:t xml:space="preserve">“我是全职爸爸，今年第三年。”他说这话时正在给孩子扎辫子。</x:t>
        </x:is>
      </x:c>
      <x:c r="J182" s="56" t="str">
        <x:f>I182</x:f>
        <x:v>“我是全职爸爸，今年第三年。”他说这话时正在给孩子扎辫子。</x:v>
      </x:c>
      <x:c r="K182" s="55" t="inlineStr">
        <x:is>
          <x:t xml:space="preserve">无需改写</x:t>
        </x:is>
      </x:c>
      <x:c r="L182" s="56" t="inlineStr">
        <x:is>
          <x:t xml:space="preserve">全职爸爸</x:t>
        </x:is>
      </x:c>
      <x:c r="M182" s="56" t="inlineStr">
        <x:is>
          <x:t xml:space="preserve">受访者自述</x:t>
        </x:is>
      </x:c>
      <x:c r="N182" s="56" t="inlineStr">
        <x:is>
          <x:t xml:space="preserve">我是全职家长，今年第三年</x:t>
        </x:is>
      </x:c>
      <x:c r="O182" s="55" t="inlineStr">
        <x:is>
          <x:t xml:space="preserve">难</x:t>
        </x:is>
      </x:c>
      <x:c r="P182" s="55" t="inlineStr">
        <x:is>
          <x:t xml:space="preserve">否</x:t>
        </x:is>
      </x:c>
      <x:c r="Q182" s="56" t="n"/>
      <x:c r="R182" s="57" t="inlineStr">
        <x:is>
          <x:t xml:space="preserve">主集</x:t>
        </x:is>
      </x:c>
      <x:c r="S182" s="57" t="inlineStr">
        <x:is>
          <x:t xml:space="preserve">test</x:t>
        </x:is>
      </x:c>
      <x:c r="T182" s="57" t="inlineStr">
        <x:is>
          <x:t xml:space="preserve"/>
        </x:is>
      </x:c>
    </x:row>
    <x:row r="183" s="37" customFormat="1" ht="29.850000381469727" customHeight="1">
      <x:c r="A183" s="55" t="inlineStr">
        <x:is>
          <x:t xml:space="preserve">NEG-0182</x:t>
        </x:is>
      </x:c>
      <x:c r="B183" s="55" t="inlineStr">
        <x:is>
          <x:t xml:space="preserve">v2</x:t>
        </x:is>
      </x:c>
      <x:c r="C183" s="56" t="inlineStr">
        <x:is>
          <x:t xml:space="preserve">六、自我认同与自称</x:t>
        </x:is>
      </x:c>
      <x:c r="D183" s="56" t="inlineStr">
        <x:is>
          <x:t xml:space="preserve">6.4 职业与身份的自我定位</x:t>
        </x:is>
      </x:c>
      <x:c r="E183" s="56" t="inlineStr">
        <x:is>
          <x:t xml:space="preserve">文艺创作与评论</x:t>
        </x:is>
      </x:c>
      <x:c r="F183" s="56" t="inlineStr">
        <x:is>
          <x:t xml:space="preserve">圆桌发言</x:t>
        </x:is>
      </x:c>
      <x:c r="G183" s="55" t="inlineStr">
        <x:is>
          <x:t xml:space="preserve">无</x:t>
        </x:is>
      </x:c>
      <x:c r="H183" s="55" t="str">
        <x:f>IF(LEN(I183)&lt;15,"短",IF(LEN(I183)&lt;=45,"中","长"))</x:f>
        <x:v>中</x:v>
      </x:c>
      <x:c r="I183" s="56" t="inlineStr">
        <x:is>
          <x:t xml:space="preserve">“身为女性创业者，融资时被问的问题跟男性完全不一样。”</x:t>
        </x:is>
      </x:c>
      <x:c r="J183" s="56" t="str">
        <x:f>I183</x:f>
        <x:v>“身为女性创业者，融资时被问的问题跟男性完全不一样。”</x:v>
      </x:c>
      <x:c r="K183" s="55" t="inlineStr">
        <x:is>
          <x:t xml:space="preserve">无需改写</x:t>
        </x:is>
      </x:c>
      <x:c r="L183" s="56" t="inlineStr">
        <x:is>
          <x:t xml:space="preserve">女性创业者/男性</x:t>
        </x:is>
      </x:c>
      <x:c r="M183" s="56" t="inlineStr">
        <x:is>
          <x:t xml:space="preserve">发言人自选的对比框架</x:t>
        </x:is>
      </x:c>
      <x:c r="N183" s="56" t="inlineStr">
        <x:is>
          <x:t xml:space="preserve">身为创业者，融资时被问的问题各不相同</x:t>
        </x:is>
      </x:c>
      <x:c r="O183" s="55" t="inlineStr">
        <x:is>
          <x:t xml:space="preserve">难</x:t>
        </x:is>
      </x:c>
      <x:c r="P183" s="55" t="inlineStr">
        <x:is>
          <x:t xml:space="preserve">否</x:t>
        </x:is>
      </x:c>
      <x:c r="Q183" s="56" t="n"/>
      <x:c r="R183" s="57" t="inlineStr">
        <x:is>
          <x:t xml:space="preserve">主集</x:t>
        </x:is>
      </x:c>
      <x:c r="S183" s="57" t="inlineStr">
        <x:is>
          <x:t xml:space="preserve">test</x:t>
        </x:is>
      </x:c>
      <x:c r="T183" s="57" t="inlineStr">
        <x:is>
          <x:t xml:space="preserve"/>
        </x:is>
      </x:c>
    </x:row>
    <x:row r="184" s="37" customFormat="1" ht="15" customHeight="1">
      <x:c r="A184" s="55" t="inlineStr">
        <x:is>
          <x:t xml:space="preserve">NEG-0183</x:t>
        </x:is>
      </x:c>
      <x:c r="B184" s="55" t="inlineStr">
        <x:is>
          <x:t xml:space="preserve">v2</x:t>
        </x:is>
      </x:c>
      <x:c r="C184" s="56" t="inlineStr">
        <x:is>
          <x:t xml:space="preserve">六、自我认同与自称</x:t>
        </x:is>
      </x:c>
      <x:c r="D184" s="56" t="inlineStr">
        <x:is>
          <x:t xml:space="preserve">6.4 职业与身份的自我定位</x:t>
        </x:is>
      </x:c>
      <x:c r="E184" s="56" t="inlineStr">
        <x:is>
          <x:t xml:space="preserve">学术与调研</x:t>
        </x:is>
      </x:c>
      <x:c r="F184" s="56" t="inlineStr">
        <x:is>
          <x:t xml:space="preserve">口述史</x:t>
        </x:is>
      </x:c>
      <x:c r="G184" s="55" t="inlineStr">
        <x:is>
          <x:t xml:space="preserve">无</x:t>
        </x:is>
      </x:c>
      <x:c r="H184" s="55" t="str">
        <x:f>IF(LEN(I184)&lt;15,"短",IF(LEN(I184)&lt;=45,"中","长"))</x:f>
        <x:v>中</x:v>
      </x:c>
      <x:c r="I184" s="56" t="inlineStr">
        <x:is>
          <x:t xml:space="preserve">她自称“厂妹出身”，说起来并不避讳。</x:t>
        </x:is>
      </x:c>
      <x:c r="J184" s="56" t="str">
        <x:f>I184</x:f>
        <x:v>她自称“厂妹出身”，说起来并不避讳。</x:v>
      </x:c>
      <x:c r="K184" s="55" t="inlineStr">
        <x:is>
          <x:t xml:space="preserve">无需改写</x:t>
        </x:is>
      </x:c>
      <x:c r="L184" s="56" t="inlineStr">
        <x:is>
          <x:t xml:space="preserve">厂妹</x:t>
        </x:is>
      </x:c>
      <x:c r="M184" s="56" t="inlineStr">
        <x:is>
          <x:t xml:space="preserve">当事人自称，含身份认同意味</x:t>
        </x:is>
      </x:c>
      <x:c r="N184" s="56" t="inlineStr">
        <x:is>
          <x:t xml:space="preserve">她自称工厂出身，说起来并不避讳</x:t>
        </x:is>
      </x:c>
      <x:c r="O184" s="55" t="inlineStr">
        <x:is>
          <x:t xml:space="preserve">中</x:t>
        </x:is>
      </x:c>
      <x:c r="P184" s="55" t="inlineStr">
        <x:is>
          <x:t xml:space="preserve">是</x:t>
        </x:is>
      </x:c>
      <x:c r="Q184" s="56" t="n"/>
      <x:c r="R184" s="57" t="inlineStr">
        <x:is>
          <x:t xml:space="preserve">主集</x:t>
        </x:is>
      </x:c>
      <x:c r="S184" s="57" t="inlineStr">
        <x:is>
          <x:t xml:space="preserve">test</x:t>
        </x:is>
      </x:c>
      <x:c r="T184" s="57" t="inlineStr">
        <x:is>
          <x:t xml:space="preserve"/>
        </x:is>
      </x:c>
    </x:row>
    <x:row r="185" s="37" customFormat="1" ht="15" customHeight="1">
      <x:c r="A185" s="55" t="inlineStr">
        <x:is>
          <x:t xml:space="preserve">NEG-0184</x:t>
        </x:is>
      </x:c>
      <x:c r="B185" s="55" t="inlineStr">
        <x:is>
          <x:t xml:space="preserve">v2</x:t>
        </x:is>
      </x:c>
      <x:c r="C185" s="56" t="inlineStr">
        <x:is>
          <x:t xml:space="preserve">六、自我认同与自称</x:t>
        </x:is>
      </x:c>
      <x:c r="D185" s="56" t="inlineStr">
        <x:is>
          <x:t xml:space="preserve">6.5 艺名、网名、角色名</x:t>
        </x:is>
      </x:c>
      <x:c r="E185" s="56" t="inlineStr">
        <x:is>
          <x:t xml:space="preserve">学术与调研</x:t>
        </x:is>
      </x:c>
      <x:c r="F185" s="56" t="inlineStr">
        <x:is>
          <x:t xml:space="preserve">出版介绍</x:t>
        </x:is>
      </x:c>
      <x:c r="G185" s="55" t="inlineStr">
        <x:is>
          <x:t xml:space="preserve">无</x:t>
        </x:is>
      </x:c>
      <x:c r="H185" s="55" t="str">
        <x:f>IF(LEN(I185)&lt;15,"短",IF(LEN(I185)&lt;=45,"中","长"))</x:f>
        <x:v>中</x:v>
      </x:c>
      <x:c r="I185" s="56" t="inlineStr">
        <x:is>
          <x:t xml:space="preserve">她的笔名“素心女子”已沿用三十年。</x:t>
        </x:is>
      </x:c>
      <x:c r="J185" s="56" t="str">
        <x:f>I185</x:f>
        <x:v>她的笔名“素心女子”已沿用三十年。</x:v>
      </x:c>
      <x:c r="K185" s="55" t="inlineStr">
        <x:is>
          <x:t xml:space="preserve">无需改写</x:t>
        </x:is>
      </x:c>
      <x:c r="L185" s="56" t="inlineStr">
        <x:is>
          <x:t xml:space="preserve">素心女子</x:t>
        </x:is>
      </x:c>
      <x:c r="M185" s="56" t="inlineStr">
        <x:is>
          <x:t xml:space="preserve">自选笔名</x:t>
        </x:is>
      </x:c>
      <x:c r="N185" s="56" t="inlineStr">
        <x:is>
          <x:t xml:space="preserve">她的笔名“素心”已沿用三十年</x:t>
        </x:is>
      </x:c>
      <x:c r="O185" s="55" t="inlineStr">
        <x:is>
          <x:t xml:space="preserve">易</x:t>
        </x:is>
      </x:c>
      <x:c r="P185" s="55" t="inlineStr">
        <x:is>
          <x:t xml:space="preserve">否</x:t>
        </x:is>
      </x:c>
      <x:c r="Q185" s="56" t="n"/>
      <x:c r="R185" s="57" t="inlineStr">
        <x:is>
          <x:t xml:space="preserve">主集</x:t>
        </x:is>
      </x:c>
      <x:c r="S185" s="57" t="inlineStr">
        <x:is>
          <x:t xml:space="preserve">index</x:t>
        </x:is>
      </x:c>
      <x:c r="T185" s="57" t="inlineStr">
        <x:is>
          <x:t xml:space="preserve"/>
        </x:is>
      </x:c>
    </x:row>
    <x:row r="186" s="37" customFormat="1" ht="29.850000381469727" customHeight="1">
      <x:c r="A186" s="55" t="inlineStr">
        <x:is>
          <x:t xml:space="preserve">NEG-0185</x:t>
        </x:is>
      </x:c>
      <x:c r="B186" s="55" t="inlineStr">
        <x:is>
          <x:t xml:space="preserve">v2</x:t>
        </x:is>
      </x:c>
      <x:c r="C186" s="56" t="inlineStr">
        <x:is>
          <x:t xml:space="preserve">六、自我认同与自称</x:t>
        </x:is>
      </x:c>
      <x:c r="D186" s="56" t="inlineStr">
        <x:is>
          <x:t xml:space="preserve">6.5 艺名、网名、角色名</x:t>
        </x:is>
      </x:c>
      <x:c r="E186" s="56" t="inlineStr">
        <x:is>
          <x:t xml:space="preserve">社交与社区</x:t>
        </x:is>
      </x:c>
      <x:c r="F186" s="56" t="inlineStr">
        <x:is>
          <x:t xml:space="preserve">社区观察</x:t>
        </x:is>
      </x:c>
      <x:c r="G186" s="55" t="inlineStr">
        <x:is>
          <x:t xml:space="preserve">无</x:t>
        </x:is>
      </x:c>
      <x:c r="H186" s="55" t="str">
        <x:f>IF(LEN(I186)&lt;15,"短",IF(LEN(I186)&lt;=45,"中","长"))</x:f>
        <x:v>中</x:v>
      </x:c>
      <x:c r="I186" s="56" t="inlineStr">
        <x:is>
          <x:t xml:space="preserve">网名叫“隔壁老王”，本人其实是位三十岁的女生。</x:t>
        </x:is>
      </x:c>
      <x:c r="J186" s="56" t="str">
        <x:f>I186</x:f>
        <x:v>网名叫“隔壁老王”，本人其实是位三十岁的女生。</x:v>
      </x:c>
      <x:c r="K186" s="55" t="inlineStr">
        <x:is>
          <x:t xml:space="preserve">无需改写</x:t>
        </x:is>
      </x:c>
      <x:c r="L186" s="56" t="inlineStr">
        <x:is>
          <x:t xml:space="preserve">隔壁老王/女生</x:t>
        </x:is>
      </x:c>
      <x:c r="M186" s="56" t="inlineStr">
        <x:is>
          <x:t xml:space="preserve">网名与本人性别的错位正是句子的信息点</x:t>
        </x:is>
      </x:c>
      <x:c r="N186" s="56" t="inlineStr">
        <x:is>
          <x:t xml:space="preserve">网名与本人身份存在错位</x:t>
        </x:is>
      </x:c>
      <x:c r="O186" s="55" t="inlineStr">
        <x:is>
          <x:t xml:space="preserve">难</x:t>
        </x:is>
      </x:c>
      <x:c r="P186" s="55" t="inlineStr">
        <x:is>
          <x:t xml:space="preserve">否</x:t>
        </x:is>
      </x:c>
      <x:c r="Q186" s="56" t="n"/>
      <x:c r="R186" s="57" t="inlineStr">
        <x:is>
          <x:t xml:space="preserve">主集</x:t>
        </x:is>
      </x:c>
      <x:c r="S186" s="57" t="inlineStr">
        <x:is>
          <x:t xml:space="preserve">test</x:t>
        </x:is>
      </x:c>
      <x:c r="T186" s="57" t="inlineStr">
        <x:is>
          <x:t xml:space="preserve"/>
        </x:is>
      </x:c>
    </x:row>
    <x:row r="187" s="37" customFormat="1" ht="15" customHeight="1">
      <x:c r="A187" s="55" t="inlineStr">
        <x:is>
          <x:t xml:space="preserve">NEG-0186</x:t>
        </x:is>
      </x:c>
      <x:c r="B187" s="55" t="inlineStr">
        <x:is>
          <x:t xml:space="preserve">v2</x:t>
        </x:is>
      </x:c>
      <x:c r="C187" s="56" t="inlineStr">
        <x:is>
          <x:t xml:space="preserve">六、自我认同与自称</x:t>
        </x:is>
      </x:c>
      <x:c r="D187" s="56" t="inlineStr">
        <x:is>
          <x:t xml:space="preserve">6.5 艺名、网名、角色名</x:t>
        </x:is>
      </x:c>
      <x:c r="E187" s="56" t="inlineStr">
        <x:is>
          <x:t xml:space="preserve">社交与社区</x:t>
        </x:is>
      </x:c>
      <x:c r="F187" s="56" t="inlineStr">
        <x:is>
          <x:t xml:space="preserve">平台资料</x:t>
        </x:is>
      </x:c>
      <x:c r="G187" s="55" t="inlineStr">
        <x:is>
          <x:t xml:space="preserve">无</x:t>
        </x:is>
      </x:c>
      <x:c r="H187" s="55" t="str">
        <x:f>IF(LEN(I187)&lt;15,"短",IF(LEN(I187)&lt;=45,"中","长"))</x:f>
        <x:v>中</x:v>
      </x:c>
      <x:c r="I187" s="56" t="inlineStr">
        <x:is>
          <x:t xml:space="preserve">该主播的账号名为“健身男孩阿达”，粉丝以女性为主。</x:t>
        </x:is>
      </x:c>
      <x:c r="J187" s="56" t="str">
        <x:f>I187</x:f>
        <x:v>该主播的账号名为“健身男孩阿达”，粉丝以女性为主。</x:v>
      </x:c>
      <x:c r="K187" s="55" t="inlineStr">
        <x:is>
          <x:t xml:space="preserve">无需改写</x:t>
        </x:is>
      </x:c>
      <x:c r="L187" s="56" t="inlineStr">
        <x:is>
          <x:t xml:space="preserve">健身男孩</x:t>
        </x:is>
      </x:c>
      <x:c r="M187" s="56" t="inlineStr">
        <x:is>
          <x:t xml:space="preserve">账号名与受众构成</x:t>
        </x:is>
      </x:c>
      <x:c r="N187" s="56" t="inlineStr">
        <x:is>
          <x:t xml:space="preserve">该主播的账号名为“健身阿达”</x:t>
        </x:is>
      </x:c>
      <x:c r="O187" s="55" t="inlineStr">
        <x:is>
          <x:t xml:space="preserve">中</x:t>
        </x:is>
      </x:c>
      <x:c r="P187" s="55" t="inlineStr">
        <x:is>
          <x:t xml:space="preserve">否</x:t>
        </x:is>
      </x:c>
      <x:c r="Q187" s="56" t="n"/>
      <x:c r="R187" s="57" t="inlineStr">
        <x:is>
          <x:t xml:space="preserve">主集</x:t>
        </x:is>
      </x:c>
      <x:c r="S187" s="57" t="inlineStr">
        <x:is>
          <x:t xml:space="preserve">index</x:t>
        </x:is>
      </x:c>
      <x:c r="T187" s="57" t="inlineStr">
        <x:is>
          <x:t xml:space="preserve"/>
        </x:is>
      </x:c>
    </x:row>
    <x:row r="188" s="37" customFormat="1" ht="15" customHeight="1">
      <x:c r="A188" s="55" t="inlineStr">
        <x:is>
          <x:t xml:space="preserve">NEG-0187</x:t>
        </x:is>
      </x:c>
      <x:c r="B188" s="55" t="inlineStr">
        <x:is>
          <x:t xml:space="preserve">v2</x:t>
        </x:is>
      </x:c>
      <x:c r="C188" s="56" t="inlineStr">
        <x:is>
          <x:t xml:space="preserve">六、自我认同与自称</x:t>
        </x:is>
      </x:c>
      <x:c r="D188" s="56" t="inlineStr">
        <x:is>
          <x:t xml:space="preserve">6.5 艺名、网名、角色名</x:t>
        </x:is>
      </x:c>
      <x:c r="E188" s="56" t="inlineStr">
        <x:is>
          <x:t xml:space="preserve">社交与社区</x:t>
        </x:is>
      </x:c>
      <x:c r="F188" s="56" t="inlineStr">
        <x:is>
          <x:t xml:space="preserve">自媒体</x:t>
        </x:is>
      </x:c>
      <x:c r="G188" s="55" t="inlineStr">
        <x:is>
          <x:t xml:space="preserve">无</x:t>
        </x:is>
      </x:c>
      <x:c r="H188" s="55" t="str">
        <x:f>IF(LEN(I188)&lt;15,"短",IF(LEN(I188)&lt;=45,"中","长"))</x:f>
        <x:v>中</x:v>
      </x:c>
      <x:c r="I188" s="56" t="inlineStr">
        <x:is>
          <x:t xml:space="preserve">他给自己的公众号取名“奶爸日记”，更新了四百多期。</x:t>
        </x:is>
      </x:c>
      <x:c r="J188" s="56" t="str">
        <x:f>I188</x:f>
        <x:v>他给自己的公众号取名“奶爸日记”，更新了四百多期。</x:v>
      </x:c>
      <x:c r="K188" s="55" t="inlineStr">
        <x:is>
          <x:t xml:space="preserve">无需改写</x:t>
        </x:is>
      </x:c>
      <x:c r="L188" s="56" t="inlineStr">
        <x:is>
          <x:t xml:space="preserve">奶爸</x:t>
        </x:is>
      </x:c>
      <x:c r="M188" s="56" t="inlineStr">
        <x:is>
          <x:t xml:space="preserve">自选栏目名</x:t>
        </x:is>
      </x:c>
      <x:c r="N188" s="56" t="inlineStr">
        <x:is>
          <x:t xml:space="preserve">他给自己的公众号取名“育儿日记”</x:t>
        </x:is>
      </x:c>
      <x:c r="O188" s="55" t="inlineStr">
        <x:is>
          <x:t xml:space="preserve">中</x:t>
        </x:is>
      </x:c>
      <x:c r="P188" s="55" t="inlineStr">
        <x:is>
          <x:t xml:space="preserve">否</x:t>
        </x:is>
      </x:c>
      <x:c r="Q188" s="56" t="n"/>
      <x:c r="R188" s="57" t="inlineStr">
        <x:is>
          <x:t xml:space="preserve">主集</x:t>
        </x:is>
      </x:c>
      <x:c r="S188" s="57" t="inlineStr">
        <x:is>
          <x:t xml:space="preserve">dev</x:t>
        </x:is>
      </x:c>
      <x:c r="T188" s="57" t="inlineStr">
        <x:is>
          <x:t xml:space="preserve"/>
        </x:is>
      </x:c>
    </x:row>
    <x:row r="189" s="37" customFormat="1" ht="15" customHeight="1">
      <x:c r="A189" s="58" t="inlineStr">
        <x:is>
          <x:t xml:space="preserve">NEG-0188</x:t>
        </x:is>
      </x:c>
      <x:c r="B189" s="58" t="inlineStr">
        <x:is>
          <x:t xml:space="preserve">v2</x:t>
        </x:is>
      </x:c>
      <x:c r="C189" s="59" t="inlineStr">
        <x:is>
          <x:t xml:space="preserve">六、自我认同与自称</x:t>
        </x:is>
      </x:c>
      <x:c r="D189" s="59" t="inlineStr">
        <x:is>
          <x:t xml:space="preserve">6.5 艺名、网名、角色名</x:t>
        </x:is>
      </x:c>
      <x:c r="E189" s="59" t="inlineStr">
        <x:is>
          <x:t xml:space="preserve">文艺创作与评论</x:t>
        </x:is>
      </x:c>
      <x:c r="F189" s="59" t="inlineStr">
        <x:is>
          <x:t xml:space="preserve">戏曲介绍</x:t>
        </x:is>
      </x:c>
      <x:c r="G189" s="58" t="inlineStr">
        <x:is>
          <x:t xml:space="preserve">无</x:t>
        </x:is>
      </x:c>
      <x:c r="H189" s="58" t="str">
        <x:f>IF(LEN(I189)&lt;15,"短",IF(LEN(I189)&lt;=45,"中","长"))</x:f>
        <x:v>中</x:v>
      </x:c>
      <x:c r="I189" s="59" t="inlineStr">
        <x:is>
          <x:t xml:space="preserve">她的艺名一直叫“小生”，工的也是小生行当。</x:t>
        </x:is>
      </x:c>
      <x:c r="J189" s="59" t="str">
        <x:f>I189</x:f>
        <x:v>她的艺名一直叫“小生”，工的也是小生行当。</x:v>
      </x:c>
      <x:c r="K189" s="58" t="inlineStr">
        <x:is>
          <x:t xml:space="preserve">无需改写</x:t>
        </x:is>
      </x:c>
      <x:c r="L189" s="59" t="inlineStr">
        <x:is>
          <x:t xml:space="preserve">小生</x:t>
        </x:is>
      </x:c>
      <x:c r="M189" s="59" t="inlineStr">
        <x:is>
          <x:t xml:space="preserve">艺名与行当名称</x:t>
        </x:is>
      </x:c>
      <x:c r="N189" s="59" t="inlineStr">
        <x:is>
          <x:t xml:space="preserve">她的艺名一直沿用，工的是相应行当</x:t>
        </x:is>
      </x:c>
      <x:c r="O189" s="58" t="inlineStr">
        <x:is>
          <x:t xml:space="preserve">易</x:t>
        </x:is>
      </x:c>
      <x:c r="P189" s="58" t="inlineStr">
        <x:is>
          <x:t xml:space="preserve">否</x:t>
        </x:is>
      </x:c>
      <x:c r="Q189" s="59" t="n"/>
      <x:c r="R189" s="60" t="inlineStr">
        <x:is>
          <x:t xml:space="preserve">隔离·待确认</x:t>
        </x:is>
      </x:c>
      <x:c r="S189" s="60" t="inlineStr">
        <x:is>
          <x:t xml:space="preserve"/>
        </x:is>
      </x:c>
      <x:c r="T189" s="60" t="inlineStr">
        <x:is>
          <x:t xml:space="preserve">触发词不含性别编码——判断可能依赖世界知识而非句内信息</x:t>
        </x:is>
      </x:c>
    </x:row>
    <x:row r="190" s="37" customFormat="1" ht="29.850000381469727" customHeight="1">
      <x:c r="A190" s="61" t="inlineStr">
        <x:is>
          <x:t xml:space="preserve">NEG-0189</x:t>
        </x:is>
      </x:c>
      <x:c r="B190" s="61" t="inlineStr">
        <x:is>
          <x:t xml:space="preserve">v2</x:t>
        </x:is>
      </x:c>
      <x:c r="C190" s="62" t="inlineStr">
        <x:is>
          <x:t xml:space="preserve">七、创作与修辞需要</x:t>
        </x:is>
      </x:c>
      <x:c r="D190" s="62" t="inlineStr">
        <x:is>
          <x:t xml:space="preserve">7.1 人物塑造</x:t>
        </x:is>
      </x:c>
      <x:c r="E190" s="62" t="inlineStr">
        <x:is>
          <x:t xml:space="preserve">文艺创作与评论</x:t>
        </x:is>
      </x:c>
      <x:c r="F190" s="62" t="inlineStr">
        <x:is>
          <x:t xml:space="preserve">小说</x:t>
        </x:is>
      </x:c>
      <x:c r="G190" s="61" t="inlineStr">
        <x:is>
          <x:t xml:space="preserve">无</x:t>
        </x:is>
      </x:c>
      <x:c r="H190" s="61" t="str">
        <x:f>IF(LEN(I190)&lt;15,"短",IF(LEN(I190)&lt;=45,"中","长"))</x:f>
        <x:v>中</x:v>
      </x:c>
      <x:c r="I190" s="62" t="inlineStr">
        <x:is>
          <x:t xml:space="preserve">老太太把碗一放：“女人家瞎操心，轮得到你说话？”</x:t>
        </x:is>
      </x:c>
      <x:c r="J190" s="62" t="str">
        <x:f>I190</x:f>
        <x:v>老太太把碗一放：“女人家瞎操心，轮得到你说话？”</x:v>
      </x:c>
      <x:c r="K190" s="61" t="inlineStr">
        <x:is>
          <x:t xml:space="preserve">无需改写</x:t>
        </x:is>
      </x:c>
      <x:c r="L190" s="62" t="inlineStr">
        <x:is>
          <x:t xml:space="preserve">女人家</x:t>
        </x:is>
      </x:c>
      <x:c r="M190" s="62" t="inlineStr">
        <x:is>
          <x:t xml:space="preserve">角色语言即人物塑造，作者不等于角色</x:t>
        </x:is>
      </x:c>
      <x:c r="N190" s="62" t="inlineStr">
        <x:is>
          <x:t xml:space="preserve">老太太把碗一放：“瞎操心，轮得到你说话？”</x:t>
        </x:is>
      </x:c>
      <x:c r="O190" s="61" t="inlineStr">
        <x:is>
          <x:t xml:space="preserve">难</x:t>
        </x:is>
      </x:c>
      <x:c r="P190" s="61" t="inlineStr">
        <x:is>
          <x:t xml:space="preserve">否</x:t>
        </x:is>
      </x:c>
      <x:c r="Q190" s="62" t="n"/>
      <x:c r="R190" s="63" t="inlineStr">
        <x:is>
          <x:t xml:space="preserve">剔除</x:t>
        </x:is>
      </x:c>
      <x:c r="S190" s="63" t="inlineStr">
        <x:is>
          <x:t xml:space="preserve"/>
        </x:is>
      </x:c>
      <x:c r="T190" s="63" t="inlineStr">
        <x:is>
          <x:t xml:space="preserve">类别名有误导性：判据实为「引用/提及」，暂不纳入</x:t>
        </x:is>
      </x:c>
    </x:row>
    <x:row r="191" s="37" customFormat="1" ht="29.850000381469727" customHeight="1">
      <x:c r="A191" s="61" t="inlineStr">
        <x:is>
          <x:t xml:space="preserve">NEG-0190</x:t>
        </x:is>
      </x:c>
      <x:c r="B191" s="61" t="inlineStr">
        <x:is>
          <x:t xml:space="preserve">v2</x:t>
        </x:is>
      </x:c>
      <x:c r="C191" s="62" t="inlineStr">
        <x:is>
          <x:t xml:space="preserve">七、创作与修辞需要</x:t>
        </x:is>
      </x:c>
      <x:c r="D191" s="62" t="inlineStr">
        <x:is>
          <x:t xml:space="preserve">7.1 人物塑造</x:t>
        </x:is>
      </x:c>
      <x:c r="E191" s="62" t="inlineStr">
        <x:is>
          <x:t xml:space="preserve">文艺创作与评论</x:t>
        </x:is>
      </x:c>
      <x:c r="F191" s="62" t="inlineStr">
        <x:is>
          <x:t xml:space="preserve">剧本</x:t>
        </x:is>
      </x:c>
      <x:c r="G191" s="61" t="inlineStr">
        <x:is>
          <x:t xml:space="preserve">无</x:t>
        </x:is>
      </x:c>
      <x:c r="H191" s="61" t="str">
        <x:f>IF(LEN(I191)&lt;15,"短",IF(LEN(I191)&lt;=45,"中","长"))</x:f>
        <x:v>中</x:v>
      </x:c>
      <x:c r="I191" s="62" t="inlineStr">
        <x:is>
          <x:t xml:space="preserve">台词：“姑娘家家的，抛头露面像什么样子。”——用以立住保守族长的形象。</x:t>
        </x:is>
      </x:c>
      <x:c r="J191" s="62" t="str">
        <x:f>I191</x:f>
        <x:v>台词：“姑娘家家的，抛头露面像什么样子。”——用以立住保守族长的形象。</x:v>
      </x:c>
      <x:c r="K191" s="61" t="inlineStr">
        <x:is>
          <x:t xml:space="preserve">无需改写</x:t>
        </x:is>
      </x:c>
      <x:c r="L191" s="62" t="inlineStr">
        <x:is>
          <x:t xml:space="preserve">姑娘家家</x:t>
        </x:is>
      </x:c>
      <x:c r="M191" s="62" t="inlineStr">
        <x:is>
          <x:t xml:space="preserve">台词承担塑造功能，后半句已说明用意</x:t>
        </x:is>
      </x:c>
      <x:c r="N191" s="62" t="inlineStr">
        <x:is>
          <x:t xml:space="preserve">台词：“抛头露面像什么样子。”</x:t>
        </x:is>
      </x:c>
      <x:c r="O191" s="61" t="inlineStr">
        <x:is>
          <x:t xml:space="preserve">难</x:t>
        </x:is>
      </x:c>
      <x:c r="P191" s="61" t="inlineStr">
        <x:is>
          <x:t xml:space="preserve">否</x:t>
        </x:is>
      </x:c>
      <x:c r="Q191" s="62" t="n"/>
      <x:c r="R191" s="63" t="inlineStr">
        <x:is>
          <x:t xml:space="preserve">剔除</x:t>
        </x:is>
      </x:c>
      <x:c r="S191" s="63" t="inlineStr">
        <x:is>
          <x:t xml:space="preserve"/>
        </x:is>
      </x:c>
      <x:c r="T191" s="63" t="inlineStr">
        <x:is>
          <x:t xml:space="preserve">类别名有误导性：判据实为「引用/提及」，暂不纳入</x:t>
        </x:is>
      </x:c>
    </x:row>
    <x:row r="192" s="37" customFormat="1" ht="29.850000381469727" customHeight="1">
      <x:c r="A192" s="61" t="inlineStr">
        <x:is>
          <x:t xml:space="preserve">NEG-0191</x:t>
        </x:is>
      </x:c>
      <x:c r="B192" s="61" t="inlineStr">
        <x:is>
          <x:t xml:space="preserve">v2</x:t>
        </x:is>
      </x:c>
      <x:c r="C192" s="62" t="inlineStr">
        <x:is>
          <x:t xml:space="preserve">七、创作与修辞需要</x:t>
        </x:is>
      </x:c>
      <x:c r="D192" s="62" t="inlineStr">
        <x:is>
          <x:t xml:space="preserve">7.1 人物塑造</x:t>
        </x:is>
      </x:c>
      <x:c r="E192" s="62" t="inlineStr">
        <x:is>
          <x:t xml:space="preserve">文艺创作与评论</x:t>
        </x:is>
      </x:c>
      <x:c r="F192" s="62" t="inlineStr">
        <x:is>
          <x:t xml:space="preserve">书评</x:t>
        </x:is>
      </x:c>
      <x:c r="G192" s="61" t="inlineStr">
        <x:is>
          <x:t xml:space="preserve">无</x:t>
        </x:is>
      </x:c>
      <x:c r="H192" s="61" t="str">
        <x:f>IF(LEN(I192)&lt;15,"短",IF(LEN(I192)&lt;=45,"中","长"))</x:f>
        <x:v>中</x:v>
      </x:c>
      <x:c r="I192" s="62" t="inlineStr">
        <x:is>
          <x:t xml:space="preserve">小说里父亲那句“丫头片子”，是全书最刺人的三个字。</x:t>
        </x:is>
      </x:c>
      <x:c r="J192" s="62" t="str">
        <x:f>I192</x:f>
        <x:v>小说里父亲那句“丫头片子”，是全书最刺人的三个字。</x:v>
      </x:c>
      <x:c r="K192" s="61" t="inlineStr">
        <x:is>
          <x:t xml:space="preserve">无需改写</x:t>
        </x:is>
      </x:c>
      <x:c r="L192" s="62" t="inlineStr">
        <x:is>
          <x:t xml:space="preserve">丫头片子</x:t>
        </x:is>
      </x:c>
      <x:c r="M192" s="62" t="inlineStr">
        <x:is>
          <x:t xml:space="preserve">评论对象是原文用词</x:t>
        </x:is>
      </x:c>
      <x:c r="N192" s="62" t="inlineStr">
        <x:is>
          <x:t xml:space="preserve">小说里父亲那句轻蔑的称呼，是全书最刺人的地方</x:t>
        </x:is>
      </x:c>
      <x:c r="O192" s="61" t="inlineStr">
        <x:is>
          <x:t xml:space="preserve">难</x:t>
        </x:is>
      </x:c>
      <x:c r="P192" s="61" t="inlineStr">
        <x:is>
          <x:t xml:space="preserve">否</x:t>
        </x:is>
      </x:c>
      <x:c r="Q192" s="62" t="n"/>
      <x:c r="R192" s="63" t="inlineStr">
        <x:is>
          <x:t xml:space="preserve">剔除</x:t>
        </x:is>
      </x:c>
      <x:c r="S192" s="63" t="inlineStr">
        <x:is>
          <x:t xml:space="preserve"/>
        </x:is>
      </x:c>
      <x:c r="T192" s="63" t="inlineStr">
        <x:is>
          <x:t xml:space="preserve">类别名有误导性：判据实为「引用/提及」，暂不纳入</x:t>
        </x:is>
      </x:c>
    </x:row>
    <x:row r="193" s="37" customFormat="1" ht="29.850000381469727" customHeight="1">
      <x:c r="A193" s="61" t="inlineStr">
        <x:is>
          <x:t xml:space="preserve">NEG-0192</x:t>
        </x:is>
      </x:c>
      <x:c r="B193" s="61" t="inlineStr">
        <x:is>
          <x:t xml:space="preserve">v2</x:t>
        </x:is>
      </x:c>
      <x:c r="C193" s="62" t="inlineStr">
        <x:is>
          <x:t xml:space="preserve">七、创作与修辞需要</x:t>
        </x:is>
      </x:c>
      <x:c r="D193" s="62" t="inlineStr">
        <x:is>
          <x:t xml:space="preserve">7.1 人物塑造</x:t>
        </x:is>
      </x:c>
      <x:c r="E193" s="62" t="inlineStr">
        <x:is>
          <x:t xml:space="preserve">文艺创作与评论</x:t>
        </x:is>
      </x:c>
      <x:c r="F193" s="62" t="inlineStr">
        <x:is>
          <x:t xml:space="preserve">影评</x:t>
        </x:is>
      </x:c>
      <x:c r="G193" s="61" t="inlineStr">
        <x:is>
          <x:t xml:space="preserve">无</x:t>
        </x:is>
      </x:c>
      <x:c r="H193" s="61" t="str">
        <x:f>IF(LEN(I193)&lt;15,"短",IF(LEN(I193)&lt;=45,"中","长"))</x:f>
        <x:v>中</x:v>
      </x:c>
      <x:c r="I193" s="62" t="inlineStr">
        <x:is>
          <x:t xml:space="preserve">反派一开口就是“娘们儿唧唧的”，观众立刻知道该讨厌他。</x:t>
        </x:is>
      </x:c>
      <x:c r="J193" s="62" t="str">
        <x:f>I193</x:f>
        <x:v>反派一开口就是“娘们儿唧唧的”，观众立刻知道该讨厌他。</x:v>
      </x:c>
      <x:c r="K193" s="61" t="inlineStr">
        <x:is>
          <x:t xml:space="preserve">无需改写</x:t>
        </x:is>
      </x:c>
      <x:c r="L193" s="62" t="inlineStr">
        <x:is>
          <x:t xml:space="preserve">娘们儿唧唧</x:t>
        </x:is>
      </x:c>
      <x:c r="M193" s="62" t="inlineStr">
        <x:is>
          <x:t xml:space="preserve">角色语言的功能是引导观众反感</x:t>
        </x:is>
      </x:c>
      <x:c r="N193" s="62" t="inlineStr">
        <x:is>
          <x:t xml:space="preserve">反派一开口就带侮辱意味，观众立刻知道该讨厌他</x:t>
        </x:is>
      </x:c>
      <x:c r="O193" s="61" t="inlineStr">
        <x:is>
          <x:t xml:space="preserve">难</x:t>
        </x:is>
      </x:c>
      <x:c r="P193" s="61" t="inlineStr">
        <x:is>
          <x:t xml:space="preserve">否</x:t>
        </x:is>
      </x:c>
      <x:c r="Q193" s="62" t="n"/>
      <x:c r="R193" s="63" t="inlineStr">
        <x:is>
          <x:t xml:space="preserve">剔除</x:t>
        </x:is>
      </x:c>
      <x:c r="S193" s="63" t="inlineStr">
        <x:is>
          <x:t xml:space="preserve"/>
        </x:is>
      </x:c>
      <x:c r="T193" s="63" t="inlineStr">
        <x:is>
          <x:t xml:space="preserve">类别名有误导性：判据实为「引用/提及」，暂不纳入</x:t>
        </x:is>
      </x:c>
    </x:row>
    <x:row r="194" s="37" customFormat="1" ht="29.850000381469727" customHeight="1">
      <x:c r="A194" s="61" t="inlineStr">
        <x:is>
          <x:t xml:space="preserve">NEG-0193</x:t>
        </x:is>
      </x:c>
      <x:c r="B194" s="61" t="inlineStr">
        <x:is>
          <x:t xml:space="preserve">v2</x:t>
        </x:is>
      </x:c>
      <x:c r="C194" s="62" t="inlineStr">
        <x:is>
          <x:t xml:space="preserve">七、创作与修辞需要</x:t>
        </x:is>
      </x:c>
      <x:c r="D194" s="62" t="inlineStr">
        <x:is>
          <x:t xml:space="preserve">7.1 人物塑造</x:t>
        </x:is>
      </x:c>
      <x:c r="E194" s="62" t="inlineStr">
        <x:is>
          <x:t xml:space="preserve">文艺创作与评论</x:t>
        </x:is>
      </x:c>
      <x:c r="F194" s="62" t="inlineStr">
        <x:is>
          <x:t xml:space="preserve">编剧笔记</x:t>
        </x:is>
      </x:c>
      <x:c r="G194" s="61" t="inlineStr">
        <x:is>
          <x:t xml:space="preserve">无</x:t>
        </x:is>
      </x:c>
      <x:c r="H194" s="61" t="str">
        <x:f>IF(LEN(I194)&lt;15,"短",IF(LEN(I194)&lt;=45,"中","长"))</x:f>
        <x:v>中</x:v>
      </x:c>
      <x:c r="I194" s="62" t="inlineStr">
        <x:is>
          <x:t xml:space="preserve">他写的那句“我娶你，是抬举你”，让这个角色彻底立住了。</x:t>
        </x:is>
      </x:c>
      <x:c r="J194" s="62" t="str">
        <x:f>I194</x:f>
        <x:v>他写的那句“我娶你，是抬举你”，让这个角色彻底立住了。</x:v>
      </x:c>
      <x:c r="K194" s="61" t="inlineStr">
        <x:is>
          <x:t xml:space="preserve">无需改写</x:t>
        </x:is>
      </x:c>
      <x:c r="L194" s="62" t="inlineStr">
        <x:is>
          <x:t xml:space="preserve">我娶你是抬举你</x:t>
        </x:is>
      </x:c>
      <x:c r="M194" s="62" t="inlineStr">
        <x:is>
          <x:t xml:space="preserve">台词原文</x:t>
        </x:is>
      </x:c>
      <x:c r="N194" s="62" t="inlineStr">
        <x:is>
          <x:t xml:space="preserve">他写的那句居高临下的台词，让角色彻底立住了</x:t>
        </x:is>
      </x:c>
      <x:c r="O194" s="61" t="inlineStr">
        <x:is>
          <x:t xml:space="preserve">难</x:t>
        </x:is>
      </x:c>
      <x:c r="P194" s="61" t="inlineStr">
        <x:is>
          <x:t xml:space="preserve">否</x:t>
        </x:is>
      </x:c>
      <x:c r="Q194" s="62" t="n"/>
      <x:c r="R194" s="63" t="inlineStr">
        <x:is>
          <x:t xml:space="preserve">剔除</x:t>
        </x:is>
      </x:c>
      <x:c r="S194" s="63" t="inlineStr">
        <x:is>
          <x:t xml:space="preserve"/>
        </x:is>
      </x:c>
      <x:c r="T194" s="63" t="inlineStr">
        <x:is>
          <x:t xml:space="preserve">类别名有误导性：判据实为「引用/提及」，暂不纳入</x:t>
        </x:is>
      </x:c>
    </x:row>
    <x:row r="195" s="37" customFormat="1" ht="29.850000381469727" customHeight="1">
      <x:c r="A195" s="61" t="inlineStr">
        <x:is>
          <x:t xml:space="preserve">NEG-0194</x:t>
        </x:is>
      </x:c>
      <x:c r="B195" s="61" t="inlineStr">
        <x:is>
          <x:t xml:space="preserve">v2</x:t>
        </x:is>
      </x:c>
      <x:c r="C195" s="62" t="inlineStr">
        <x:is>
          <x:t xml:space="preserve">七、创作与修辞需要</x:t>
        </x:is>
      </x:c>
      <x:c r="D195" s="62" t="inlineStr">
        <x:is>
          <x:t xml:space="preserve">7.2 情节与主题必需</x:t>
        </x:is>
      </x:c>
      <x:c r="E195" s="62" t="inlineStr">
        <x:is>
          <x:t xml:space="preserve">公文与规章</x:t>
        </x:is>
      </x:c>
      <x:c r="F195" s="62" t="inlineStr">
        <x:is>
          <x:t xml:space="preserve">剧情简介</x:t>
        </x:is>
      </x:c>
      <x:c r="G195" s="61" t="inlineStr">
        <x:is>
          <x:t xml:space="preserve">无</x:t>
        </x:is>
      </x:c>
      <x:c r="H195" s="61" t="str">
        <x:f>IF(LEN(I195)&lt;15,"短",IF(LEN(I195)&lt;=45,"中","长"))</x:f>
        <x:v>中</x:v>
      </x:c>
      <x:c r="I195" s="62" t="inlineStr">
        <x:is>
          <x:t xml:space="preserve">全剧的核心冲突，是女儿要不要接手父亲的木器铺。</x:t>
        </x:is>
      </x:c>
      <x:c r="J195" s="62" t="str">
        <x:f>I195</x:f>
        <x:v>全剧的核心冲突，是女儿要不要接手父亲的木器铺。</x:v>
      </x:c>
      <x:c r="K195" s="61" t="inlineStr">
        <x:is>
          <x:t xml:space="preserve">无需改写</x:t>
        </x:is>
      </x:c>
      <x:c r="L195" s="62" t="inlineStr">
        <x:is>
          <x:t xml:space="preserve">女儿/父亲</x:t>
        </x:is>
      </x:c>
      <x:c r="M195" s="62" t="inlineStr">
        <x:is>
          <x:t xml:space="preserve">人物关系即冲突本身</x:t>
        </x:is>
      </x:c>
      <x:c r="N195" s="62" t="inlineStr">
        <x:is>
          <x:t xml:space="preserve">全剧的核心冲突，是子女要不要接手家里的木器铺</x:t>
        </x:is>
      </x:c>
      <x:c r="O195" s="61" t="inlineStr">
        <x:is>
          <x:t xml:space="preserve">中</x:t>
        </x:is>
      </x:c>
      <x:c r="P195" s="61" t="inlineStr">
        <x:is>
          <x:t xml:space="preserve">否</x:t>
        </x:is>
      </x:c>
      <x:c r="Q195" s="62" t="n"/>
      <x:c r="R195" s="63" t="inlineStr">
        <x:is>
          <x:t xml:space="preserve">剔除</x:t>
        </x:is>
      </x:c>
      <x:c r="S195" s="63" t="inlineStr">
        <x:is>
          <x:t xml:space="preserve"/>
        </x:is>
      </x:c>
      <x:c r="T195" s="63" t="inlineStr">
        <x:is>
          <x:t xml:space="preserve">类别名有误导性：判据实为「引用/提及」，暂不纳入</x:t>
        </x:is>
      </x:c>
    </x:row>
    <x:row r="196" s="37" customFormat="1" ht="15" customHeight="1">
      <x:c r="A196" s="61" t="inlineStr">
        <x:is>
          <x:t xml:space="preserve">NEG-0195</x:t>
        </x:is>
      </x:c>
      <x:c r="B196" s="61" t="inlineStr">
        <x:is>
          <x:t xml:space="preserve">v2</x:t>
        </x:is>
      </x:c>
      <x:c r="C196" s="62" t="inlineStr">
        <x:is>
          <x:t xml:space="preserve">七、创作与修辞需要</x:t>
        </x:is>
      </x:c>
      <x:c r="D196" s="62" t="inlineStr">
        <x:is>
          <x:t xml:space="preserve">7.2 情节与主题必需</x:t>
        </x:is>
      </x:c>
      <x:c r="E196" s="62" t="inlineStr">
        <x:is>
          <x:t xml:space="preserve">文艺创作与评论</x:t>
        </x:is>
      </x:c>
      <x:c r="F196" s="62" t="inlineStr">
        <x:is>
          <x:t xml:space="preserve">作品介绍</x:t>
        </x:is>
      </x:c>
      <x:c r="G196" s="61" t="inlineStr">
        <x:is>
          <x:t xml:space="preserve">无</x:t>
        </x:is>
      </x:c>
      <x:c r="H196" s="61" t="str">
        <x:f>IF(LEN(I196)&lt;15,"短",IF(LEN(I196)&lt;=45,"中","长"))</x:f>
        <x:v>中</x:v>
      </x:c>
      <x:c r="I196" s="62" t="inlineStr">
        <x:is>
          <x:t xml:space="preserve">《花木兰》的故事基础就是女扮男装、代父从军。</x:t>
        </x:is>
      </x:c>
      <x:c r="J196" s="62" t="str">
        <x:f>I196</x:f>
        <x:v>《花木兰》的故事基础就是女扮男装、代父从军。</x:v>
      </x:c>
      <x:c r="K196" s="61" t="inlineStr">
        <x:is>
          <x:t xml:space="preserve">无需改写</x:t>
        </x:is>
      </x:c>
      <x:c r="L196" s="62" t="inlineStr">
        <x:is>
          <x:t xml:space="preserve">女扮男装</x:t>
        </x:is>
      </x:c>
      <x:c r="M196" s="62" t="inlineStr">
        <x:is>
          <x:t xml:space="preserve">性别错位是情节内核</x:t>
        </x:is>
      </x:c>
      <x:c r="N196" s="62" t="inlineStr">
        <x:is>
          <x:t xml:space="preserve">《花木兰》的故事基础是乔装代亲从军</x:t>
        </x:is>
      </x:c>
      <x:c r="O196" s="61" t="inlineStr">
        <x:is>
          <x:t xml:space="preserve">难</x:t>
        </x:is>
      </x:c>
      <x:c r="P196" s="61" t="inlineStr">
        <x:is>
          <x:t xml:space="preserve">否</x:t>
        </x:is>
      </x:c>
      <x:c r="Q196" s="62" t="n"/>
      <x:c r="R196" s="63" t="inlineStr">
        <x:is>
          <x:t xml:space="preserve">剔除</x:t>
        </x:is>
      </x:c>
      <x:c r="S196" s="63" t="inlineStr">
        <x:is>
          <x:t xml:space="preserve"/>
        </x:is>
      </x:c>
      <x:c r="T196" s="63" t="inlineStr">
        <x:is>
          <x:t xml:space="preserve">类别名有误导性：判据实为「引用/提及」，暂不纳入</x:t>
        </x:is>
      </x:c>
    </x:row>
    <x:row r="197" s="37" customFormat="1" ht="29.850000381469727" customHeight="1">
      <x:c r="A197" s="61" t="inlineStr">
        <x:is>
          <x:t xml:space="preserve">NEG-0196</x:t>
        </x:is>
      </x:c>
      <x:c r="B197" s="61" t="inlineStr">
        <x:is>
          <x:t xml:space="preserve">v2</x:t>
        </x:is>
      </x:c>
      <x:c r="C197" s="62" t="inlineStr">
        <x:is>
          <x:t xml:space="preserve">七、创作与修辞需要</x:t>
        </x:is>
      </x:c>
      <x:c r="D197" s="62" t="inlineStr">
        <x:is>
          <x:t xml:space="preserve">7.2 情节与主题必需</x:t>
        </x:is>
      </x:c>
      <x:c r="E197" s="62" t="inlineStr">
        <x:is>
          <x:t xml:space="preserve">文艺创作与评论</x:t>
        </x:is>
      </x:c>
      <x:c r="F197" s="62" t="inlineStr">
        <x:is>
          <x:t xml:space="preserve">影评</x:t>
        </x:is>
      </x:c>
      <x:c r="G197" s="61" t="inlineStr">
        <x:is>
          <x:t xml:space="preserve">无</x:t>
        </x:is>
      </x:c>
      <x:c r="H197" s="61" t="str">
        <x:f>IF(LEN(I197)&lt;15,"短",IF(LEN(I197)&lt;=45,"中","长"))</x:f>
        <x:v>中</x:v>
      </x:c>
      <x:c r="I197" s="62" t="inlineStr">
        <x:is>
          <x:t xml:space="preserve">影片讲的是一个父亲在妻子去世后独自带大三个女儿的十年。</x:t>
        </x:is>
      </x:c>
      <x:c r="J197" s="62" t="str">
        <x:f>I197</x:f>
        <x:v>影片讲的是一个父亲在妻子去世后独自带大三个女儿的十年。</x:v>
      </x:c>
      <x:c r="K197" s="61" t="inlineStr">
        <x:is>
          <x:t xml:space="preserve">无需改写</x:t>
        </x:is>
      </x:c>
      <x:c r="L197" s="62" t="inlineStr">
        <x:is>
          <x:t xml:space="preserve">父亲/妻子/女儿</x:t>
        </x:is>
      </x:c>
      <x:c r="M197" s="62" t="inlineStr">
        <x:is>
          <x:t xml:space="preserve">家庭结构即叙事主体</x:t>
        </x:is>
      </x:c>
      <x:c r="N197" s="62" t="inlineStr">
        <x:is>
          <x:t xml:space="preserve">影片讲的是一位家长独自带大三个孩子的十年</x:t>
        </x:is>
      </x:c>
      <x:c r="O197" s="61" t="inlineStr">
        <x:is>
          <x:t xml:space="preserve">中</x:t>
        </x:is>
      </x:c>
      <x:c r="P197" s="61" t="inlineStr">
        <x:is>
          <x:t xml:space="preserve">否</x:t>
        </x:is>
      </x:c>
      <x:c r="Q197" s="62" t="n"/>
      <x:c r="R197" s="63" t="inlineStr">
        <x:is>
          <x:t xml:space="preserve">剔除</x:t>
        </x:is>
      </x:c>
      <x:c r="S197" s="63" t="inlineStr">
        <x:is>
          <x:t xml:space="preserve"/>
        </x:is>
      </x:c>
      <x:c r="T197" s="63" t="inlineStr">
        <x:is>
          <x:t xml:space="preserve">类别名有误导性：判据实为「引用/提及」，暂不纳入</x:t>
        </x:is>
      </x:c>
    </x:row>
    <x:row r="198" s="37" customFormat="1" ht="15" customHeight="1">
      <x:c r="A198" s="61" t="inlineStr">
        <x:is>
          <x:t xml:space="preserve">NEG-0197</x:t>
        </x:is>
      </x:c>
      <x:c r="B198" s="61" t="inlineStr">
        <x:is>
          <x:t xml:space="preserve">v2</x:t>
        </x:is>
      </x:c>
      <x:c r="C198" s="62" t="inlineStr">
        <x:is>
          <x:t xml:space="preserve">七、创作与修辞需要</x:t>
        </x:is>
      </x:c>
      <x:c r="D198" s="62" t="inlineStr">
        <x:is>
          <x:t xml:space="preserve">7.2 情节与主题必需</x:t>
        </x:is>
      </x:c>
      <x:c r="E198" s="62" t="inlineStr">
        <x:is>
          <x:t xml:space="preserve">文艺创作与评论</x:t>
        </x:is>
      </x:c>
      <x:c r="F198" s="62" t="inlineStr">
        <x:is>
          <x:t xml:space="preserve">书评</x:t>
        </x:is>
      </x:c>
      <x:c r="G198" s="61" t="inlineStr">
        <x:is>
          <x:t xml:space="preserve">无</x:t>
        </x:is>
      </x:c>
      <x:c r="H198" s="61" t="str">
        <x:f>IF(LEN(I198)&lt;15,"短",IF(LEN(I198)&lt;=45,"中","长"))</x:f>
        <x:v>中</x:v>
      </x:c>
      <x:c r="I198" s="62" t="inlineStr">
        <x:is>
          <x:t xml:space="preserve">小说以婆媳关系为线索，写了一个家庭三十年的变迁。</x:t>
        </x:is>
      </x:c>
      <x:c r="J198" s="62" t="str">
        <x:f>I198</x:f>
        <x:v>小说以婆媳关系为线索，写了一个家庭三十年的变迁。</x:v>
      </x:c>
      <x:c r="K198" s="61" t="inlineStr">
        <x:is>
          <x:t xml:space="preserve">无需改写</x:t>
        </x:is>
      </x:c>
      <x:c r="L198" s="62" t="inlineStr">
        <x:is>
          <x:t xml:space="preserve">婆媳</x:t>
        </x:is>
      </x:c>
      <x:c r="M198" s="62" t="inlineStr">
        <x:is>
          <x:t xml:space="preserve">该关系是全书结构</x:t>
        </x:is>
      </x:c>
      <x:c r="N198" s="62" t="inlineStr">
        <x:is>
          <x:t xml:space="preserve">小说以家庭关系为线索，写了三十年的变迁</x:t>
        </x:is>
      </x:c>
      <x:c r="O198" s="61" t="inlineStr">
        <x:is>
          <x:t xml:space="preserve">中</x:t>
        </x:is>
      </x:c>
      <x:c r="P198" s="61" t="inlineStr">
        <x:is>
          <x:t xml:space="preserve">否</x:t>
        </x:is>
      </x:c>
      <x:c r="Q198" s="62" t="n"/>
      <x:c r="R198" s="63" t="inlineStr">
        <x:is>
          <x:t xml:space="preserve">剔除</x:t>
        </x:is>
      </x:c>
      <x:c r="S198" s="63" t="inlineStr">
        <x:is>
          <x:t xml:space="preserve"/>
        </x:is>
      </x:c>
      <x:c r="T198" s="63" t="inlineStr">
        <x:is>
          <x:t xml:space="preserve">类别名有误导性：判据实为「引用/提及」，暂不纳入</x:t>
        </x:is>
      </x:c>
    </x:row>
    <x:row r="199" s="37" customFormat="1" ht="29.850000381469727" customHeight="1">
      <x:c r="A199" s="61" t="inlineStr">
        <x:is>
          <x:t xml:space="preserve">NEG-0198</x:t>
        </x:is>
      </x:c>
      <x:c r="B199" s="61" t="inlineStr">
        <x:is>
          <x:t xml:space="preserve">v2</x:t>
        </x:is>
      </x:c>
      <x:c r="C199" s="62" t="inlineStr">
        <x:is>
          <x:t xml:space="preserve">七、创作与修辞需要</x:t>
        </x:is>
      </x:c>
      <x:c r="D199" s="62" t="inlineStr">
        <x:is>
          <x:t xml:space="preserve">7.2 情节与主题必需</x:t>
        </x:is>
      </x:c>
      <x:c r="E199" s="62" t="inlineStr">
        <x:is>
          <x:t xml:space="preserve">文艺创作与评论</x:t>
        </x:is>
      </x:c>
      <x:c r="F199" s="62" t="inlineStr">
        <x:is>
          <x:t xml:space="preserve">剧评</x:t>
        </x:is>
      </x:c>
      <x:c r="G199" s="61" t="inlineStr">
        <x:is>
          <x:t xml:space="preserve">无</x:t>
        </x:is>
      </x:c>
      <x:c r="H199" s="61" t="str">
        <x:f>IF(LEN(I199)&lt;15,"短",IF(LEN(I199)&lt;=45,"中","长"))</x:f>
        <x:v>中</x:v>
      </x:c>
      <x:c r="I199" s="62" t="inlineStr">
        <x:is>
          <x:t xml:space="preserve">剧情的反转在于，那位一直被称作“老板娘”的人才是真正的决策者。</x:t>
        </x:is>
      </x:c>
      <x:c r="J199" s="62" t="str">
        <x:f>I199</x:f>
        <x:v>剧情的反转在于，那位一直被称作“老板娘”的人才是真正的决策者。</x:v>
      </x:c>
      <x:c r="K199" s="61" t="inlineStr">
        <x:is>
          <x:t xml:space="preserve">无需改写</x:t>
        </x:is>
      </x:c>
      <x:c r="L199" s="62" t="inlineStr">
        <x:is>
          <x:t xml:space="preserve">老板娘</x:t>
        </x:is>
      </x:c>
      <x:c r="M199" s="62" t="inlineStr">
        <x:is>
          <x:t xml:space="preserve">称谓与实权的错位即反转所在</x:t>
        </x:is>
      </x:c>
      <x:c r="N199" s="62" t="inlineStr">
        <x:is>
          <x:t xml:space="preserve">剧情的反转在于，那位一直被轻视的人才是真正的决策者</x:t>
        </x:is>
      </x:c>
      <x:c r="O199" s="61" t="inlineStr">
        <x:is>
          <x:t xml:space="preserve">难</x:t>
        </x:is>
      </x:c>
      <x:c r="P199" s="61" t="inlineStr">
        <x:is>
          <x:t xml:space="preserve">否</x:t>
        </x:is>
      </x:c>
      <x:c r="Q199" s="62" t="n"/>
      <x:c r="R199" s="63" t="inlineStr">
        <x:is>
          <x:t xml:space="preserve">剔除</x:t>
        </x:is>
      </x:c>
      <x:c r="S199" s="63" t="inlineStr">
        <x:is>
          <x:t xml:space="preserve"/>
        </x:is>
      </x:c>
      <x:c r="T199" s="63" t="inlineStr">
        <x:is>
          <x:t xml:space="preserve">类别名有误导性：判据实为「引用/提及」，暂不纳入</x:t>
        </x:is>
      </x:c>
    </x:row>
    <x:row r="200" s="37" customFormat="1" ht="15" customHeight="1">
      <x:c r="A200" s="61" t="inlineStr">
        <x:is>
          <x:t xml:space="preserve">NEG-0199</x:t>
        </x:is>
      </x:c>
      <x:c r="B200" s="61" t="inlineStr">
        <x:is>
          <x:t xml:space="preserve">v2</x:t>
        </x:is>
      </x:c>
      <x:c r="C200" s="62" t="inlineStr">
        <x:is>
          <x:t xml:space="preserve">七、创作与修辞需要</x:t>
        </x:is>
      </x:c>
      <x:c r="D200" s="62" t="inlineStr">
        <x:is>
          <x:t xml:space="preserve">7.3 时代与地域还原</x:t>
        </x:is>
      </x:c>
      <x:c r="E200" s="62" t="inlineStr">
        <x:is>
          <x:t xml:space="preserve">文艺创作与评论</x:t>
        </x:is>
      </x:c>
      <x:c r="F200" s="62" t="inlineStr">
        <x:is>
          <x:t xml:space="preserve">剧本</x:t>
        </x:is>
      </x:c>
      <x:c r="G200" s="61" t="inlineStr">
        <x:is>
          <x:t xml:space="preserve">无</x:t>
        </x:is>
      </x:c>
      <x:c r="H200" s="61" t="str">
        <x:f>IF(LEN(I200)&lt;15,"短",IF(LEN(I200)&lt;=45,"中","长"))</x:f>
        <x:v>中</x:v>
      </x:c>
      <x:c r="I200" s="62" t="inlineStr">
        <x:is>
          <x:t xml:space="preserve">掌柜的一躬身：“这位太太，里边请。”</x:t>
        </x:is>
      </x:c>
      <x:c r="J200" s="62" t="str">
        <x:f>I200</x:f>
        <x:v>掌柜的一躬身：“这位太太，里边请。”</x:v>
      </x:c>
      <x:c r="K200" s="61" t="inlineStr">
        <x:is>
          <x:t xml:space="preserve">无需改写</x:t>
        </x:is>
      </x:c>
      <x:c r="L200" s="62" t="inlineStr">
        <x:is>
          <x:t xml:space="preserve">太太</x:t>
        </x:is>
      </x:c>
      <x:c r="M200" s="62" t="inlineStr">
        <x:is>
          <x:t xml:space="preserve">年代语言还原</x:t>
        </x:is>
      </x:c>
      <x:c r="N200" s="62" t="inlineStr">
        <x:is>
          <x:t xml:space="preserve">掌柜的一躬身：“这位女士，里边请。”</x:t>
        </x:is>
      </x:c>
      <x:c r="O200" s="61" t="inlineStr">
        <x:is>
          <x:t xml:space="preserve">难</x:t>
        </x:is>
      </x:c>
      <x:c r="P200" s="61" t="inlineStr">
        <x:is>
          <x:t xml:space="preserve">否</x:t>
        </x:is>
      </x:c>
      <x:c r="Q200" s="62" t="n"/>
      <x:c r="R200" s="63" t="inlineStr">
        <x:is>
          <x:t xml:space="preserve">剔除</x:t>
        </x:is>
      </x:c>
      <x:c r="S200" s="63" t="inlineStr">
        <x:is>
          <x:t xml:space="preserve"/>
        </x:is>
      </x:c>
      <x:c r="T200" s="63" t="inlineStr">
        <x:is>
          <x:t xml:space="preserve">类别名有误导性：判据实为「引用/提及」，暂不纳入</x:t>
        </x:is>
      </x:c>
    </x:row>
    <x:row r="201" s="37" customFormat="1" ht="29.850000381469727" customHeight="1">
      <x:c r="A201" s="61" t="inlineStr">
        <x:is>
          <x:t xml:space="preserve">NEG-0200</x:t>
        </x:is>
      </x:c>
      <x:c r="B201" s="61" t="inlineStr">
        <x:is>
          <x:t xml:space="preserve">v2</x:t>
        </x:is>
      </x:c>
      <x:c r="C201" s="62" t="inlineStr">
        <x:is>
          <x:t xml:space="preserve">七、创作与修辞需要</x:t>
        </x:is>
      </x:c>
      <x:c r="D201" s="62" t="inlineStr">
        <x:is>
          <x:t xml:space="preserve">7.3 时代与地域还原</x:t>
        </x:is>
      </x:c>
      <x:c r="E201" s="62" t="inlineStr">
        <x:is>
          <x:t xml:space="preserve">文艺创作与评论</x:t>
        </x:is>
      </x:c>
      <x:c r="F201" s="62" t="inlineStr">
        <x:is>
          <x:t xml:space="preserve">影视评论</x:t>
        </x:is>
      </x:c>
      <x:c r="G201" s="61" t="inlineStr">
        <x:is>
          <x:t xml:space="preserve">无</x:t>
        </x:is>
      </x:c>
      <x:c r="H201" s="61" t="str">
        <x:f>IF(LEN(I201)&lt;15,"短",IF(LEN(I201)&lt;=45,"中","长"))</x:f>
        <x:v>中</x:v>
      </x:c>
      <x:c r="I201" s="62" t="inlineStr">
        <x:is>
          <x:t xml:space="preserve">民国背景的戏里，学生称女教师为“先生”，是当时的通行叫法。</x:t>
        </x:is>
      </x:c>
      <x:c r="J201" s="62" t="str">
        <x:f>I201</x:f>
        <x:v>民国背景的戏里，学生称女教师为“先生”，是当时的通行叫法。</x:v>
      </x:c>
      <x:c r="K201" s="61" t="inlineStr">
        <x:is>
          <x:t xml:space="preserve">无需改写</x:t>
        </x:is>
      </x:c>
      <x:c r="L201" s="62" t="inlineStr">
        <x:is>
          <x:t xml:space="preserve">女教师/先生</x:t>
        </x:is>
      </x:c>
      <x:c r="M201" s="62" t="inlineStr">
        <x:is>
          <x:t xml:space="preserve">历史称谓考据，句子本身在说明这一用法</x:t>
        </x:is>
      </x:c>
      <x:c r="N201" s="62" t="inlineStr">
        <x:is>
          <x:t xml:space="preserve">民国背景的戏里，学生称教师为“先生”</x:t>
        </x:is>
      </x:c>
      <x:c r="O201" s="61" t="inlineStr">
        <x:is>
          <x:t xml:space="preserve">中</x:t>
        </x:is>
      </x:c>
      <x:c r="P201" s="61" t="inlineStr">
        <x:is>
          <x:t xml:space="preserve">否</x:t>
        </x:is>
      </x:c>
      <x:c r="Q201" s="62" t="n"/>
      <x:c r="R201" s="63" t="inlineStr">
        <x:is>
          <x:t xml:space="preserve">剔除</x:t>
        </x:is>
      </x:c>
      <x:c r="S201" s="63" t="inlineStr">
        <x:is>
          <x:t xml:space="preserve"/>
        </x:is>
      </x:c>
      <x:c r="T201" s="63" t="inlineStr">
        <x:is>
          <x:t xml:space="preserve">类别名有误导性：判据实为「引用/提及」，暂不纳入</x:t>
        </x:is>
      </x:c>
    </x:row>
    <x:row r="202" s="37" customFormat="1" ht="29.850000381469727" customHeight="1">
      <x:c r="A202" s="61" t="inlineStr">
        <x:is>
          <x:t xml:space="preserve">NEG-0201</x:t>
        </x:is>
      </x:c>
      <x:c r="B202" s="61" t="inlineStr">
        <x:is>
          <x:t xml:space="preserve">v2</x:t>
        </x:is>
      </x:c>
      <x:c r="C202" s="62" t="inlineStr">
        <x:is>
          <x:t xml:space="preserve">七、创作与修辞需要</x:t>
        </x:is>
      </x:c>
      <x:c r="D202" s="62" t="inlineStr">
        <x:is>
          <x:t xml:space="preserve">7.3 时代与地域还原</x:t>
        </x:is>
      </x:c>
      <x:c r="E202" s="62" t="inlineStr">
        <x:is>
          <x:t xml:space="preserve">文艺创作与评论</x:t>
        </x:is>
      </x:c>
      <x:c r="F202" s="62" t="inlineStr">
        <x:is>
          <x:t xml:space="preserve">编剧笔记</x:t>
        </x:is>
      </x:c>
      <x:c r="G202" s="61" t="inlineStr">
        <x:is>
          <x:t xml:space="preserve">无</x:t>
        </x:is>
      </x:c>
      <x:c r="H202" s="61" t="str">
        <x:f>IF(LEN(I202)&lt;15,"短",IF(LEN(I202)&lt;=45,"中","长"))</x:f>
        <x:v>中</x:v>
      </x:c>
      <x:c r="I202" s="62" t="inlineStr">
        <x:is>
          <x:t xml:space="preserve">方言里管姑姑叫“嬢嬢”，写进对白就不能换成“姑姑”。</x:t>
        </x:is>
      </x:c>
      <x:c r="J202" s="62" t="str">
        <x:f>I202</x:f>
        <x:v>方言里管姑姑叫“嬢嬢”，写进对白就不能换成“姑姑”。</x:v>
      </x:c>
      <x:c r="K202" s="61" t="inlineStr">
        <x:is>
          <x:t xml:space="preserve">无需改写</x:t>
        </x:is>
      </x:c>
      <x:c r="L202" s="62" t="inlineStr">
        <x:is>
          <x:t xml:space="preserve">嬢嬢/姑姑</x:t>
        </x:is>
      </x:c>
      <x:c r="M202" s="62" t="inlineStr">
        <x:is>
          <x:t xml:space="preserve">方言称谓的真实性</x:t>
        </x:is>
      </x:c>
      <x:c r="N202" s="62" t="inlineStr">
        <x:is>
          <x:t xml:space="preserve">方言里对亲属有特定叫法，写进对白需保留</x:t>
        </x:is>
      </x:c>
      <x:c r="O202" s="61" t="inlineStr">
        <x:is>
          <x:t xml:space="preserve">中</x:t>
        </x:is>
      </x:c>
      <x:c r="P202" s="61" t="inlineStr">
        <x:is>
          <x:t xml:space="preserve">否</x:t>
        </x:is>
      </x:c>
      <x:c r="Q202" s="62" t="n"/>
      <x:c r="R202" s="63" t="inlineStr">
        <x:is>
          <x:t xml:space="preserve">剔除</x:t>
        </x:is>
      </x:c>
      <x:c r="S202" s="63" t="inlineStr">
        <x:is>
          <x:t xml:space="preserve"/>
        </x:is>
      </x:c>
      <x:c r="T202" s="63" t="inlineStr">
        <x:is>
          <x:t xml:space="preserve">类别名有误导性：判据实为「引用/提及」，暂不纳入</x:t>
        </x:is>
      </x:c>
    </x:row>
    <x:row r="203" s="37" customFormat="1" ht="29.850000381469727" customHeight="1">
      <x:c r="A203" s="61" t="inlineStr">
        <x:is>
          <x:t xml:space="preserve">NEG-0202</x:t>
        </x:is>
      </x:c>
      <x:c r="B203" s="61" t="inlineStr">
        <x:is>
          <x:t xml:space="preserve">v2</x:t>
        </x:is>
      </x:c>
      <x:c r="C203" s="62" t="inlineStr">
        <x:is>
          <x:t xml:space="preserve">七、创作与修辞需要</x:t>
        </x:is>
      </x:c>
      <x:c r="D203" s="62" t="inlineStr">
        <x:is>
          <x:t xml:space="preserve">7.3 时代与地域还原</x:t>
        </x:is>
      </x:c>
      <x:c r="E203" s="62" t="inlineStr">
        <x:is>
          <x:t xml:space="preserve">学术与调研</x:t>
        </x:is>
      </x:c>
      <x:c r="F203" s="62" t="inlineStr">
        <x:is>
          <x:t xml:space="preserve">译序</x:t>
        </x:is>
      </x:c>
      <x:c r="G203" s="61" t="inlineStr">
        <x:is>
          <x:t xml:space="preserve">无</x:t>
        </x:is>
      </x:c>
      <x:c r="H203" s="61" t="str">
        <x:f>IF(LEN(I203)&lt;15,"短",IF(LEN(I203)&lt;=45,"中","长"))</x:f>
        <x:v>中</x:v>
      </x:c>
      <x:c r="I203" s="62" t="inlineStr">
        <x:is>
          <x:t xml:space="preserve">译本保留了原文对名词阴阳性的标注，以便读者理解其中的双关。</x:t>
        </x:is>
      </x:c>
      <x:c r="J203" s="62" t="str">
        <x:f>I203</x:f>
        <x:v>译本保留了原文对名词阴阳性的标注，以便读者理解其中的双关。</x:v>
      </x:c>
      <x:c r="K203" s="61" t="inlineStr">
        <x:is>
          <x:t xml:space="preserve">无需改写</x:t>
        </x:is>
      </x:c>
      <x:c r="L203" s="62" t="inlineStr">
        <x:is>
          <x:t xml:space="preserve">阴阳性</x:t>
        </x:is>
      </x:c>
      <x:c r="M203" s="62" t="inlineStr">
        <x:is>
          <x:t xml:space="preserve">语法性属是理解原文的前提</x:t>
        </x:is>
      </x:c>
      <x:c r="N203" s="62" t="inlineStr">
        <x:is>
          <x:t xml:space="preserve">译本对相关标注作了中性化处理</x:t>
        </x:is>
      </x:c>
      <x:c r="O203" s="61" t="inlineStr">
        <x:is>
          <x:t xml:space="preserve">中</x:t>
        </x:is>
      </x:c>
      <x:c r="P203" s="61" t="inlineStr">
        <x:is>
          <x:t xml:space="preserve">否</x:t>
        </x:is>
      </x:c>
      <x:c r="Q203" s="62" t="n"/>
      <x:c r="R203" s="63" t="inlineStr">
        <x:is>
          <x:t xml:space="preserve">剔除</x:t>
        </x:is>
      </x:c>
      <x:c r="S203" s="63" t="inlineStr">
        <x:is>
          <x:t xml:space="preserve"/>
        </x:is>
      </x:c>
      <x:c r="T203" s="63" t="inlineStr">
        <x:is>
          <x:t xml:space="preserve">类别名有误导性：判据实为「引用/提及」，暂不纳入</x:t>
        </x:is>
      </x:c>
    </x:row>
    <x:row r="204" s="37" customFormat="1" ht="15" customHeight="1">
      <x:c r="A204" s="61" t="inlineStr">
        <x:is>
          <x:t xml:space="preserve">NEG-0203</x:t>
        </x:is>
      </x:c>
      <x:c r="B204" s="61" t="inlineStr">
        <x:is>
          <x:t xml:space="preserve">v2</x:t>
        </x:is>
      </x:c>
      <x:c r="C204" s="62" t="inlineStr">
        <x:is>
          <x:t xml:space="preserve">七、创作与修辞需要</x:t>
        </x:is>
      </x:c>
      <x:c r="D204" s="62" t="inlineStr">
        <x:is>
          <x:t xml:space="preserve">7.3 时代与地域还原</x:t>
        </x:is>
      </x:c>
      <x:c r="E204" s="62" t="inlineStr">
        <x:is>
          <x:t xml:space="preserve">口语与私人交流</x:t>
        </x:is>
      </x:c>
      <x:c r="F204" s="62" t="inlineStr">
        <x:is>
          <x:t xml:space="preserve">书信集</x:t>
        </x:is>
      </x:c>
      <x:c r="G204" s="61" t="inlineStr">
        <x:is>
          <x:t xml:space="preserve">无</x:t>
        </x:is>
      </x:c>
      <x:c r="H204" s="61" t="str">
        <x:f>IF(LEN(I204)&lt;15,"短",IF(LEN(I204)&lt;=45,"中","长"))</x:f>
        <x:v>中</x:v>
      </x:c>
      <x:c r="I204" s="62" t="inlineStr">
        <x:is>
          <x:t xml:space="preserve">旧信里“贤妻如晤”是那个年代的标准开头。</x:t>
        </x:is>
      </x:c>
      <x:c r="J204" s="62" t="str">
        <x:f>I204</x:f>
        <x:v>旧信里“贤妻如晤”是那个年代的标准开头。</x:v>
      </x:c>
      <x:c r="K204" s="61" t="inlineStr">
        <x:is>
          <x:t xml:space="preserve">无需改写</x:t>
        </x:is>
      </x:c>
      <x:c r="L204" s="62" t="inlineStr">
        <x:is>
          <x:t xml:space="preserve">贤妻如晤</x:t>
        </x:is>
      </x:c>
      <x:c r="M204" s="62" t="inlineStr">
        <x:is>
          <x:t xml:space="preserve">历史书信格式</x:t>
        </x:is>
      </x:c>
      <x:c r="N204" s="62" t="inlineStr">
        <x:is>
          <x:t xml:space="preserve">旧信里的问候语是那个年代的标准开头</x:t>
        </x:is>
      </x:c>
      <x:c r="O204" s="61" t="inlineStr">
        <x:is>
          <x:t xml:space="preserve">易</x:t>
        </x:is>
      </x:c>
      <x:c r="P204" s="61" t="inlineStr">
        <x:is>
          <x:t xml:space="preserve">否</x:t>
        </x:is>
      </x:c>
      <x:c r="Q204" s="62" t="n"/>
      <x:c r="R204" s="63" t="inlineStr">
        <x:is>
          <x:t xml:space="preserve">剔除</x:t>
        </x:is>
      </x:c>
      <x:c r="S204" s="63" t="inlineStr">
        <x:is>
          <x:t xml:space="preserve"/>
        </x:is>
      </x:c>
      <x:c r="T204" s="63" t="inlineStr">
        <x:is>
          <x:t xml:space="preserve">类别名有误导性：判据实为「引用/提及」，暂不纳入</x:t>
        </x:is>
      </x:c>
    </x:row>
    <x:row r="205" s="37" customFormat="1" ht="29.850000381469727" customHeight="1">
      <x:c r="A205" s="61" t="inlineStr">
        <x:is>
          <x:t xml:space="preserve">NEG-0204</x:t>
        </x:is>
      </x:c>
      <x:c r="B205" s="61" t="inlineStr">
        <x:is>
          <x:t xml:space="preserve">v2</x:t>
        </x:is>
      </x:c>
      <x:c r="C205" s="62" t="inlineStr">
        <x:is>
          <x:t xml:space="preserve">七、创作与修辞需要</x:t>
        </x:is>
      </x:c>
      <x:c r="D205" s="62" t="inlineStr">
        <x:is>
          <x:t xml:space="preserve">7.4 反讽、戏仿与批判</x:t>
        </x:is>
      </x:c>
      <x:c r="E205" s="62" t="inlineStr">
        <x:is>
          <x:t xml:space="preserve">文艺创作与评论</x:t>
        </x:is>
      </x:c>
      <x:c r="F205" s="62" t="inlineStr">
        <x:is>
          <x:t xml:space="preserve">短片介绍</x:t>
        </x:is>
      </x:c>
      <x:c r="G205" s="61" t="inlineStr">
        <x:is>
          <x:t xml:space="preserve">无</x:t>
        </x:is>
      </x:c>
      <x:c r="H205" s="61" t="str">
        <x:f>IF(LEN(I205)&lt;15,"短",IF(LEN(I205)&lt;=45,"中","长"))</x:f>
        <x:v>中</x:v>
      </x:c>
      <x:c r="I205" s="62" t="inlineStr">
        <x:is>
          <x:t xml:space="preserve">短片前两分钟全是“女人就该待在家里”的画面，最后一秒才揭底。</x:t>
        </x:is>
      </x:c>
      <x:c r="J205" s="62" t="str">
        <x:f>I205</x:f>
        <x:v>短片前两分钟全是“女人就该待在家里”的画面，最后一秒才揭底。</x:v>
      </x:c>
      <x:c r="K205" s="61" t="inlineStr">
        <x:is>
          <x:t xml:space="preserve">无需改写</x:t>
        </x:is>
      </x:c>
      <x:c r="L205" s="62" t="inlineStr">
        <x:is>
          <x:t xml:space="preserve">女人就该待在家里</x:t>
        </x:is>
      </x:c>
      <x:c r="M205" s="62" t="inlineStr">
        <x:is>
          <x:t xml:space="preserve">形式复制刻板印象，功能在于拆解</x:t>
        </x:is>
      </x:c>
      <x:c r="N205" s="62" t="inlineStr">
        <x:is>
          <x:t xml:space="preserve">短片前两分钟全是刻板画面，最后一秒才揭底</x:t>
        </x:is>
      </x:c>
      <x:c r="O205" s="61" t="inlineStr">
        <x:is>
          <x:t xml:space="preserve">难</x:t>
        </x:is>
      </x:c>
      <x:c r="P205" s="61" t="inlineStr">
        <x:is>
          <x:t xml:space="preserve">否</x:t>
        </x:is>
      </x:c>
      <x:c r="Q205" s="62" t="n"/>
      <x:c r="R205" s="63" t="inlineStr">
        <x:is>
          <x:t xml:space="preserve">剔除</x:t>
        </x:is>
      </x:c>
      <x:c r="S205" s="63" t="inlineStr">
        <x:is>
          <x:t xml:space="preserve"/>
        </x:is>
      </x:c>
      <x:c r="T205" s="63" t="inlineStr">
        <x:is>
          <x:t xml:space="preserve">类别名有误导性：判据实为「引用/提及」，暂不纳入</x:t>
        </x:is>
      </x:c>
    </x:row>
    <x:row r="206" s="37" customFormat="1" ht="29.850000381469727" customHeight="1">
      <x:c r="A206" s="61" t="inlineStr">
        <x:is>
          <x:t xml:space="preserve">NEG-0205</x:t>
        </x:is>
      </x:c>
      <x:c r="B206" s="61" t="inlineStr">
        <x:is>
          <x:t xml:space="preserve">v2</x:t>
        </x:is>
      </x:c>
      <x:c r="C206" s="62" t="inlineStr">
        <x:is>
          <x:t xml:space="preserve">七、创作与修辞需要</x:t>
        </x:is>
      </x:c>
      <x:c r="D206" s="62" t="inlineStr">
        <x:is>
          <x:t xml:space="preserve">7.4 反讽、戏仿与批判</x:t>
        </x:is>
      </x:c>
      <x:c r="E206" s="62" t="inlineStr">
        <x:is>
          <x:t xml:space="preserve">文艺创作与评论</x:t>
        </x:is>
      </x:c>
      <x:c r="F206" s="62" t="inlineStr">
        <x:is>
          <x:t xml:space="preserve">小品评论</x:t>
        </x:is>
      </x:c>
      <x:c r="G206" s="61" t="inlineStr">
        <x:is>
          <x:t xml:space="preserve">无</x:t>
        </x:is>
      </x:c>
      <x:c r="H206" s="61" t="str">
        <x:f>IF(LEN(I206)&lt;15,"短",IF(LEN(I206)&lt;=45,"中","长"))</x:f>
        <x:v>中</x:v>
      </x:c>
      <x:c r="I206" s="62" t="inlineStr">
        <x:is>
          <x:t xml:space="preserve">这个小品用夸张的“妈宝男”形象，讽刺的其实是过度介入的家庭关系。</x:t>
        </x:is>
      </x:c>
      <x:c r="J206" s="62" t="str">
        <x:f>I206</x:f>
        <x:v>这个小品用夸张的“妈宝男”形象，讽刺的其实是过度介入的家庭关系。</x:v>
      </x:c>
      <x:c r="K206" s="61" t="inlineStr">
        <x:is>
          <x:t xml:space="preserve">无需改写</x:t>
        </x:is>
      </x:c>
      <x:c r="L206" s="62" t="inlineStr">
        <x:is>
          <x:t xml:space="preserve">妈宝男</x:t>
        </x:is>
      </x:c>
      <x:c r="M206" s="62" t="inlineStr">
        <x:is>
          <x:t xml:space="preserve">被讽刺对象的命名</x:t>
        </x:is>
      </x:c>
      <x:c r="N206" s="62" t="inlineStr">
        <x:is>
          <x:t xml:space="preserve">这个小品用夸张的形象，讽刺过度介入的家庭关系</x:t>
        </x:is>
      </x:c>
      <x:c r="O206" s="61" t="inlineStr">
        <x:is>
          <x:t xml:space="preserve">中</x:t>
        </x:is>
      </x:c>
      <x:c r="P206" s="61" t="inlineStr">
        <x:is>
          <x:t xml:space="preserve">否</x:t>
        </x:is>
      </x:c>
      <x:c r="Q206" s="62" t="n"/>
      <x:c r="R206" s="63" t="inlineStr">
        <x:is>
          <x:t xml:space="preserve">剔除</x:t>
        </x:is>
      </x:c>
      <x:c r="S206" s="63" t="inlineStr">
        <x:is>
          <x:t xml:space="preserve"/>
        </x:is>
      </x:c>
      <x:c r="T206" s="63" t="inlineStr">
        <x:is>
          <x:t xml:space="preserve">类别名有误导性：判据实为「引用/提及」，暂不纳入</x:t>
        </x:is>
      </x:c>
    </x:row>
    <x:row r="207" s="37" customFormat="1" ht="29.850000381469727" customHeight="1">
      <x:c r="A207" s="61" t="inlineStr">
        <x:is>
          <x:t xml:space="preserve">NEG-0206</x:t>
        </x:is>
      </x:c>
      <x:c r="B207" s="61" t="inlineStr">
        <x:is>
          <x:t xml:space="preserve">v2</x:t>
        </x:is>
      </x:c>
      <x:c r="C207" s="62" t="inlineStr">
        <x:is>
          <x:t xml:space="preserve">七、创作与修辞需要</x:t>
        </x:is>
      </x:c>
      <x:c r="D207" s="62" t="inlineStr">
        <x:is>
          <x:t xml:space="preserve">7.4 反讽、戏仿与批判</x:t>
        </x:is>
      </x:c>
      <x:c r="E207" s="62" t="inlineStr">
        <x:is>
          <x:t xml:space="preserve">文艺创作与评论</x:t>
        </x:is>
      </x:c>
      <x:c r="F207" s="62" t="inlineStr">
        <x:is>
          <x:t xml:space="preserve">设计说明</x:t>
        </x:is>
      </x:c>
      <x:c r="G207" s="61" t="inlineStr">
        <x:is>
          <x:t xml:space="preserve">无</x:t>
        </x:is>
      </x:c>
      <x:c r="H207" s="61" t="str">
        <x:f>IF(LEN(I207)&lt;15,"短",IF(LEN(I207)&lt;=45,"中","长"))</x:f>
        <x:v>中</x:v>
      </x:c>
      <x:c r="I207" s="62" t="inlineStr">
        <x:is>
          <x:t xml:space="preserve">海报刻意复制了上世纪广告里“贤妻”的姿势，标语却写着完全相反的话。</x:t>
        </x:is>
      </x:c>
      <x:c r="J207" s="62" t="str">
        <x:f>I207</x:f>
        <x:v>海报刻意复制了上世纪广告里“贤妻”的姿势，标语却写着完全相反的话。</x:v>
      </x:c>
      <x:c r="K207" s="61" t="inlineStr">
        <x:is>
          <x:t xml:space="preserve">无需改写</x:t>
        </x:is>
      </x:c>
      <x:c r="L207" s="62" t="inlineStr">
        <x:is>
          <x:t xml:space="preserve">贤妻</x:t>
        </x:is>
      </x:c>
      <x:c r="M207" s="62" t="inlineStr">
        <x:is>
          <x:t xml:space="preserve">戏仿手法的说明</x:t>
        </x:is>
      </x:c>
      <x:c r="N207" s="62" t="inlineStr">
        <x:is>
          <x:t xml:space="preserve">海报刻意复制了上世纪广告的姿势，标语却相反</x:t>
        </x:is>
      </x:c>
      <x:c r="O207" s="61" t="inlineStr">
        <x:is>
          <x:t xml:space="preserve">中</x:t>
        </x:is>
      </x:c>
      <x:c r="P207" s="61" t="inlineStr">
        <x:is>
          <x:t xml:space="preserve">否</x:t>
        </x:is>
      </x:c>
      <x:c r="Q207" s="62" t="n"/>
      <x:c r="R207" s="63" t="inlineStr">
        <x:is>
          <x:t xml:space="preserve">剔除</x:t>
        </x:is>
      </x:c>
      <x:c r="S207" s="63" t="inlineStr">
        <x:is>
          <x:t xml:space="preserve"/>
        </x:is>
      </x:c>
      <x:c r="T207" s="63" t="inlineStr">
        <x:is>
          <x:t xml:space="preserve">类别名有误导性：判据实为「引用/提及」，暂不纳入</x:t>
        </x:is>
      </x:c>
    </x:row>
    <x:row r="208" s="37" customFormat="1" ht="15" customHeight="1">
      <x:c r="A208" s="61" t="inlineStr">
        <x:is>
          <x:t xml:space="preserve">NEG-0207</x:t>
        </x:is>
      </x:c>
      <x:c r="B208" s="61" t="inlineStr">
        <x:is>
          <x:t xml:space="preserve">v2</x:t>
        </x:is>
      </x:c>
      <x:c r="C208" s="62" t="inlineStr">
        <x:is>
          <x:t xml:space="preserve">七、创作与修辞需要</x:t>
        </x:is>
      </x:c>
      <x:c r="D208" s="62" t="inlineStr">
        <x:is>
          <x:t xml:space="preserve">7.4 反讽、戏仿与批判</x:t>
        </x:is>
      </x:c>
      <x:c r="E208" s="62" t="inlineStr">
        <x:is>
          <x:t xml:space="preserve">文艺创作与评论</x:t>
        </x:is>
      </x:c>
      <x:c r="F208" s="62" t="inlineStr">
        <x:is>
          <x:t xml:space="preserve">乐评</x:t>
        </x:is>
      </x:c>
      <x:c r="G208" s="61" t="inlineStr">
        <x:is>
          <x:t xml:space="preserve">无</x:t>
        </x:is>
      </x:c>
      <x:c r="H208" s="61" t="str">
        <x:f>IF(LEN(I208)&lt;15,"短",IF(LEN(I208)&lt;=45,"中","长"))</x:f>
        <x:v>中</x:v>
      </x:c>
      <x:c r="I208" s="62" t="inlineStr">
        <x:is>
          <x:t xml:space="preserve">他把“男主外女主内”唱成副歌，语气越正经越好笑。</x:t>
        </x:is>
      </x:c>
      <x:c r="J208" s="62" t="str">
        <x:f>I208</x:f>
        <x:v>他把“男主外女主内”唱成副歌，语气越正经越好笑。</x:v>
      </x:c>
      <x:c r="K208" s="61" t="inlineStr">
        <x:is>
          <x:t xml:space="preserve">无需改写</x:t>
        </x:is>
      </x:c>
      <x:c r="L208" s="62" t="inlineStr">
        <x:is>
          <x:t xml:space="preserve">男主外女主内</x:t>
        </x:is>
      </x:c>
      <x:c r="M208" s="62" t="inlineStr">
        <x:is>
          <x:t xml:space="preserve">反讽的载体</x:t>
        </x:is>
      </x:c>
      <x:c r="N208" s="62" t="inlineStr">
        <x:is>
          <x:t xml:space="preserve">他把传统分工唱成副歌，语气越正经越好笑</x:t>
        </x:is>
      </x:c>
      <x:c r="O208" s="61" t="inlineStr">
        <x:is>
          <x:t xml:space="preserve">难</x:t>
        </x:is>
      </x:c>
      <x:c r="P208" s="61" t="inlineStr">
        <x:is>
          <x:t xml:space="preserve">否</x:t>
        </x:is>
      </x:c>
      <x:c r="Q208" s="62" t="n"/>
      <x:c r="R208" s="63" t="inlineStr">
        <x:is>
          <x:t xml:space="preserve">剔除</x:t>
        </x:is>
      </x:c>
      <x:c r="S208" s="63" t="inlineStr">
        <x:is>
          <x:t xml:space="preserve"/>
        </x:is>
      </x:c>
      <x:c r="T208" s="63" t="inlineStr">
        <x:is>
          <x:t xml:space="preserve">类别名有误导性：判据实为「引用/提及」，暂不纳入</x:t>
        </x:is>
      </x:c>
    </x:row>
    <x:row r="209" s="37" customFormat="1" ht="29.850000381469727" customHeight="1">
      <x:c r="A209" s="61" t="inlineStr">
        <x:is>
          <x:t xml:space="preserve">NEG-0208</x:t>
        </x:is>
      </x:c>
      <x:c r="B209" s="61" t="inlineStr">
        <x:is>
          <x:t xml:space="preserve">v2</x:t>
        </x:is>
      </x:c>
      <x:c r="C209" s="62" t="inlineStr">
        <x:is>
          <x:t xml:space="preserve">七、创作与修辞需要</x:t>
        </x:is>
      </x:c>
      <x:c r="D209" s="62" t="inlineStr">
        <x:is>
          <x:t xml:space="preserve">7.4 反讽、戏仿与批判</x:t>
        </x:is>
      </x:c>
      <x:c r="E209" s="62" t="inlineStr">
        <x:is>
          <x:t xml:space="preserve">文艺创作与评论</x:t>
        </x:is>
      </x:c>
      <x:c r="F209" s="62" t="inlineStr">
        <x:is>
          <x:t xml:space="preserve">书评</x:t>
        </x:is>
      </x:c>
      <x:c r="G209" s="61" t="inlineStr">
        <x:is>
          <x:t xml:space="preserve">无</x:t>
        </x:is>
      </x:c>
      <x:c r="H209" s="61" t="str">
        <x:f>IF(LEN(I209)&lt;15,"短",IF(LEN(I209)&lt;=45,"中","长"))</x:f>
        <x:v>中</x:v>
      </x:c>
      <x:c r="I209" s="62" t="inlineStr">
        <x:is>
          <x:t xml:space="preserve">作者用一整章模仿“劝诫女子”的说教口吻，读到最后才发现是反话。</x:t>
        </x:is>
      </x:c>
      <x:c r="J209" s="62" t="str">
        <x:f>I209</x:f>
        <x:v>作者用一整章模仿“劝诫女子”的说教口吻，读到最后才发现是反话。</x:v>
      </x:c>
      <x:c r="K209" s="61" t="inlineStr">
        <x:is>
          <x:t xml:space="preserve">无需改写</x:t>
        </x:is>
      </x:c>
      <x:c r="L209" s="62" t="inlineStr">
        <x:is>
          <x:t xml:space="preserve">劝诫女子</x:t>
        </x:is>
      </x:c>
      <x:c r="M209" s="62" t="inlineStr">
        <x:is>
          <x:t xml:space="preserve">戏仿对象的说明</x:t>
        </x:is>
      </x:c>
      <x:c r="N209" s="62" t="inlineStr">
        <x:is>
          <x:t xml:space="preserve">作者用一整章模仿说教口吻，读到最后才发现是反话</x:t>
        </x:is>
      </x:c>
      <x:c r="O209" s="61" t="inlineStr">
        <x:is>
          <x:t xml:space="preserve">中</x:t>
        </x:is>
      </x:c>
      <x:c r="P209" s="61" t="inlineStr">
        <x:is>
          <x:t xml:space="preserve">否</x:t>
        </x:is>
      </x:c>
      <x:c r="Q209" s="62" t="n"/>
      <x:c r="R209" s="63" t="inlineStr">
        <x:is>
          <x:t xml:space="preserve">剔除</x:t>
        </x:is>
      </x:c>
      <x:c r="S209" s="63" t="inlineStr">
        <x:is>
          <x:t xml:space="preserve"/>
        </x:is>
      </x:c>
      <x:c r="T209" s="63" t="inlineStr">
        <x:is>
          <x:t xml:space="preserve">类别名有误导性：判据实为「引用/提及」，暂不纳入</x:t>
        </x:is>
      </x:c>
    </x:row>
    <x:row r="210" s="37" customFormat="1" ht="29.850000381469727" customHeight="1">
      <x:c r="A210" s="61" t="inlineStr">
        <x:is>
          <x:t xml:space="preserve">NEG-0209</x:t>
        </x:is>
      </x:c>
      <x:c r="B210" s="61" t="inlineStr">
        <x:is>
          <x:t xml:space="preserve">v2</x:t>
        </x:is>
      </x:c>
      <x:c r="C210" s="62" t="inlineStr">
        <x:is>
          <x:t xml:space="preserve">七、创作与修辞需要</x:t>
        </x:is>
      </x:c>
      <x:c r="D210" s="62" t="inlineStr">
        <x:is>
          <x:t xml:space="preserve">7.5 形式与格律约束</x:t>
        </x:is>
      </x:c>
      <x:c r="E210" s="62" t="inlineStr">
        <x:is>
          <x:t xml:space="preserve">文艺创作与评论</x:t>
        </x:is>
      </x:c>
      <x:c r="F210" s="62" t="inlineStr">
        <x:is>
          <x:t xml:space="preserve">楹联知识</x:t>
        </x:is>
      </x:c>
      <x:c r="G210" s="61" t="inlineStr">
        <x:is>
          <x:t xml:space="preserve">无</x:t>
        </x:is>
      </x:c>
      <x:c r="H210" s="61" t="str">
        <x:f>IF(LEN(I210)&lt;15,"短",IF(LEN(I210)&lt;=45,"中","长"))</x:f>
        <x:v>中</x:v>
      </x:c>
      <x:c r="I210" s="62" t="inlineStr">
        <x:is>
          <x:t xml:space="preserve">上联“夫勤耕”，下联“妇善织”，平仄与词性都要对上。</x:t>
        </x:is>
      </x:c>
      <x:c r="J210" s="62" t="str">
        <x:f>I210</x:f>
        <x:v>上联“夫勤耕”，下联“妇善织”，平仄与词性都要对上。</x:v>
      </x:c>
      <x:c r="K210" s="61" t="inlineStr">
        <x:is>
          <x:t xml:space="preserve">无需改写</x:t>
        </x:is>
      </x:c>
      <x:c r="L210" s="62" t="inlineStr">
        <x:is>
          <x:t xml:space="preserve">夫/妇</x:t>
        </x:is>
      </x:c>
      <x:c r="M210" s="62" t="inlineStr">
        <x:is>
          <x:t xml:space="preserve">工对依赖词性与语义的对应</x:t>
        </x:is>
      </x:c>
      <x:c r="N210" s="62" t="inlineStr">
        <x:is>
          <x:t xml:space="preserve">上联“晨勤耕”，下联“夜善织”</x:t>
        </x:is>
      </x:c>
      <x:c r="O210" s="61" t="inlineStr">
        <x:is>
          <x:t xml:space="preserve">难</x:t>
        </x:is>
      </x:c>
      <x:c r="P210" s="61" t="inlineStr">
        <x:is>
          <x:t xml:space="preserve">否</x:t>
        </x:is>
      </x:c>
      <x:c r="Q210" s="62" t="n"/>
      <x:c r="R210" s="63" t="inlineStr">
        <x:is>
          <x:t xml:space="preserve">剔除</x:t>
        </x:is>
      </x:c>
      <x:c r="S210" s="63" t="inlineStr">
        <x:is>
          <x:t xml:space="preserve"/>
        </x:is>
      </x:c>
      <x:c r="T210" s="63" t="inlineStr">
        <x:is>
          <x:t xml:space="preserve">类别名有误导性：判据实为「引用/提及」，暂不纳入</x:t>
        </x:is>
      </x:c>
    </x:row>
    <x:row r="211" s="37" customFormat="1" ht="15" customHeight="1">
      <x:c r="A211" s="61" t="inlineStr">
        <x:is>
          <x:t xml:space="preserve">NEG-0210</x:t>
        </x:is>
      </x:c>
      <x:c r="B211" s="61" t="inlineStr">
        <x:is>
          <x:t xml:space="preserve">v2</x:t>
        </x:is>
      </x:c>
      <x:c r="C211" s="62" t="inlineStr">
        <x:is>
          <x:t xml:space="preserve">七、创作与修辞需要</x:t>
        </x:is>
      </x:c>
      <x:c r="D211" s="62" t="inlineStr">
        <x:is>
          <x:t xml:space="preserve">7.5 形式与格律约束</x:t>
        </x:is>
      </x:c>
      <x:c r="E211" s="62" t="inlineStr">
        <x:is>
          <x:t xml:space="preserve">文艺创作与评论</x:t>
        </x:is>
      </x:c>
      <x:c r="F211" s="62" t="inlineStr">
        <x:is>
          <x:t xml:space="preserve">作词笔记</x:t>
        </x:is>
      </x:c>
      <x:c r="G211" s="61" t="inlineStr">
        <x:is>
          <x:t xml:space="preserve">无</x:t>
        </x:is>
      </x:c>
      <x:c r="H211" s="61" t="str">
        <x:f>IF(LEN(I211)&lt;15,"短",IF(LEN(I211)&lt;=45,"中","长"))</x:f>
        <x:v>中</x:v>
      </x:c>
      <x:c r="I211" s="62" t="inlineStr">
        <x:is>
          <x:t xml:space="preserve">这句押的是 a 韵，末字“她”换掉就跑韵了。</x:t>
        </x:is>
      </x:c>
      <x:c r="J211" s="62" t="str">
        <x:f>I211</x:f>
        <x:v>这句押的是 a 韵，末字“她”换掉就跑韵了。</x:v>
      </x:c>
      <x:c r="K211" s="61" t="inlineStr">
        <x:is>
          <x:t xml:space="preserve">无需改写</x:t>
        </x:is>
      </x:c>
      <x:c r="L211" s="62" t="inlineStr">
        <x:is>
          <x:t xml:space="preserve">她</x:t>
        </x:is>
      </x:c>
      <x:c r="M211" s="62" t="inlineStr">
        <x:is>
          <x:t xml:space="preserve">韵律约束</x:t>
        </x:is>
      </x:c>
      <x:c r="N211" s="62" t="inlineStr">
        <x:is>
          <x:t xml:space="preserve">这句押的是 a 韵，末字换成“TA”</x:t>
        </x:is>
      </x:c>
      <x:c r="O211" s="61" t="inlineStr">
        <x:is>
          <x:t xml:space="preserve">难</x:t>
        </x:is>
      </x:c>
      <x:c r="P211" s="61" t="inlineStr">
        <x:is>
          <x:t xml:space="preserve">否</x:t>
        </x:is>
      </x:c>
      <x:c r="Q211" s="62" t="n"/>
      <x:c r="R211" s="63" t="inlineStr">
        <x:is>
          <x:t xml:space="preserve">剔除</x:t>
        </x:is>
      </x:c>
      <x:c r="S211" s="63" t="inlineStr">
        <x:is>
          <x:t xml:space="preserve"/>
        </x:is>
      </x:c>
      <x:c r="T211" s="63" t="inlineStr">
        <x:is>
          <x:t xml:space="preserve">类别名有误导性：判据实为「引用/提及」，暂不纳入</x:t>
        </x:is>
      </x:c>
    </x:row>
    <x:row r="212" s="37" customFormat="1" ht="29.850000381469727" customHeight="1">
      <x:c r="A212" s="61" t="inlineStr">
        <x:is>
          <x:t xml:space="preserve">NEG-0211</x:t>
        </x:is>
      </x:c>
      <x:c r="B212" s="61" t="inlineStr">
        <x:is>
          <x:t xml:space="preserve">v2</x:t>
        </x:is>
      </x:c>
      <x:c r="C212" s="62" t="inlineStr">
        <x:is>
          <x:t xml:space="preserve">七、创作与修辞需要</x:t>
        </x:is>
      </x:c>
      <x:c r="D212" s="62" t="inlineStr">
        <x:is>
          <x:t xml:space="preserve">7.5 形式与格律约束</x:t>
        </x:is>
      </x:c>
      <x:c r="E212" s="62" t="inlineStr">
        <x:is>
          <x:t xml:space="preserve">学术与调研</x:t>
        </x:is>
      </x:c>
      <x:c r="F212" s="62" t="inlineStr">
        <x:is>
          <x:t xml:space="preserve">古文教学</x:t>
        </x:is>
      </x:c>
      <x:c r="G212" s="61" t="inlineStr">
        <x:is>
          <x:t xml:space="preserve">无</x:t>
        </x:is>
      </x:c>
      <x:c r="H212" s="61" t="str">
        <x:f>IF(LEN(I212)&lt;15,"短",IF(LEN(I212)&lt;=45,"中","长"))</x:f>
        <x:v>中</x:v>
      </x:c>
      <x:c r="I212" s="62" t="inlineStr">
        <x:is>
          <x:t xml:space="preserve">《木兰辞》“阿爷无大儿，木兰无长兄”两句是互文，不能拆开理解。</x:t>
        </x:is>
      </x:c>
      <x:c r="J212" s="62" t="str">
        <x:f>I212</x:f>
        <x:v>《木兰辞》“阿爷无大儿，木兰无长兄”两句是互文，不能拆开理解。</x:v>
      </x:c>
      <x:c r="K212" s="61" t="inlineStr">
        <x:is>
          <x:t xml:space="preserve">无需改写</x:t>
        </x:is>
      </x:c>
      <x:c r="L212" s="62" t="inlineStr">
        <x:is>
          <x:t xml:space="preserve">大儿/长兄</x:t>
        </x:is>
      </x:c>
      <x:c r="M212" s="62" t="inlineStr">
        <x:is>
          <x:t xml:space="preserve">互文修辞的原文</x:t>
        </x:is>
      </x:c>
      <x:c r="N212" s="62" t="inlineStr">
        <x:is>
          <x:t xml:space="preserve">《木兰辞》中两句是互文，不能拆开理解</x:t>
        </x:is>
      </x:c>
      <x:c r="O212" s="61" t="inlineStr">
        <x:is>
          <x:t xml:space="preserve">中</x:t>
        </x:is>
      </x:c>
      <x:c r="P212" s="61" t="inlineStr">
        <x:is>
          <x:t xml:space="preserve">否</x:t>
        </x:is>
      </x:c>
      <x:c r="Q212" s="62" t="n"/>
      <x:c r="R212" s="63" t="inlineStr">
        <x:is>
          <x:t xml:space="preserve">剔除</x:t>
        </x:is>
      </x:c>
      <x:c r="S212" s="63" t="inlineStr">
        <x:is>
          <x:t xml:space="preserve"/>
        </x:is>
      </x:c>
      <x:c r="T212" s="63" t="inlineStr">
        <x:is>
          <x:t xml:space="preserve">类别名有误导性：判据实为「引用/提及」，暂不纳入</x:t>
        </x:is>
      </x:c>
    </x:row>
    <x:row r="213" s="37" customFormat="1" ht="29.850000381469727" customHeight="1">
      <x:c r="A213" s="61" t="inlineStr">
        <x:is>
          <x:t xml:space="preserve">NEG-0212</x:t>
        </x:is>
      </x:c>
      <x:c r="B213" s="61" t="inlineStr">
        <x:is>
          <x:t xml:space="preserve">v2</x:t>
        </x:is>
      </x:c>
      <x:c r="C213" s="62" t="inlineStr">
        <x:is>
          <x:t xml:space="preserve">七、创作与修辞需要</x:t>
        </x:is>
      </x:c>
      <x:c r="D213" s="62" t="inlineStr">
        <x:is>
          <x:t xml:space="preserve">7.5 形式与格律约束</x:t>
        </x:is>
      </x:c>
      <x:c r="E213" s="62" t="inlineStr">
        <x:is>
          <x:t xml:space="preserve">学术与调研</x:t>
        </x:is>
      </x:c>
      <x:c r="F213" s="62" t="inlineStr">
        <x:is>
          <x:t xml:space="preserve">民俗语言</x:t>
        </x:is>
      </x:c>
      <x:c r="G213" s="61" t="inlineStr">
        <x:is>
          <x:t xml:space="preserve">无</x:t>
        </x:is>
      </x:c>
      <x:c r="H213" s="61" t="str">
        <x:f>IF(LEN(I213)&lt;15,"短",IF(LEN(I213)&lt;=45,"中","长"))</x:f>
        <x:v>中</x:v>
      </x:c>
      <x:c r="I213" s="62" t="inlineStr">
        <x:is>
          <x:t xml:space="preserve">歇后语“嫁出去的女儿——泼出去的水”，前后半句缺一不可。</x:t>
        </x:is>
      </x:c>
      <x:c r="J213" s="62" t="str">
        <x:f>I213</x:f>
        <x:v>歇后语“嫁出去的女儿——泼出去的水”，前后半句缺一不可。</x:v>
      </x:c>
      <x:c r="K213" s="61" t="inlineStr">
        <x:is>
          <x:t xml:space="preserve">无需改写</x:t>
        </x:is>
      </x:c>
      <x:c r="L213" s="62" t="inlineStr">
        <x:is>
          <x:t xml:space="preserve">嫁出去的女儿</x:t>
        </x:is>
      </x:c>
      <x:c r="M213" s="62" t="inlineStr">
        <x:is>
          <x:t xml:space="preserve">歇后语的完整结构</x:t>
        </x:is>
      </x:c>
      <x:c r="N213" s="62" t="inlineStr">
        <x:is>
          <x:t xml:space="preserve">该歇后语的前后半句缺一不可</x:t>
        </x:is>
      </x:c>
      <x:c r="O213" s="61" t="inlineStr">
        <x:is>
          <x:t xml:space="preserve">中</x:t>
        </x:is>
      </x:c>
      <x:c r="P213" s="61" t="inlineStr">
        <x:is>
          <x:t xml:space="preserve">否</x:t>
        </x:is>
      </x:c>
      <x:c r="Q213" s="62" t="n"/>
      <x:c r="R213" s="63" t="inlineStr">
        <x:is>
          <x:t xml:space="preserve">剔除</x:t>
        </x:is>
      </x:c>
      <x:c r="S213" s="63" t="inlineStr">
        <x:is>
          <x:t xml:space="preserve"/>
        </x:is>
      </x:c>
      <x:c r="T213" s="63" t="inlineStr">
        <x:is>
          <x:t xml:space="preserve">类别名有误导性：判据实为「引用/提及」，暂不纳入</x:t>
        </x:is>
      </x:c>
    </x:row>
    <x:row r="214" s="37" customFormat="1" ht="29.850000381469727" customHeight="1">
      <x:c r="A214" s="61" t="inlineStr">
        <x:is>
          <x:t xml:space="preserve">NEG-0213</x:t>
        </x:is>
      </x:c>
      <x:c r="B214" s="61" t="inlineStr">
        <x:is>
          <x:t xml:space="preserve">v2</x:t>
        </x:is>
      </x:c>
      <x:c r="C214" s="62" t="inlineStr">
        <x:is>
          <x:t xml:space="preserve">七、创作与修辞需要</x:t>
        </x:is>
      </x:c>
      <x:c r="D214" s="62" t="inlineStr">
        <x:is>
          <x:t xml:space="preserve">7.5 形式与格律约束</x:t>
        </x:is>
      </x:c>
      <x:c r="E214" s="62" t="inlineStr">
        <x:is>
          <x:t xml:space="preserve">文艺创作与评论</x:t>
        </x:is>
      </x:c>
      <x:c r="F214" s="62" t="inlineStr">
        <x:is>
          <x:t xml:space="preserve">戏文</x:t>
        </x:is>
      </x:c>
      <x:c r="G214" s="61" t="inlineStr">
        <x:is>
          <x:t xml:space="preserve">无</x:t>
        </x:is>
      </x:c>
      <x:c r="H214" s="61" t="str">
        <x:f>IF(LEN(I214)&lt;15,"短",IF(LEN(I214)&lt;=45,"中","长"))</x:f>
        <x:v>中</x:v>
      </x:c>
      <x:c r="I214" s="62" t="inlineStr">
        <x:is>
          <x:t xml:space="preserve">这段唱词是七字句，“儿”和“女”占的字数不一样，改了就不齐。</x:t>
        </x:is>
      </x:c>
      <x:c r="J214" s="62" t="str">
        <x:f>I214</x:f>
        <x:v>这段唱词是七字句，“儿”和“女”占的字数不一样，改了就不齐。</x:v>
      </x:c>
      <x:c r="K214" s="61" t="inlineStr">
        <x:is>
          <x:t xml:space="preserve">无需改写</x:t>
        </x:is>
      </x:c>
      <x:c r="L214" s="62" t="inlineStr">
        <x:is>
          <x:t xml:space="preserve">儿/女</x:t>
        </x:is>
      </x:c>
      <x:c r="M214" s="62" t="inlineStr">
        <x:is>
          <x:t xml:space="preserve">字数与板式约束</x:t>
        </x:is>
      </x:c>
      <x:c r="N214" s="62" t="inlineStr">
        <x:is>
          <x:t xml:space="preserve">这段唱词是七字句，改字会影响齐整</x:t>
        </x:is>
      </x:c>
      <x:c r="O214" s="61" t="inlineStr">
        <x:is>
          <x:t xml:space="preserve">中</x:t>
        </x:is>
      </x:c>
      <x:c r="P214" s="61" t="inlineStr">
        <x:is>
          <x:t xml:space="preserve">否</x:t>
        </x:is>
      </x:c>
      <x:c r="Q214" s="62" t="n"/>
      <x:c r="R214" s="63" t="inlineStr">
        <x:is>
          <x:t xml:space="preserve">剔除</x:t>
        </x:is>
      </x:c>
      <x:c r="S214" s="63" t="inlineStr">
        <x:is>
          <x:t xml:space="preserve"/>
        </x:is>
      </x:c>
      <x:c r="T214" s="63" t="inlineStr">
        <x:is>
          <x:t xml:space="preserve">类别名有误导性：判据实为「引用/提及」，暂不纳入</x:t>
        </x:is>
      </x:c>
    </x:row>
    <x:row r="215" s="37" customFormat="1" ht="15" customHeight="1">
      <x:c r="A215" s="61" t="inlineStr">
        <x:is>
          <x:t xml:space="preserve">NEG-0214</x:t>
        </x:is>
      </x:c>
      <x:c r="B215" s="61" t="inlineStr">
        <x:is>
          <x:t xml:space="preserve">v2</x:t>
        </x:is>
      </x:c>
      <x:c r="C215" s="62" t="inlineStr">
        <x:is>
          <x:t xml:space="preserve">七、创作与修辞需要</x:t>
        </x:is>
      </x:c>
      <x:c r="D215" s="62" t="inlineStr">
        <x:is>
          <x:t xml:space="preserve">7.6 意象与典故</x:t>
        </x:is>
      </x:c>
      <x:c r="E215" s="62" t="inlineStr">
        <x:is>
          <x:t xml:space="preserve">文艺创作与评论</x:t>
        </x:is>
      </x:c>
      <x:c r="F215" s="62" t="inlineStr">
        <x:is>
          <x:t xml:space="preserve">典故解释</x:t>
        </x:is>
      </x:c>
      <x:c r="G215" s="61" t="inlineStr">
        <x:is>
          <x:t xml:space="preserve">无</x:t>
        </x:is>
      </x:c>
      <x:c r="H215" s="61" t="str">
        <x:f>IF(LEN(I215)&lt;15,"短",IF(LEN(I215)&lt;=45,"中","长"))</x:f>
        <x:v>中</x:v>
      </x:c>
      <x:c r="I215" s="62" t="inlineStr">
        <x:is>
          <x:t xml:space="preserve">“举案齐眉”出自《后汉书》，写的是孟光与梁鸿。</x:t>
        </x:is>
      </x:c>
      <x:c r="J215" s="62" t="str">
        <x:f>I215</x:f>
        <x:v>“举案齐眉”出自《后汉书》，写的是孟光与梁鸿。</x:v>
      </x:c>
      <x:c r="K215" s="61" t="inlineStr">
        <x:is>
          <x:t xml:space="preserve">无需改写</x:t>
        </x:is>
      </x:c>
      <x:c r="L215" s="62" t="inlineStr">
        <x:is>
          <x:t xml:space="preserve">举案齐眉/孟光梁鸿</x:t>
        </x:is>
      </x:c>
      <x:c r="M215" s="62" t="inlineStr">
        <x:is>
          <x:t xml:space="preserve">成语出处与本事</x:t>
        </x:is>
      </x:c>
      <x:c r="N215" s="62" t="inlineStr">
        <x:is>
          <x:t xml:space="preserve">该成语出自《后汉书》，写的是一对夫妇</x:t>
        </x:is>
      </x:c>
      <x:c r="O215" s="61" t="inlineStr">
        <x:is>
          <x:t xml:space="preserve">易</x:t>
        </x:is>
      </x:c>
      <x:c r="P215" s="61" t="inlineStr">
        <x:is>
          <x:t xml:space="preserve">否</x:t>
        </x:is>
      </x:c>
      <x:c r="Q215" s="62" t="n"/>
      <x:c r="R215" s="63" t="inlineStr">
        <x:is>
          <x:t xml:space="preserve">剔除</x:t>
        </x:is>
      </x:c>
      <x:c r="S215" s="63" t="inlineStr">
        <x:is>
          <x:t xml:space="preserve"/>
        </x:is>
      </x:c>
      <x:c r="T215" s="63" t="inlineStr">
        <x:is>
          <x:t xml:space="preserve">类别名有误导性：判据实为「引用/提及」，暂不纳入</x:t>
        </x:is>
      </x:c>
    </x:row>
    <x:row r="216" s="37" customFormat="1" ht="15" customHeight="1">
      <x:c r="A216" s="61" t="inlineStr">
        <x:is>
          <x:t xml:space="preserve">NEG-0215</x:t>
        </x:is>
      </x:c>
      <x:c r="B216" s="61" t="inlineStr">
        <x:is>
          <x:t xml:space="preserve">v2</x:t>
        </x:is>
      </x:c>
      <x:c r="C216" s="62" t="inlineStr">
        <x:is>
          <x:t xml:space="preserve">七、创作与修辞需要</x:t>
        </x:is>
      </x:c>
      <x:c r="D216" s="62" t="inlineStr">
        <x:is>
          <x:t xml:space="preserve">7.6 意象与典故</x:t>
        </x:is>
      </x:c>
      <x:c r="E216" s="62" t="inlineStr">
        <x:is>
          <x:t xml:space="preserve">学术与调研</x:t>
        </x:is>
      </x:c>
      <x:c r="F216" s="62" t="inlineStr">
        <x:is>
          <x:t xml:space="preserve">民俗介绍</x:t>
        </x:is>
      </x:c>
      <x:c r="G216" s="61" t="inlineStr">
        <x:is>
          <x:t xml:space="preserve">无</x:t>
        </x:is>
      </x:c>
      <x:c r="H216" s="61" t="str">
        <x:f>IF(LEN(I216)&lt;15,"短",IF(LEN(I216)&lt;=45,"中","长"))</x:f>
        <x:v>中</x:v>
      </x:c>
      <x:c r="I216" s="62" t="inlineStr">
        <x:is>
          <x:t xml:space="preserve">七夕的牛郎织女传说，最早可追溯到《诗经》中的星名。</x:t>
        </x:is>
      </x:c>
      <x:c r="J216" s="62" t="str">
        <x:f>I216</x:f>
        <x:v>七夕的牛郎织女传说，最早可追溯到《诗经》中的星名。</x:v>
      </x:c>
      <x:c r="K216" s="61" t="inlineStr">
        <x:is>
          <x:t xml:space="preserve">无需改写</x:t>
        </x:is>
      </x:c>
      <x:c r="L216" s="62" t="inlineStr">
        <x:is>
          <x:t xml:space="preserve">牛郎织女</x:t>
        </x:is>
      </x:c>
      <x:c r="M216" s="62" t="inlineStr">
        <x:is>
          <x:t xml:space="preserve">神话专名</x:t>
        </x:is>
      </x:c>
      <x:c r="N216" s="62" t="inlineStr">
        <x:is>
          <x:t xml:space="preserve">七夕的传说最早可追溯到《诗经》中的星名</x:t>
        </x:is>
      </x:c>
      <x:c r="O216" s="61" t="inlineStr">
        <x:is>
          <x:t xml:space="preserve">易</x:t>
        </x:is>
      </x:c>
      <x:c r="P216" s="61" t="inlineStr">
        <x:is>
          <x:t xml:space="preserve">否</x:t>
        </x:is>
      </x:c>
      <x:c r="Q216" s="62" t="n"/>
      <x:c r="R216" s="63" t="inlineStr">
        <x:is>
          <x:t xml:space="preserve">剔除</x:t>
        </x:is>
      </x:c>
      <x:c r="S216" s="63" t="inlineStr">
        <x:is>
          <x:t xml:space="preserve"/>
        </x:is>
      </x:c>
      <x:c r="T216" s="63" t="inlineStr">
        <x:is>
          <x:t xml:space="preserve">类别名有误导性：判据实为「引用/提及」，暂不纳入</x:t>
        </x:is>
      </x:c>
    </x:row>
    <x:row r="217" s="37" customFormat="1" ht="29.850000381469727" customHeight="1">
      <x:c r="A217" s="61" t="inlineStr">
        <x:is>
          <x:t xml:space="preserve">NEG-0216</x:t>
        </x:is>
      </x:c>
      <x:c r="B217" s="61" t="inlineStr">
        <x:is>
          <x:t xml:space="preserve">v2</x:t>
        </x:is>
      </x:c>
      <x:c r="C217" s="62" t="inlineStr">
        <x:is>
          <x:t xml:space="preserve">七、创作与修辞需要</x:t>
        </x:is>
      </x:c>
      <x:c r="D217" s="62" t="inlineStr">
        <x:is>
          <x:t xml:space="preserve">7.6 意象与典故</x:t>
        </x:is>
      </x:c>
      <x:c r="E217" s="62" t="inlineStr">
        <x:is>
          <x:t xml:space="preserve">文艺创作与评论</x:t>
        </x:is>
      </x:c>
      <x:c r="F217" s="62" t="inlineStr">
        <x:is>
          <x:t xml:space="preserve">教育评论</x:t>
        </x:is>
      </x:c>
      <x:c r="G217" s="61" t="inlineStr">
        <x:is>
          <x:t xml:space="preserve">无</x:t>
        </x:is>
      </x:c>
      <x:c r="H217" s="61" t="str">
        <x:f>IF(LEN(I217)&lt;15,"短",IF(LEN(I217)&lt;=45,"中","长"))</x:f>
        <x:v>中</x:v>
      </x:c>
      <x:c r="I217" s="62" t="inlineStr">
        <x:is>
          <x:t xml:space="preserve">“孟母三迁”常被用作家庭教育投入的典故，但也被批评过度美化牺牲。</x:t>
        </x:is>
      </x:c>
      <x:c r="J217" s="62" t="str">
        <x:f>I217</x:f>
        <x:v>“孟母三迁”常被用作家庭教育投入的典故，但也被批评过度美化牺牲。</x:v>
      </x:c>
      <x:c r="K217" s="61" t="inlineStr">
        <x:is>
          <x:t xml:space="preserve">无需改写</x:t>
        </x:is>
      </x:c>
      <x:c r="L217" s="62" t="inlineStr">
        <x:is>
          <x:t xml:space="preserve">孟母三迁</x:t>
        </x:is>
      </x:c>
      <x:c r="M217" s="62" t="inlineStr">
        <x:is>
          <x:t xml:space="preserve">典故名称，且句子已含批判</x:t>
        </x:is>
      </x:c>
      <x:c r="N217" s="62" t="inlineStr">
        <x:is>
          <x:t xml:space="preserve">该典故常被用作家庭教育投入的例证</x:t>
        </x:is>
      </x:c>
      <x:c r="O217" s="61" t="inlineStr">
        <x:is>
          <x:t xml:space="preserve">中</x:t>
        </x:is>
      </x:c>
      <x:c r="P217" s="61" t="inlineStr">
        <x:is>
          <x:t xml:space="preserve">否</x:t>
        </x:is>
      </x:c>
      <x:c r="Q217" s="62" t="n"/>
      <x:c r="R217" s="63" t="inlineStr">
        <x:is>
          <x:t xml:space="preserve">剔除</x:t>
        </x:is>
      </x:c>
      <x:c r="S217" s="63" t="inlineStr">
        <x:is>
          <x:t xml:space="preserve"/>
        </x:is>
      </x:c>
      <x:c r="T217" s="63" t="inlineStr">
        <x:is>
          <x:t xml:space="preserve">类别名有误导性：判据实为「引用/提及」，暂不纳入</x:t>
        </x:is>
      </x:c>
    </x:row>
    <x:row r="218" s="37" customFormat="1" ht="15" customHeight="1">
      <x:c r="A218" s="61" t="inlineStr">
        <x:is>
          <x:t xml:space="preserve">NEG-0217</x:t>
        </x:is>
      </x:c>
      <x:c r="B218" s="61" t="inlineStr">
        <x:is>
          <x:t xml:space="preserve">v2</x:t>
        </x:is>
      </x:c>
      <x:c r="C218" s="62" t="inlineStr">
        <x:is>
          <x:t xml:space="preserve">七、创作与修辞需要</x:t>
        </x:is>
      </x:c>
      <x:c r="D218" s="62" t="inlineStr">
        <x:is>
          <x:t xml:space="preserve">7.6 意象与典故</x:t>
        </x:is>
      </x:c>
      <x:c r="E218" s="62" t="inlineStr">
        <x:is>
          <x:t xml:space="preserve">文艺创作与评论</x:t>
        </x:is>
      </x:c>
      <x:c r="F218" s="62" t="inlineStr">
        <x:is>
          <x:t xml:space="preserve">文学分析</x:t>
        </x:is>
      </x:c>
      <x:c r="G218" s="61" t="inlineStr">
        <x:is>
          <x:t xml:space="preserve">无</x:t>
        </x:is>
      </x:c>
      <x:c r="H218" s="61" t="str">
        <x:f>IF(LEN(I218)&lt;15,"短",IF(LEN(I218)&lt;=45,"中","长"))</x:f>
        <x:v>中</x:v>
      </x:c>
      <x:c r="I218" s="62" t="inlineStr">
        <x:is>
          <x:t xml:space="preserve">文中“夫唱妇随”是反用，读者须结合上下文理解。</x:t>
        </x:is>
      </x:c>
      <x:c r="J218" s="62" t="str">
        <x:f>I218</x:f>
        <x:v>文中“夫唱妇随”是反用，读者须结合上下文理解。</x:v>
      </x:c>
      <x:c r="K218" s="61" t="inlineStr">
        <x:is>
          <x:t xml:space="preserve">无需改写</x:t>
        </x:is>
      </x:c>
      <x:c r="L218" s="62" t="inlineStr">
        <x:is>
          <x:t xml:space="preserve">夫唱妇随</x:t>
        </x:is>
      </x:c>
      <x:c r="M218" s="62" t="inlineStr">
        <x:is>
          <x:t xml:space="preserve">反用手法的对象</x:t>
        </x:is>
      </x:c>
      <x:c r="N218" s="62" t="inlineStr">
        <x:is>
          <x:t xml:space="preserve">文中相关成语是反用，须结合上下文理解</x:t>
        </x:is>
      </x:c>
      <x:c r="O218" s="61" t="inlineStr">
        <x:is>
          <x:t xml:space="preserve">中</x:t>
        </x:is>
      </x:c>
      <x:c r="P218" s="61" t="inlineStr">
        <x:is>
          <x:t xml:space="preserve">否</x:t>
        </x:is>
      </x:c>
      <x:c r="Q218" s="62" t="n"/>
      <x:c r="R218" s="63" t="inlineStr">
        <x:is>
          <x:t xml:space="preserve">剔除</x:t>
        </x:is>
      </x:c>
      <x:c r="S218" s="63" t="inlineStr">
        <x:is>
          <x:t xml:space="preserve"/>
        </x:is>
      </x:c>
      <x:c r="T218" s="63" t="inlineStr">
        <x:is>
          <x:t xml:space="preserve">类别名有误导性：判据实为「引用/提及」，暂不纳入</x:t>
        </x:is>
      </x:c>
    </x:row>
    <x:row r="219" s="37" customFormat="1" ht="15" customHeight="1">
      <x:c r="A219" s="61" t="inlineStr">
        <x:is>
          <x:t xml:space="preserve">NEG-0218</x:t>
        </x:is>
      </x:c>
      <x:c r="B219" s="61" t="inlineStr">
        <x:is>
          <x:t xml:space="preserve">v2</x:t>
        </x:is>
      </x:c>
      <x:c r="C219" s="62" t="inlineStr">
        <x:is>
          <x:t xml:space="preserve">七、创作与修辞需要</x:t>
        </x:is>
      </x:c>
      <x:c r="D219" s="62" t="inlineStr">
        <x:is>
          <x:t xml:space="preserve">7.6 意象与典故</x:t>
        </x:is>
      </x:c>
      <x:c r="E219" s="62" t="inlineStr">
        <x:is>
          <x:t xml:space="preserve">文艺创作与评论</x:t>
        </x:is>
      </x:c>
      <x:c r="F219" s="62" t="inlineStr">
        <x:is>
          <x:t xml:space="preserve">诗词赏析</x:t>
        </x:is>
      </x:c>
      <x:c r="G219" s="61" t="inlineStr">
        <x:is>
          <x:t xml:space="preserve">无</x:t>
        </x:is>
      </x:c>
      <x:c r="H219" s="61" t="str">
        <x:f>IF(LEN(I219)&lt;15,"短",IF(LEN(I219)&lt;=45,"中","长"))</x:f>
        <x:v>中</x:v>
      </x:c>
      <x:c r="I219" s="62" t="inlineStr">
        <x:is>
          <x:t xml:space="preserve">词中借“思妇”的形象寄托的，其实是仕途失意。</x:t>
        </x:is>
      </x:c>
      <x:c r="J219" s="62" t="str">
        <x:f>I219</x:f>
        <x:v>词中借“思妇”的形象寄托的，其实是仕途失意。</x:v>
      </x:c>
      <x:c r="K219" s="61" t="inlineStr">
        <x:is>
          <x:t xml:space="preserve">无需改写</x:t>
        </x:is>
      </x:c>
      <x:c r="L219" s="62" t="inlineStr">
        <x:is>
          <x:t xml:space="preserve">思妇</x:t>
        </x:is>
      </x:c>
      <x:c r="M219" s="62" t="inlineStr">
        <x:is>
          <x:t xml:space="preserve">古典诗词的固定意象</x:t>
        </x:is>
      </x:c>
      <x:c r="N219" s="62" t="inlineStr">
        <x:is>
          <x:t xml:space="preserve">词中借某一形象寄托的，其实是仕途失意</x:t>
        </x:is>
      </x:c>
      <x:c r="O219" s="61" t="inlineStr">
        <x:is>
          <x:t xml:space="preserve">中</x:t>
        </x:is>
      </x:c>
      <x:c r="P219" s="61" t="inlineStr">
        <x:is>
          <x:t xml:space="preserve">否</x:t>
        </x:is>
      </x:c>
      <x:c r="Q219" s="62" t="n"/>
      <x:c r="R219" s="63" t="inlineStr">
        <x:is>
          <x:t xml:space="preserve">剔除</x:t>
        </x:is>
      </x:c>
      <x:c r="S219" s="63" t="inlineStr">
        <x:is>
          <x:t xml:space="preserve"/>
        </x:is>
      </x:c>
      <x:c r="T219" s="63" t="inlineStr">
        <x:is>
          <x:t xml:space="preserve">类别名有误导性：判据实为「引用/提及」，暂不纳入</x:t>
        </x:is>
      </x:c>
    </x:row>
    <x:row r="220" s="37" customFormat="1" ht="29.850000381469727" customHeight="1">
      <x:c r="A220" s="55" t="inlineStr">
        <x:is>
          <x:t xml:space="preserve">NEG-0219</x:t>
        </x:is>
      </x:c>
      <x:c r="B220" s="55" t="inlineStr">
        <x:is>
          <x:t xml:space="preserve">v2</x:t>
        </x:is>
      </x:c>
      <x:c r="C220" s="56" t="inlineStr">
        <x:is>
          <x:t xml:space="preserve">八、语言本体层面的历史残留</x:t>
        </x:is>
      </x:c>
      <x:c r="D220" s="56" t="inlineStr">
        <x:is>
          <x:t xml:space="preserve">8.1 字形理据</x:t>
        </x:is>
      </x:c>
      <x:c r="E220" s="56" t="inlineStr">
        <x:is>
          <x:t xml:space="preserve">医疗健康</x:t>
        </x:is>
      </x:c>
      <x:c r="F220" s="56" t="inlineStr">
        <x:is>
          <x:t xml:space="preserve">语言学科普</x:t>
        </x:is>
      </x:c>
      <x:c r="G220" s="55" t="inlineStr">
        <x:is>
          <x:t xml:space="preserve">无</x:t>
        </x:is>
      </x:c>
      <x:c r="H220" s="55" t="str">
        <x:f>IF(LEN(I220)&lt;15,"短",IF(LEN(I220)&lt;=45,"中","长"))</x:f>
        <x:v>中</x:v>
      </x:c>
      <x:c r="I220" s="56" t="inlineStr">
        <x:is>
          <x:t xml:space="preserve">“她”字由刘半农在上世纪二十年代推广开来，此前书面上并无区分。</x:t>
        </x:is>
      </x:c>
      <x:c r="J220" s="56" t="str">
        <x:f>I220</x:f>
        <x:v>“她”字由刘半农在上世纪二十年代推广开来，此前书面上并无区分。</x:v>
      </x:c>
      <x:c r="K220" s="55" t="inlineStr">
        <x:is>
          <x:t xml:space="preserve">无需改写</x:t>
        </x:is>
      </x:c>
      <x:c r="L220" s="56" t="inlineStr">
        <x:is>
          <x:t xml:space="preserve">她</x:t>
        </x:is>
      </x:c>
      <x:c r="M220" s="56" t="inlineStr">
        <x:is>
          <x:t xml:space="preserve">文字史事实</x:t>
        </x:is>
      </x:c>
      <x:c r="N220" s="56" t="inlineStr">
        <x:is>
          <x:t xml:space="preserve">第三人称代词的书面区分形成于上世纪二十年代</x:t>
        </x:is>
      </x:c>
      <x:c r="O220" s="55" t="inlineStr">
        <x:is>
          <x:t xml:space="preserve">中</x:t>
        </x:is>
      </x:c>
      <x:c r="P220" s="55" t="inlineStr">
        <x:is>
          <x:t xml:space="preserve">否</x:t>
        </x:is>
      </x:c>
      <x:c r="Q220" s="56" t="n"/>
      <x:c r="R220" s="57" t="inlineStr">
        <x:is>
          <x:t xml:space="preserve">主集</x:t>
        </x:is>
      </x:c>
      <x:c r="S220" s="57" t="inlineStr">
        <x:is>
          <x:t xml:space="preserve">test</x:t>
        </x:is>
      </x:c>
      <x:c r="T220" s="57" t="inlineStr">
        <x:is>
          <x:t xml:space="preserve"/>
        </x:is>
      </x:c>
    </x:row>
    <x:row r="221" s="37" customFormat="1" ht="29.850000381469727" customHeight="1">
      <x:c r="A221" s="55" t="inlineStr">
        <x:is>
          <x:t xml:space="preserve">NEG-0220</x:t>
        </x:is>
      </x:c>
      <x:c r="B221" s="55" t="inlineStr">
        <x:is>
          <x:t xml:space="preserve">v2</x:t>
        </x:is>
      </x:c>
      <x:c r="C221" s="56" t="inlineStr">
        <x:is>
          <x:t xml:space="preserve">八、语言本体层面的历史残留</x:t>
        </x:is>
      </x:c>
      <x:c r="D221" s="56" t="inlineStr">
        <x:is>
          <x:t xml:space="preserve">8.1 字形理据</x:t>
        </x:is>
      </x:c>
      <x:c r="E221" s="56" t="inlineStr">
        <x:is>
          <x:t xml:space="preserve">学术与调研</x:t>
        </x:is>
      </x:c>
      <x:c r="F221" s="56" t="inlineStr">
        <x:is>
          <x:t xml:space="preserve">文字学</x:t>
        </x:is>
      </x:c>
      <x:c r="G221" s="55" t="inlineStr">
        <x:is>
          <x:t xml:space="preserve">无</x:t>
        </x:is>
      </x:c>
      <x:c r="H221" s="55" t="str">
        <x:f>IF(LEN(I221)&lt;15,"短",IF(LEN(I221)&lt;=45,"中","长"))</x:f>
        <x:v>中</x:v>
      </x:c>
      <x:c r="I221" s="56" t="inlineStr">
        <x:is>
          <x:t xml:space="preserve">“好”字从女从子，本义与“美”相关，与褒贬无关。</x:t>
        </x:is>
      </x:c>
      <x:c r="J221" s="56" t="str">
        <x:f>I221</x:f>
        <x:v>“好”字从女从子，本义与“美”相关，与褒贬无关。</x:v>
      </x:c>
      <x:c r="K221" s="55" t="inlineStr">
        <x:is>
          <x:t xml:space="preserve">无需改写</x:t>
        </x:is>
      </x:c>
      <x:c r="L221" s="56" t="inlineStr">
        <x:is>
          <x:t xml:space="preserve">女/子</x:t>
        </x:is>
      </x:c>
      <x:c r="M221" s="56" t="inlineStr">
        <x:is>
          <x:t xml:space="preserve">构字法说明</x:t>
        </x:is>
      </x:c>
      <x:c r="N221" s="56" t="inlineStr">
        <x:is>
          <x:t xml:space="preserve">该字的构形与其本义相关，与褒贬无关</x:t>
        </x:is>
      </x:c>
      <x:c r="O221" s="55" t="inlineStr">
        <x:is>
          <x:t xml:space="preserve">易</x:t>
        </x:is>
      </x:c>
      <x:c r="P221" s="55" t="inlineStr">
        <x:is>
          <x:t xml:space="preserve">否</x:t>
        </x:is>
      </x:c>
      <x:c r="Q221" s="56" t="n"/>
      <x:c r="R221" s="57" t="inlineStr">
        <x:is>
          <x:t xml:space="preserve">主集</x:t>
        </x:is>
      </x:c>
      <x:c r="S221" s="57" t="inlineStr">
        <x:is>
          <x:t xml:space="preserve">index</x:t>
        </x:is>
      </x:c>
      <x:c r="T221" s="57" t="inlineStr">
        <x:is>
          <x:t xml:space="preserve"/>
        </x:is>
      </x:c>
    </x:row>
    <x:row r="222" s="37" customFormat="1" ht="29.850000381469727" customHeight="1">
      <x:c r="A222" s="55" t="inlineStr">
        <x:is>
          <x:t xml:space="preserve">NEG-0221</x:t>
        </x:is>
      </x:c>
      <x:c r="B222" s="55" t="inlineStr">
        <x:is>
          <x:t xml:space="preserve">v2</x:t>
        </x:is>
      </x:c>
      <x:c r="C222" s="56" t="inlineStr">
        <x:is>
          <x:t xml:space="preserve">八、语言本体层面的历史残留</x:t>
        </x:is>
      </x:c>
      <x:c r="D222" s="56" t="inlineStr">
        <x:is>
          <x:t xml:space="preserve">8.1 字形理据</x:t>
        </x:is>
      </x:c>
      <x:c r="E222" s="56" t="inlineStr">
        <x:is>
          <x:t xml:space="preserve">医疗健康</x:t>
        </x:is>
      </x:c>
      <x:c r="F222" s="56" t="inlineStr">
        <x:is>
          <x:t xml:space="preserve">语言学科普</x:t>
        </x:is>
      </x:c>
      <x:c r="G222" s="55" t="inlineStr">
        <x:is>
          <x:t xml:space="preserve">无</x:t>
        </x:is>
      </x:c>
      <x:c r="H222" s="55" t="str">
        <x:f>IF(LEN(I222)&lt;15,"短",IF(LEN(I222)&lt;=45,"中","长"))</x:f>
        <x:v>中</x:v>
      </x:c>
      <x:c r="I222" s="56" t="inlineStr">
        <x:is>
          <x:t xml:space="preserve">“他”的人字旁是形符，古汉语中本可通指任何人。</x:t>
        </x:is>
      </x:c>
      <x:c r="J222" s="56" t="str">
        <x:f>I222</x:f>
        <x:v>“他”的人字旁是形符，古汉语中本可通指任何人。</x:v>
      </x:c>
      <x:c r="K222" s="55" t="inlineStr">
        <x:is>
          <x:t xml:space="preserve">无需改写</x:t>
        </x:is>
      </x:c>
      <x:c r="L222" s="56" t="inlineStr">
        <x:is>
          <x:t xml:space="preserve">他/人字旁</x:t>
        </x:is>
      </x:c>
      <x:c r="M222" s="56" t="inlineStr">
        <x:is>
          <x:t xml:space="preserve">字形理据说明，句子本身在澄清</x:t>
        </x:is>
      </x:c>
      <x:c r="N222" s="56" t="inlineStr">
        <x:is>
          <x:t xml:space="preserve">该代词的部首是形符，古汉语中本可通指</x:t>
        </x:is>
      </x:c>
      <x:c r="O222" s="55" t="inlineStr">
        <x:is>
          <x:t xml:space="preserve">中</x:t>
        </x:is>
      </x:c>
      <x:c r="P222" s="55" t="inlineStr">
        <x:is>
          <x:t xml:space="preserve">否</x:t>
        </x:is>
      </x:c>
      <x:c r="Q222" s="56" t="n"/>
      <x:c r="R222" s="57" t="inlineStr">
        <x:is>
          <x:t xml:space="preserve">主集</x:t>
        </x:is>
      </x:c>
      <x:c r="S222" s="57" t="inlineStr">
        <x:is>
          <x:t xml:space="preserve">index</x:t>
        </x:is>
      </x:c>
      <x:c r="T222" s="57" t="inlineStr">
        <x:is>
          <x:t xml:space="preserve"/>
        </x:is>
      </x:c>
    </x:row>
    <x:row r="223" s="37" customFormat="1" ht="29.850000381469727" customHeight="1">
      <x:c r="A223" s="55" t="inlineStr">
        <x:is>
          <x:t xml:space="preserve">NEG-0222</x:t>
        </x:is>
      </x:c>
      <x:c r="B223" s="55" t="inlineStr">
        <x:is>
          <x:t xml:space="preserve">v2</x:t>
        </x:is>
      </x:c>
      <x:c r="C223" s="56" t="inlineStr">
        <x:is>
          <x:t xml:space="preserve">八、语言本体层面的历史残留</x:t>
        </x:is>
      </x:c>
      <x:c r="D223" s="56" t="inlineStr">
        <x:is>
          <x:t xml:space="preserve">8.1 字形理据</x:t>
        </x:is>
      </x:c>
      <x:c r="E223" s="56" t="inlineStr">
        <x:is>
          <x:t xml:space="preserve">学术与调研</x:t>
        </x:is>
      </x:c>
      <x:c r="F223" s="56" t="inlineStr">
        <x:is>
          <x:t xml:space="preserve">文字学</x:t>
        </x:is>
      </x:c>
      <x:c r="G223" s="55" t="inlineStr">
        <x:is>
          <x:t xml:space="preserve">无</x:t>
        </x:is>
      </x:c>
      <x:c r="H223" s="55" t="str">
        <x:f>IF(LEN(I223)&lt;15,"短",IF(LEN(I223)&lt;=45,"中","长"))</x:f>
        <x:v>中</x:v>
      </x:c>
      <x:c r="I223" s="56" t="inlineStr">
        <x:is>
          <x:t xml:space="preserve">“妈”从女、马声，“马”在这里只表读音。</x:t>
        </x:is>
      </x:c>
      <x:c r="J223" s="56" t="str">
        <x:f>I223</x:f>
        <x:v>“妈”从女、马声，“马”在这里只表读音。</x:v>
      </x:c>
      <x:c r="K223" s="55" t="inlineStr">
        <x:is>
          <x:t xml:space="preserve">无需改写</x:t>
        </x:is>
      </x:c>
      <x:c r="L223" s="56" t="inlineStr">
        <x:is>
          <x:t xml:space="preserve">女/马</x:t>
        </x:is>
      </x:c>
      <x:c r="M223" s="56" t="inlineStr">
        <x:is>
          <x:t xml:space="preserve">形声字结构分析</x:t>
        </x:is>
      </x:c>
      <x:c r="N223" s="56" t="inlineStr">
        <x:is>
          <x:t xml:space="preserve">该字为形声结构，声符只表读音</x:t>
        </x:is>
      </x:c>
      <x:c r="O223" s="55" t="inlineStr">
        <x:is>
          <x:t xml:space="preserve">易</x:t>
        </x:is>
      </x:c>
      <x:c r="P223" s="55" t="inlineStr">
        <x:is>
          <x:t xml:space="preserve">否</x:t>
        </x:is>
      </x:c>
      <x:c r="Q223" s="56" t="n"/>
      <x:c r="R223" s="57" t="inlineStr">
        <x:is>
          <x:t xml:space="preserve">主集</x:t>
        </x:is>
      </x:c>
      <x:c r="S223" s="57" t="inlineStr">
        <x:is>
          <x:t xml:space="preserve">index</x:t>
        </x:is>
      </x:c>
      <x:c r="T223" s="57" t="inlineStr">
        <x:is>
          <x:t xml:space="preserve"/>
        </x:is>
      </x:c>
    </x:row>
    <x:row r="224" s="37" customFormat="1" ht="29.850000381469727" customHeight="1">
      <x:c r="A224" s="55" t="inlineStr">
        <x:is>
          <x:t xml:space="preserve">NEG-0223</x:t>
        </x:is>
      </x:c>
      <x:c r="B224" s="55" t="inlineStr">
        <x:is>
          <x:t xml:space="preserve">v2</x:t>
        </x:is>
      </x:c>
      <x:c r="C224" s="56" t="inlineStr">
        <x:is>
          <x:t xml:space="preserve">八、语言本体层面的历史残留</x:t>
        </x:is>
      </x:c>
      <x:c r="D224" s="56" t="inlineStr">
        <x:is>
          <x:t xml:space="preserve">8.1 字形理据</x:t>
        </x:is>
      </x:c>
      <x:c r="E224" s="56" t="inlineStr">
        <x:is>
          <x:t xml:space="preserve">学术与调研</x:t>
        </x:is>
      </x:c>
      <x:c r="F224" s="56" t="inlineStr">
        <x:is>
          <x:t xml:space="preserve">学术写作</x:t>
        </x:is>
      </x:c>
      <x:c r="G224" s="55" t="inlineStr">
        <x:is>
          <x:t xml:space="preserve">无</x:t>
        </x:is>
      </x:c>
      <x:c r="H224" s="55" t="str">
        <x:f>IF(LEN(I224)&lt;15,"短",IF(LEN(I224)&lt;=45,"中","长"))</x:f>
        <x:v>中</x:v>
      </x:c>
      <x:c r="I224" s="56" t="inlineStr">
        <x:is>
          <x:t xml:space="preserve">“姓”字从女，反映的是早期社会结构，不能直接用作当代用法的依据。</x:t>
        </x:is>
      </x:c>
      <x:c r="J224" s="56" t="str">
        <x:f>I224</x:f>
        <x:v>“姓”字从女，反映的是早期社会结构，不能直接用作当代用法的依据。</x:v>
      </x:c>
      <x:c r="K224" s="55" t="inlineStr">
        <x:is>
          <x:t xml:space="preserve">无需改写</x:t>
        </x:is>
      </x:c>
      <x:c r="L224" s="56" t="inlineStr">
        <x:is>
          <x:t xml:space="preserve">姓/女</x:t>
        </x:is>
      </x:c>
      <x:c r="M224" s="56" t="inlineStr">
        <x:is>
          <x:t xml:space="preserve">文字学与社会史的关联说明</x:t>
        </x:is>
      </x:c>
      <x:c r="N224" s="56" t="inlineStr">
        <x:is>
          <x:t xml:space="preserve">该字的部首反映早期社会结构</x:t>
        </x:is>
      </x:c>
      <x:c r="O224" s="55" t="inlineStr">
        <x:is>
          <x:t xml:space="preserve">中</x:t>
        </x:is>
      </x:c>
      <x:c r="P224" s="55" t="inlineStr">
        <x:is>
          <x:t xml:space="preserve">否</x:t>
        </x:is>
      </x:c>
      <x:c r="Q224" s="56" t="n"/>
      <x:c r="R224" s="57" t="inlineStr">
        <x:is>
          <x:t xml:space="preserve">主集</x:t>
        </x:is>
      </x:c>
      <x:c r="S224" s="57" t="inlineStr">
        <x:is>
          <x:t xml:space="preserve">dev</x:t>
        </x:is>
      </x:c>
      <x:c r="T224" s="57" t="inlineStr">
        <x:is>
          <x:t xml:space="preserve"/>
        </x:is>
      </x:c>
    </x:row>
    <x:row r="225" s="37" customFormat="1" ht="29.850000381469727" customHeight="1">
      <x:c r="A225" s="55" t="inlineStr">
        <x:is>
          <x:t xml:space="preserve">NEG-0224</x:t>
        </x:is>
      </x:c>
      <x:c r="B225" s="55" t="inlineStr">
        <x:is>
          <x:t xml:space="preserve">v2</x:t>
        </x:is>
      </x:c>
      <x:c r="C225" s="56" t="inlineStr">
        <x:is>
          <x:t xml:space="preserve">八、语言本体层面的历史残留</x:t>
        </x:is>
      </x:c>
      <x:c r="D225" s="56" t="inlineStr">
        <x:is>
          <x:t xml:space="preserve">8.2 敬语传统的中性化用法</x:t>
        </x:is>
      </x:c>
      <x:c r="E225" s="56" t="inlineStr">
        <x:is>
          <x:t xml:space="preserve">学术与调研</x:t>
        </x:is>
      </x:c>
      <x:c r="F225" s="56" t="inlineStr">
        <x:is>
          <x:t xml:space="preserve">出版信息</x:t>
        </x:is>
      </x:c>
      <x:c r="G225" s="55" t="inlineStr">
        <x:is>
          <x:t xml:space="preserve">无</x:t>
        </x:is>
      </x:c>
      <x:c r="H225" s="55" t="str">
        <x:f>IF(LEN(I225)&lt;15,"短",IF(LEN(I225)&lt;=45,"中","长"))</x:f>
        <x:v>中</x:v>
      </x:c>
      <x:c r="I225" s="56" t="inlineStr">
        <x:is>
          <x:t xml:space="preserve">杨绛先生的《我们仨》出版于 2003 年。</x:t>
        </x:is>
      </x:c>
      <x:c r="J225" s="56" t="str">
        <x:f>I225</x:f>
        <x:v>杨绛先生的《我们仨》出版于 2003 年。</x:v>
      </x:c>
      <x:c r="K225" s="55" t="inlineStr">
        <x:is>
          <x:t xml:space="preserve">无需改写</x:t>
        </x:is>
      </x:c>
      <x:c r="L225" s="56" t="inlineStr">
        <x:is>
          <x:t xml:space="preserve">先生</x:t>
        </x:is>
      </x:c>
      <x:c r="M225" s="56" t="inlineStr">
        <x:is>
          <x:t xml:space="preserve">尊称学者的敬语传统</x:t>
        </x:is>
      </x:c>
      <x:c r="N225" s="56" t="inlineStr">
        <x:is>
          <x:t xml:space="preserve">杨绛女士的《我们仨》出版于 2003 年</x:t>
        </x:is>
      </x:c>
      <x:c r="O225" s="55" t="inlineStr">
        <x:is>
          <x:t xml:space="preserve">难</x:t>
        </x:is>
      </x:c>
      <x:c r="P225" s="55" t="inlineStr">
        <x:is>
          <x:t xml:space="preserve">是</x:t>
        </x:is>
      </x:c>
      <x:c r="Q225" s="56" t="inlineStr">
        <x:is>
          <x:t xml:space="preserve">该用法在青年读者中已渐生歧义，部分规范建议改用“女士”</x:t>
        </x:is>
      </x:c>
      <x:c r="R225" s="57" t="inlineStr">
        <x:is>
          <x:t xml:space="preserve">主集</x:t>
        </x:is>
      </x:c>
      <x:c r="S225" s="57" t="inlineStr">
        <x:is>
          <x:t xml:space="preserve">dev</x:t>
        </x:is>
      </x:c>
      <x:c r="T225" s="57" t="inlineStr">
        <x:is>
          <x:t xml:space="preserve"/>
        </x:is>
      </x:c>
    </x:row>
    <x:row r="226" s="37" customFormat="1" ht="29.850000381469727" customHeight="1">
      <x:c r="A226" s="55" t="inlineStr">
        <x:is>
          <x:t xml:space="preserve">NEG-0225</x:t>
        </x:is>
      </x:c>
      <x:c r="B226" s="55" t="inlineStr">
        <x:is>
          <x:t xml:space="preserve">v2</x:t>
        </x:is>
      </x:c>
      <x:c r="C226" s="56" t="inlineStr">
        <x:is>
          <x:t xml:space="preserve">八、语言本体层面的历史残留</x:t>
        </x:is>
      </x:c>
      <x:c r="D226" s="56" t="inlineStr">
        <x:is>
          <x:t xml:space="preserve">8.2 敬语传统的中性化用法</x:t>
        </x:is>
      </x:c>
      <x:c r="E226" s="56" t="inlineStr">
        <x:is>
          <x:t xml:space="preserve">学术与调研</x:t>
        </x:is>
      </x:c>
      <x:c r="F226" s="56" t="inlineStr">
        <x:is>
          <x:t xml:space="preserve">方言记录</x:t>
        </x:is>
      </x:c>
      <x:c r="G226" s="55" t="inlineStr">
        <x:is>
          <x:t xml:space="preserve">无</x:t>
        </x:is>
      </x:c>
      <x:c r="H226" s="55" t="str">
        <x:f>IF(LEN(I226)&lt;15,"短",IF(LEN(I226)&lt;=45,"中","长"))</x:f>
        <x:v>中</x:v>
      </x:c>
      <x:c r="I226" s="56" t="inlineStr">
        <x:is>
          <x:t xml:space="preserve">在苏州一带，学生管教书的一律叫“先生”。</x:t>
        </x:is>
      </x:c>
      <x:c r="J226" s="56" t="str">
        <x:f>I226</x:f>
        <x:v>在苏州一带，学生管教书的一律叫“先生”。</x:v>
      </x:c>
      <x:c r="K226" s="55" t="inlineStr">
        <x:is>
          <x:t xml:space="preserve">无需改写</x:t>
        </x:is>
      </x:c>
      <x:c r="L226" s="56" t="inlineStr">
        <x:is>
          <x:t xml:space="preserve">先生</x:t>
        </x:is>
      </x:c>
      <x:c r="M226" s="56" t="inlineStr">
        <x:is>
          <x:t xml:space="preserve">方言中已中性化的职业称谓</x:t>
        </x:is>
      </x:c>
      <x:c r="N226" s="56" t="inlineStr">
        <x:is>
          <x:t xml:space="preserve">在苏州一带，学生管教书的叫“老师”</x:t>
        </x:is>
      </x:c>
      <x:c r="O226" s="55" t="inlineStr">
        <x:is>
          <x:t xml:space="preserve">中</x:t>
        </x:is>
      </x:c>
      <x:c r="P226" s="55" t="inlineStr">
        <x:is>
          <x:t xml:space="preserve">否</x:t>
        </x:is>
      </x:c>
      <x:c r="Q226" s="56" t="n"/>
      <x:c r="R226" s="57" t="inlineStr">
        <x:is>
          <x:t xml:space="preserve">主集</x:t>
        </x:is>
      </x:c>
      <x:c r="S226" s="57" t="inlineStr">
        <x:is>
          <x:t xml:space="preserve">index</x:t>
        </x:is>
      </x:c>
      <x:c r="T226" s="57" t="inlineStr">
        <x:is>
          <x:t xml:space="preserve"/>
        </x:is>
      </x:c>
    </x:row>
    <x:row r="227" s="37" customFormat="1" ht="29.850000381469727" customHeight="1">
      <x:c r="A227" s="55" t="inlineStr">
        <x:is>
          <x:t xml:space="preserve">NEG-0226</x:t>
        </x:is>
      </x:c>
      <x:c r="B227" s="55" t="inlineStr">
        <x:is>
          <x:t xml:space="preserve">v2</x:t>
        </x:is>
      </x:c>
      <x:c r="C227" s="56" t="inlineStr">
        <x:is>
          <x:t xml:space="preserve">八、语言本体层面的历史残留</x:t>
        </x:is>
      </x:c>
      <x:c r="D227" s="56" t="inlineStr">
        <x:is>
          <x:t xml:space="preserve">8.2 敬语传统的中性化用法</x:t>
        </x:is>
      </x:c>
      <x:c r="E227" s="56" t="inlineStr">
        <x:is>
          <x:t xml:space="preserve">新闻报道</x:t>
        </x:is>
      </x:c>
      <x:c r="F227" s="56" t="inlineStr">
        <x:is>
          <x:t xml:space="preserve">人物介绍</x:t>
        </x:is>
      </x:c>
      <x:c r="G227" s="55" t="inlineStr">
        <x:is>
          <x:t xml:space="preserve">无</x:t>
        </x:is>
      </x:c>
      <x:c r="H227" s="55" t="str">
        <x:f>IF(LEN(I227)&lt;15,"短",IF(LEN(I227)&lt;=45,"中","长"))</x:f>
        <x:v>中</x:v>
      </x:c>
      <x:c r="I227" s="56" t="inlineStr">
        <x:is>
          <x:t xml:space="preserve">冰心先生晚年仍坚持写作，直到九十九岁。</x:t>
        </x:is>
      </x:c>
      <x:c r="J227" s="56" t="str">
        <x:f>I227</x:f>
        <x:v>冰心先生晚年仍坚持写作，直到九十九岁。</x:v>
      </x:c>
      <x:c r="K227" s="55" t="inlineStr">
        <x:is>
          <x:t xml:space="preserve">无需改写</x:t>
        </x:is>
      </x:c>
      <x:c r="L227" s="56" t="inlineStr">
        <x:is>
          <x:t xml:space="preserve">先生</x:t>
        </x:is>
      </x:c>
      <x:c r="M227" s="56" t="inlineStr">
        <x:is>
          <x:t xml:space="preserve">当事人生前通行的尊称</x:t>
        </x:is>
      </x:c>
      <x:c r="N227" s="56" t="inlineStr">
        <x:is>
          <x:t xml:space="preserve">冰心女士晚年仍坚持写作</x:t>
        </x:is>
      </x:c>
      <x:c r="O227" s="55" t="inlineStr">
        <x:is>
          <x:t xml:space="preserve">难</x:t>
        </x:is>
      </x:c>
      <x:c r="P227" s="55" t="inlineStr">
        <x:is>
          <x:t xml:space="preserve">是</x:t>
        </x:is>
      </x:c>
      <x:c r="Q227" s="56" t="n"/>
      <x:c r="R227" s="57" t="inlineStr">
        <x:is>
          <x:t xml:space="preserve">主集</x:t>
        </x:is>
      </x:c>
      <x:c r="S227" s="57" t="inlineStr">
        <x:is>
          <x:t xml:space="preserve">index</x:t>
        </x:is>
      </x:c>
      <x:c r="T227" s="57" t="inlineStr">
        <x:is>
          <x:t xml:space="preserve"/>
        </x:is>
      </x:c>
    </x:row>
    <x:row r="228" s="37" customFormat="1" ht="29.850000381469727" customHeight="1">
      <x:c r="A228" s="55" t="inlineStr">
        <x:is>
          <x:t xml:space="preserve">NEG-0227</x:t>
        </x:is>
      </x:c>
      <x:c r="B228" s="55" t="inlineStr">
        <x:is>
          <x:t xml:space="preserve">v2</x:t>
        </x:is>
      </x:c>
      <x:c r="C228" s="56" t="inlineStr">
        <x:is>
          <x:t xml:space="preserve">八、语言本体层面的历史残留</x:t>
        </x:is>
      </x:c>
      <x:c r="D228" s="56" t="inlineStr">
        <x:is>
          <x:t xml:space="preserve">8.2 敬语传统的中性化用法</x:t>
        </x:is>
      </x:c>
      <x:c r="E228" s="56" t="inlineStr">
        <x:is>
          <x:t xml:space="preserve">公文与规章</x:t>
        </x:is>
      </x:c>
      <x:c r="F228" s="56" t="inlineStr">
        <x:is>
          <x:t xml:space="preserve">会议致辞</x:t>
        </x:is>
      </x:c>
      <x:c r="G228" s="55" t="inlineStr">
        <x:is>
          <x:t xml:space="preserve">无</x:t>
        </x:is>
      </x:c>
      <x:c r="H228" s="55" t="str">
        <x:f>IF(LEN(I228)&lt;15,"短",IF(LEN(I228)&lt;=45,"中","长"))</x:f>
        <x:v>中</x:v>
      </x:c>
      <x:c r="I228" s="56" t="inlineStr">
        <x:is>
          <x:t xml:space="preserve">介绍时说“这位是叶先生”，指的是叶嘉莹。</x:t>
        </x:is>
      </x:c>
      <x:c r="J228" s="56" t="str">
        <x:f>I228</x:f>
        <x:v>介绍时说“这位是叶先生”，指的是叶嘉莹。</x:v>
      </x:c>
      <x:c r="K228" s="55" t="inlineStr">
        <x:is>
          <x:t xml:space="preserve">无需改写</x:t>
        </x:is>
      </x:c>
      <x:c r="L228" s="56" t="inlineStr">
        <x:is>
          <x:t xml:space="preserve">叶先生</x:t>
        </x:is>
      </x:c>
      <x:c r="M228" s="56" t="inlineStr">
        <x:is>
          <x:t xml:space="preserve">学界通行称谓</x:t>
        </x:is>
      </x:c>
      <x:c r="N228" s="56" t="inlineStr">
        <x:is>
          <x:t xml:space="preserve">介绍时说“这位是叶教授”</x:t>
        </x:is>
      </x:c>
      <x:c r="O228" s="55" t="inlineStr">
        <x:is>
          <x:t xml:space="preserve">难</x:t>
        </x:is>
      </x:c>
      <x:c r="P228" s="55" t="inlineStr">
        <x:is>
          <x:t xml:space="preserve">是</x:t>
        </x:is>
      </x:c>
      <x:c r="Q228" s="56" t="n"/>
      <x:c r="R228" s="57" t="inlineStr">
        <x:is>
          <x:t xml:space="preserve">主集</x:t>
        </x:is>
      </x:c>
      <x:c r="S228" s="57" t="inlineStr">
        <x:is>
          <x:t xml:space="preserve">test</x:t>
        </x:is>
      </x:c>
      <x:c r="T228" s="57" t="inlineStr">
        <x:is>
          <x:t xml:space="preserve"/>
        </x:is>
      </x:c>
    </x:row>
    <x:row r="229" s="37" customFormat="1" ht="29.850000381469727" customHeight="1">
      <x:c r="A229" s="55" t="inlineStr">
        <x:is>
          <x:t xml:space="preserve">NEG-0228</x:t>
        </x:is>
      </x:c>
      <x:c r="B229" s="55" t="inlineStr">
        <x:is>
          <x:t xml:space="preserve">v2</x:t>
        </x:is>
      </x:c>
      <x:c r="C229" s="56" t="inlineStr">
        <x:is>
          <x:t xml:space="preserve">八、语言本体层面的历史残留</x:t>
        </x:is>
      </x:c>
      <x:c r="D229" s="56" t="inlineStr">
        <x:is>
          <x:t xml:space="preserve">8.2 敬语传统的中性化用法</x:t>
        </x:is>
      </x:c>
      <x:c r="E229" s="56" t="inlineStr">
        <x:is>
          <x:t xml:space="preserve">学术与调研</x:t>
        </x:is>
      </x:c>
      <x:c r="F229" s="56" t="inlineStr">
        <x:is>
          <x:t xml:space="preserve">地方文史</x:t>
        </x:is>
      </x:c>
      <x:c r="G229" s="55" t="inlineStr">
        <x:is>
          <x:t xml:space="preserve">无</x:t>
        </x:is>
      </x:c>
      <x:c r="H229" s="55" t="str">
        <x:f>IF(LEN(I229)&lt;15,"短",IF(LEN(I229)&lt;=45,"中","长"))</x:f>
        <x:v>中</x:v>
      </x:c>
      <x:c r="I229" s="56" t="inlineStr">
        <x:is>
          <x:t xml:space="preserve">旧时称中医大夫也叫“先生”，与性别无关。</x:t>
        </x:is>
      </x:c>
      <x:c r="J229" s="56" t="str">
        <x:f>I229</x:f>
        <x:v>旧时称中医大夫也叫“先生”，与性别无关。</x:v>
      </x:c>
      <x:c r="K229" s="55" t="inlineStr">
        <x:is>
          <x:t xml:space="preserve">无需改写</x:t>
        </x:is>
      </x:c>
      <x:c r="L229" s="56" t="inlineStr">
        <x:is>
          <x:t xml:space="preserve">先生</x:t>
        </x:is>
      </x:c>
      <x:c r="M229" s="56" t="inlineStr">
        <x:is>
          <x:t xml:space="preserve">历史称谓说明</x:t>
        </x:is>
      </x:c>
      <x:c r="N229" s="56" t="inlineStr">
        <x:is>
          <x:t xml:space="preserve">旧时称中医大夫也有专门叫法</x:t>
        </x:is>
      </x:c>
      <x:c r="O229" s="55" t="inlineStr">
        <x:is>
          <x:t xml:space="preserve">中</x:t>
        </x:is>
      </x:c>
      <x:c r="P229" s="55" t="inlineStr">
        <x:is>
          <x:t xml:space="preserve">否</x:t>
        </x:is>
      </x:c>
      <x:c r="Q229" s="56" t="n"/>
      <x:c r="R229" s="57" t="inlineStr">
        <x:is>
          <x:t xml:space="preserve">主集</x:t>
        </x:is>
      </x:c>
      <x:c r="S229" s="57" t="inlineStr">
        <x:is>
          <x:t xml:space="preserve">index</x:t>
        </x:is>
      </x:c>
      <x:c r="T229" s="57" t="inlineStr">
        <x:is>
          <x:t xml:space="preserve"/>
        </x:is>
      </x:c>
    </x:row>
    <x:row r="230" s="37" customFormat="1" ht="29.850000381469727" customHeight="1">
      <x:c r="A230" s="55" t="inlineStr">
        <x:is>
          <x:t xml:space="preserve">NEG-0229</x:t>
        </x:is>
      </x:c>
      <x:c r="B230" s="55" t="inlineStr">
        <x:is>
          <x:t xml:space="preserve">v2</x:t>
        </x:is>
      </x:c>
      <x:c r="C230" s="56" t="inlineStr">
        <x:is>
          <x:t xml:space="preserve">八、语言本体层面的历史残留</x:t>
        </x:is>
      </x:c>
      <x:c r="D230" s="56" t="inlineStr">
        <x:is>
          <x:t xml:space="preserve">8.3 已中性化的复合词</x:t>
        </x:is>
      </x:c>
      <x:c r="E230" s="56" t="inlineStr">
        <x:is>
          <x:t xml:space="preserve">公文与规章</x:t>
        </x:is>
      </x:c>
      <x:c r="F230" s="56" t="inlineStr">
        <x:is>
          <x:t xml:space="preserve">村务广播</x:t>
        </x:is>
      </x:c>
      <x:c r="G230" s="55" t="inlineStr">
        <x:is>
          <x:t xml:space="preserve">无</x:t>
        </x:is>
      </x:c>
      <x:c r="H230" s="55" t="str">
        <x:f>IF(LEN(I230)&lt;15,"短",IF(LEN(I230)&lt;=45,"中","长"))</x:f>
        <x:v>中</x:v>
      </x:c>
      <x:c r="I230" s="56" t="inlineStr">
        <x:is>
          <x:t xml:space="preserve">各位父老乡亲注意了，明天下午三点在村委会开会。</x:t>
        </x:is>
      </x:c>
      <x:c r="J230" s="56" t="str">
        <x:f>I230</x:f>
        <x:v>各位父老乡亲注意了，明天下午三点在村委会开会。</x:v>
      </x:c>
      <x:c r="K230" s="55" t="inlineStr">
        <x:is>
          <x:t xml:space="preserve">无需改写</x:t>
        </x:is>
      </x:c>
      <x:c r="L230" s="56" t="inlineStr">
        <x:is>
          <x:t xml:space="preserve">父老乡亲</x:t>
        </x:is>
      </x:c>
      <x:c r="M230" s="56" t="inlineStr">
        <x:is>
          <x:t xml:space="preserve">固定惯用语，整体泛指全体村民</x:t>
        </x:is>
      </x:c>
      <x:c r="N230" s="56" t="inlineStr">
        <x:is>
          <x:t xml:space="preserve">各位村民注意了，明天下午三点开会</x:t>
        </x:is>
      </x:c>
      <x:c r="O230" s="55" t="inlineStr">
        <x:is>
          <x:t xml:space="preserve">中</x:t>
        </x:is>
      </x:c>
      <x:c r="P230" s="55" t="inlineStr">
        <x:is>
          <x:t xml:space="preserve">是</x:t>
        </x:is>
      </x:c>
      <x:c r="Q230" s="56" t="inlineStr">
        <x:is>
          <x:t xml:space="preserve">惯用语是否需中性化，各规范取舍不同</x:t>
        </x:is>
      </x:c>
      <x:c r="R230" s="57" t="inlineStr">
        <x:is>
          <x:t xml:space="preserve">主集</x:t>
        </x:is>
      </x:c>
      <x:c r="S230" s="57" t="inlineStr">
        <x:is>
          <x:t xml:space="preserve">dev</x:t>
        </x:is>
      </x:c>
      <x:c r="T230" s="57" t="inlineStr">
        <x:is>
          <x:t xml:space="preserve"/>
        </x:is>
      </x:c>
    </x:row>
    <x:row r="231" s="37" customFormat="1" ht="29.850000381469727" customHeight="1">
      <x:c r="A231" s="55" t="inlineStr">
        <x:is>
          <x:t xml:space="preserve">NEG-0230</x:t>
        </x:is>
      </x:c>
      <x:c r="B231" s="55" t="inlineStr">
        <x:is>
          <x:t xml:space="preserve">v2</x:t>
        </x:is>
      </x:c>
      <x:c r="C231" s="56" t="inlineStr">
        <x:is>
          <x:t xml:space="preserve">八、语言本体层面的历史残留</x:t>
        </x:is>
      </x:c>
      <x:c r="D231" s="56" t="inlineStr">
        <x:is>
          <x:t xml:space="preserve">8.3 已中性化的复合词</x:t>
        </x:is>
      </x:c>
      <x:c r="E231" s="56" t="inlineStr">
        <x:is>
          <x:t xml:space="preserve">新闻报道</x:t>
        </x:is>
      </x:c>
      <x:c r="F231" s="56" t="inlineStr">
        <x:is>
          <x:t xml:space="preserve">现场报道</x:t>
        </x:is>
      </x:c>
      <x:c r="G231" s="55" t="inlineStr">
        <x:is>
          <x:t xml:space="preserve">无</x:t>
        </x:is>
      </x:c>
      <x:c r="H231" s="55" t="str">
        <x:f>IF(LEN(I231)&lt;15,"短",IF(LEN(I231)&lt;=45,"中","长"))</x:f>
        <x:v>短</x:v>
      </x:c>
      <x:c r="I231" s="56" t="inlineStr">
        <x:is>
          <x:t xml:space="preserve">台下男女老少一齐站起来鼓掌。</x:t>
        </x:is>
      </x:c>
      <x:c r="J231" s="56" t="str">
        <x:f>I231</x:f>
        <x:v>台下男女老少一齐站起来鼓掌。</x:v>
      </x:c>
      <x:c r="K231" s="55" t="inlineStr">
        <x:is>
          <x:t xml:space="preserve">无需改写</x:t>
        </x:is>
      </x:c>
      <x:c r="L231" s="56" t="inlineStr">
        <x:is>
          <x:t xml:space="preserve">男女老少</x:t>
        </x:is>
      </x:c>
      <x:c r="M231" s="56" t="inlineStr">
        <x:is>
          <x:t xml:space="preserve">四字格整体泛指全场，非强制二元分类</x:t>
        </x:is>
      </x:c>
      <x:c r="N231" s="56" t="inlineStr">
        <x:is>
          <x:t xml:space="preserve">台下观众一齐站起来鼓掌</x:t>
        </x:is>
      </x:c>
      <x:c r="O231" s="55" t="inlineStr">
        <x:is>
          <x:t xml:space="preserve">中</x:t>
        </x:is>
      </x:c>
      <x:c r="P231" s="55" t="inlineStr">
        <x:is>
          <x:t xml:space="preserve">是</x:t>
        </x:is>
      </x:c>
      <x:c r="Q231" s="56" t="n"/>
      <x:c r="R231" s="57" t="inlineStr">
        <x:is>
          <x:t xml:space="preserve">主集</x:t>
        </x:is>
      </x:c>
      <x:c r="S231" s="57" t="inlineStr">
        <x:is>
          <x:t xml:space="preserve">test</x:t>
        </x:is>
      </x:c>
      <x:c r="T231" s="57" t="inlineStr">
        <x:is>
          <x:t xml:space="preserve"/>
        </x:is>
      </x:c>
    </x:row>
    <x:row r="232" s="37" customFormat="1" ht="29.850000381469727" customHeight="1">
      <x:c r="A232" s="55" t="inlineStr">
        <x:is>
          <x:t xml:space="preserve">NEG-0231</x:t>
        </x:is>
      </x:c>
      <x:c r="B232" s="55" t="inlineStr">
        <x:is>
          <x:t xml:space="preserve">v2</x:t>
        </x:is>
      </x:c>
      <x:c r="C232" s="56" t="inlineStr">
        <x:is>
          <x:t xml:space="preserve">八、语言本体层面的历史残留</x:t>
        </x:is>
      </x:c>
      <x:c r="D232" s="56" t="inlineStr">
        <x:is>
          <x:t xml:space="preserve">8.3 已中性化的复合词</x:t>
        </x:is>
      </x:c>
      <x:c r="E232" s="56" t="inlineStr">
        <x:is>
          <x:t xml:space="preserve">学术与调研</x:t>
        </x:is>
      </x:c>
      <x:c r="F232" s="56" t="inlineStr">
        <x:is>
          <x:t xml:space="preserve">修辞说明</x:t>
        </x:is>
      </x:c>
      <x:c r="G232" s="55" t="inlineStr">
        <x:is>
          <x:t xml:space="preserve">无</x:t>
        </x:is>
      </x:c>
      <x:c r="H232" s="55" t="str">
        <x:f>IF(LEN(I232)&lt;15,"短",IF(LEN(I232)&lt;=45,"中","长"))</x:f>
        <x:v>中</x:v>
      </x:c>
      <x:c r="I232" s="56" t="inlineStr">
        <x:is>
          <x:t xml:space="preserve">“祖国母亲”是修辞化的拟人表达，不是在给国家指定性别。</x:t>
        </x:is>
      </x:c>
      <x:c r="J232" s="56" t="str">
        <x:f>I232</x:f>
        <x:v>“祖国母亲”是修辞化的拟人表达，不是在给国家指定性别。</x:v>
      </x:c>
      <x:c r="K232" s="55" t="inlineStr">
        <x:is>
          <x:t xml:space="preserve">无需改写</x:t>
        </x:is>
      </x:c>
      <x:c r="L232" s="56" t="inlineStr">
        <x:is>
          <x:t xml:space="preserve">祖国母亲</x:t>
        </x:is>
      </x:c>
      <x:c r="M232" s="56" t="inlineStr">
        <x:is>
          <x:t xml:space="preserve">修辞用法，句子本身在作说明</x:t>
        </x:is>
      </x:c>
      <x:c r="N232" s="56" t="inlineStr">
        <x:is>
          <x:t xml:space="preserve">该表达是修辞化的拟人说法</x:t>
        </x:is>
      </x:c>
      <x:c r="O232" s="55" t="inlineStr">
        <x:is>
          <x:t xml:space="preserve">中</x:t>
        </x:is>
      </x:c>
      <x:c r="P232" s="55" t="inlineStr">
        <x:is>
          <x:t xml:space="preserve">否</x:t>
        </x:is>
      </x:c>
      <x:c r="Q232" s="56" t="n"/>
      <x:c r="R232" s="57" t="inlineStr">
        <x:is>
          <x:t xml:space="preserve">主集</x:t>
        </x:is>
      </x:c>
      <x:c r="S232" s="57" t="inlineStr">
        <x:is>
          <x:t xml:space="preserve">test</x:t>
        </x:is>
      </x:c>
      <x:c r="T232" s="57" t="inlineStr">
        <x:is>
          <x:t xml:space="preserve"/>
        </x:is>
      </x:c>
    </x:row>
    <x:row r="233" s="37" customFormat="1" ht="29.850000381469727" customHeight="1">
      <x:c r="A233" s="55" t="inlineStr">
        <x:is>
          <x:t xml:space="preserve">NEG-0232</x:t>
        </x:is>
      </x:c>
      <x:c r="B233" s="55" t="inlineStr">
        <x:is>
          <x:t xml:space="preserve">v2</x:t>
        </x:is>
      </x:c>
      <x:c r="C233" s="56" t="inlineStr">
        <x:is>
          <x:t xml:space="preserve">八、语言本体层面的历史残留</x:t>
        </x:is>
      </x:c>
      <x:c r="D233" s="56" t="inlineStr">
        <x:is>
          <x:t xml:space="preserve">8.3 已中性化的复合词</x:t>
        </x:is>
      </x:c>
      <x:c r="E233" s="56" t="inlineStr">
        <x:is>
          <x:t xml:space="preserve">口语与私人交流</x:t>
        </x:is>
      </x:c>
      <x:c r="F233" s="56" t="inlineStr">
        <x:is>
          <x:t xml:space="preserve">口语</x:t>
        </x:is>
      </x:c>
      <x:c r="G233" s="55" t="inlineStr">
        <x:is>
          <x:t xml:space="preserve">无</x:t>
        </x:is>
      </x:c>
      <x:c r="H233" s="55" t="str">
        <x:f>IF(LEN(I233)&lt;15,"短",IF(LEN(I233)&lt;=45,"中","长"))</x:f>
        <x:v>中</x:v>
      </x:c>
      <x:c r="I233" s="56" t="inlineStr">
        <x:is>
          <x:t xml:space="preserve">这片林子是他爷爷那辈种的，子子孙孙都得护着。</x:t>
        </x:is>
      </x:c>
      <x:c r="J233" s="56" t="str">
        <x:f>I233</x:f>
        <x:v>这片林子是他爷爷那辈种的，子子孙孙都得护着。</x:v>
      </x:c>
      <x:c r="K233" s="55" t="inlineStr">
        <x:is>
          <x:t xml:space="preserve">无需改写</x:t>
        </x:is>
      </x:c>
      <x:c r="L233" s="56" t="inlineStr">
        <x:is>
          <x:t xml:space="preserve">子子孙孙</x:t>
        </x:is>
      </x:c>
      <x:c r="M233" s="56" t="inlineStr">
        <x:is>
          <x:t xml:space="preserve">泛指后代，不专指男性</x:t>
        </x:is>
      </x:c>
      <x:c r="N233" s="56" t="inlineStr">
        <x:is>
          <x:t xml:space="preserve">这片林子是长辈那辈种的，后代都得护着</x:t>
        </x:is>
      </x:c>
      <x:c r="O233" s="55" t="inlineStr">
        <x:is>
          <x:t xml:space="preserve">中</x:t>
        </x:is>
      </x:c>
      <x:c r="P233" s="55" t="inlineStr">
        <x:is>
          <x:t xml:space="preserve">是</x:t>
        </x:is>
      </x:c>
      <x:c r="Q233" s="56" t="n"/>
      <x:c r="R233" s="57" t="inlineStr">
        <x:is>
          <x:t xml:space="preserve">主集</x:t>
        </x:is>
      </x:c>
      <x:c r="S233" s="57" t="inlineStr">
        <x:is>
          <x:t xml:space="preserve">index</x:t>
        </x:is>
      </x:c>
      <x:c r="T233" s="57" t="inlineStr">
        <x:is>
          <x:t xml:space="preserve"/>
        </x:is>
      </x:c>
    </x:row>
    <x:row r="234" s="37" customFormat="1" ht="29.850000381469727" customHeight="1">
      <x:c r="A234" s="55" t="inlineStr">
        <x:is>
          <x:t xml:space="preserve">NEG-0233</x:t>
        </x:is>
      </x:c>
      <x:c r="B234" s="55" t="inlineStr">
        <x:is>
          <x:t xml:space="preserve">v2</x:t>
        </x:is>
      </x:c>
      <x:c r="C234" s="56" t="inlineStr">
        <x:is>
          <x:t xml:space="preserve">八、语言本体层面的历史残留</x:t>
        </x:is>
      </x:c>
      <x:c r="D234" s="56" t="inlineStr">
        <x:is>
          <x:t xml:space="preserve">8.3 已中性化的复合词</x:t>
        </x:is>
      </x:c>
      <x:c r="E234" s="56" t="inlineStr">
        <x:is>
          <x:t xml:space="preserve">学术与调研</x:t>
        </x:is>
      </x:c>
      <x:c r="F234" s="56" t="inlineStr">
        <x:is>
          <x:t xml:space="preserve">历史文献</x:t>
        </x:is>
      </x:c>
      <x:c r="G234" s="55" t="inlineStr">
        <x:is>
          <x:t xml:space="preserve">无</x:t>
        </x:is>
      </x:c>
      <x:c r="H234" s="55" t="str">
        <x:f>IF(LEN(I234)&lt;15,"短",IF(LEN(I234)&lt;=45,"中","长"))</x:f>
        <x:v>中</x:v>
      </x:c>
      <x:c r="I234" s="56" t="inlineStr">
        <x:is>
          <x:t xml:space="preserve">“兄弟民族”是上世纪文献中的固定说法，今多改用“各民族”。</x:t>
        </x:is>
      </x:c>
      <x:c r="J234" s="56" t="str">
        <x:f>I234</x:f>
        <x:v>“兄弟民族”是上世纪文献中的固定说法，今多改用“各民族”。</x:v>
      </x:c>
      <x:c r="K234" s="55" t="inlineStr">
        <x:is>
          <x:t xml:space="preserve">无需改写</x:t>
        </x:is>
      </x:c>
      <x:c r="L234" s="56" t="inlineStr">
        <x:is>
          <x:t xml:space="preserve">兄弟民族</x:t>
        </x:is>
      </x:c>
      <x:c r="M234" s="56" t="inlineStr">
        <x:is>
          <x:t xml:space="preserve">历史文献用语，句子本身已说明其演变</x:t>
        </x:is>
      </x:c>
      <x:c r="N234" s="56" t="inlineStr">
        <x:is>
          <x:t xml:space="preserve">上世纪文献中有一些固定说法，今已改用“各民族”</x:t>
        </x:is>
      </x:c>
      <x:c r="O234" s="55" t="inlineStr">
        <x:is>
          <x:t xml:space="preserve">中</x:t>
        </x:is>
      </x:c>
      <x:c r="P234" s="55" t="inlineStr">
        <x:is>
          <x:t xml:space="preserve">是</x:t>
        </x:is>
      </x:c>
      <x:c r="Q234" s="56" t="n"/>
      <x:c r="R234" s="57" t="inlineStr">
        <x:is>
          <x:t xml:space="preserve">主集</x:t>
        </x:is>
      </x:c>
      <x:c r="S234" s="57" t="inlineStr">
        <x:is>
          <x:t xml:space="preserve">index</x:t>
        </x:is>
      </x:c>
      <x:c r="T234" s="57" t="inlineStr">
        <x:is>
          <x:t xml:space="preserve"/>
        </x:is>
      </x:c>
    </x:row>
    <x:row r="235" s="37" customFormat="1" ht="29.850000381469727" customHeight="1">
      <x:c r="A235" s="55" t="inlineStr">
        <x:is>
          <x:t xml:space="preserve">NEG-0234</x:t>
        </x:is>
      </x:c>
      <x:c r="B235" s="55" t="inlineStr">
        <x:is>
          <x:t xml:space="preserve">v2</x:t>
        </x:is>
      </x:c>
      <x:c r="C235" s="56" t="inlineStr">
        <x:is>
          <x:t xml:space="preserve">八、语言本体层面的历史残留</x:t>
        </x:is>
      </x:c>
      <x:c r="D235" s="56" t="inlineStr">
        <x:is>
          <x:t xml:space="preserve">8.4 语法性词汇</x:t>
        </x:is>
      </x:c>
      <x:c r="E235" s="56" t="inlineStr">
        <x:is>
          <x:t xml:space="preserve">学术与调研</x:t>
        </x:is>
      </x:c>
      <x:c r="F235" s="56" t="inlineStr">
        <x:is>
          <x:t xml:space="preserve">语言学教材</x:t>
        </x:is>
      </x:c>
      <x:c r="G235" s="55" t="inlineStr">
        <x:is>
          <x:t xml:space="preserve">无</x:t>
        </x:is>
      </x:c>
      <x:c r="H235" s="55" t="str">
        <x:f>IF(LEN(I235)&lt;15,"短",IF(LEN(I235)&lt;=45,"中","长"))</x:f>
        <x:v>中</x:v>
      </x:c>
      <x:c r="I235" s="56" t="inlineStr">
        <x:is>
          <x:t xml:space="preserve">汉语没有性、数、格的形态变化，性别信息主要靠词汇而非形态承担。</x:t>
        </x:is>
      </x:c>
      <x:c r="J235" s="56" t="str">
        <x:f>I235</x:f>
        <x:v>汉语没有性、数、格的形态变化，性别信息主要靠词汇而非形态承担。</x:v>
      </x:c>
      <x:c r="K235" s="55" t="inlineStr">
        <x:is>
          <x:t xml:space="preserve">无需改写</x:t>
        </x:is>
      </x:c>
      <x:c r="L235" s="56" t="inlineStr">
        <x:is>
          <x:t xml:space="preserve">性别信息</x:t>
        </x:is>
      </x:c>
      <x:c r="M235" s="56" t="inlineStr">
        <x:is>
          <x:t xml:space="preserve">语言类型学事实</x:t>
        </x:is>
      </x:c>
      <x:c r="N235" s="56" t="inlineStr">
        <x:is>
          <x:t xml:space="preserve">汉语没有形态变化</x:t>
        </x:is>
      </x:c>
      <x:c r="O235" s="55" t="inlineStr">
        <x:is>
          <x:t xml:space="preserve">易</x:t>
        </x:is>
      </x:c>
      <x:c r="P235" s="55" t="inlineStr">
        <x:is>
          <x:t xml:space="preserve">否</x:t>
        </x:is>
      </x:c>
      <x:c r="Q235" s="56" t="n"/>
      <x:c r="R235" s="57" t="inlineStr">
        <x:is>
          <x:t xml:space="preserve">主集</x:t>
        </x:is>
      </x:c>
      <x:c r="S235" s="57" t="inlineStr">
        <x:is>
          <x:t xml:space="preserve">index</x:t>
        </x:is>
      </x:c>
      <x:c r="T235" s="57" t="inlineStr">
        <x:is>
          <x:t xml:space="preserve"/>
        </x:is>
      </x:c>
    </x:row>
    <x:row r="236" s="37" customFormat="1" ht="29.850000381469727" customHeight="1">
      <x:c r="A236" s="58" t="inlineStr">
        <x:is>
          <x:t xml:space="preserve">NEG-0235</x:t>
        </x:is>
      </x:c>
      <x:c r="B236" s="58" t="inlineStr">
        <x:is>
          <x:t xml:space="preserve">v2</x:t>
        </x:is>
      </x:c>
      <x:c r="C236" s="59" t="inlineStr">
        <x:is>
          <x:t xml:space="preserve">八、语言本体层面的历史残留</x:t>
        </x:is>
      </x:c>
      <x:c r="D236" s="59" t="inlineStr">
        <x:is>
          <x:t xml:space="preserve">8.4 语法性词汇</x:t>
        </x:is>
      </x:c>
      <x:c r="E236" s="59" t="inlineStr">
        <x:is>
          <x:t xml:space="preserve">学术与调研</x:t>
        </x:is>
      </x:c>
      <x:c r="F236" s="59" t="inlineStr">
        <x:is>
          <x:t xml:space="preserve">翻译研究</x:t>
        </x:is>
      </x:c>
      <x:c r="G236" s="58" t="inlineStr">
        <x:is>
          <x:t xml:space="preserve">无</x:t>
        </x:is>
      </x:c>
      <x:c r="H236" s="58" t="str">
        <x:f>IF(LEN(I236)&lt;15,"短",IF(LEN(I236)&lt;=45,"中","长"))</x:f>
        <x:v>中</x:v>
      </x:c>
      <x:c r="I236" s="59" t="inlineStr">
        <x:is>
          <x:t xml:space="preserve">英语的 actor 与 actress 有形态区分，汉语的“演员”没有。</x:t>
        </x:is>
      </x:c>
      <x:c r="J236" s="59" t="str">
        <x:f>I236</x:f>
        <x:v>英语的 actor 与 actress 有形态区分，汉语的“演员”没有。</x:v>
      </x:c>
      <x:c r="K236" s="58" t="inlineStr">
        <x:is>
          <x:t xml:space="preserve">无需改写</x:t>
        </x:is>
      </x:c>
      <x:c r="L236" s="59" t="inlineStr">
        <x:is>
          <x:t xml:space="preserve">actor/actress</x:t>
        </x:is>
      </x:c>
      <x:c r="M236" s="59" t="inlineStr">
        <x:is>
          <x:t xml:space="preserve">跨语言对比</x:t>
        </x:is>
      </x:c>
      <x:c r="N236" s="59" t="inlineStr">
        <x:is>
          <x:t xml:space="preserve">英语相关词汇有形态区分，汉语没有</x:t>
        </x:is>
      </x:c>
      <x:c r="O236" s="58" t="inlineStr">
        <x:is>
          <x:t xml:space="preserve">易</x:t>
        </x:is>
      </x:c>
      <x:c r="P236" s="58" t="inlineStr">
        <x:is>
          <x:t xml:space="preserve">否</x:t>
        </x:is>
      </x:c>
      <x:c r="Q236" s="59" t="n"/>
      <x:c r="R236" s="60" t="inlineStr">
        <x:is>
          <x:t xml:space="preserve">隔离·待确认</x:t>
        </x:is>
      </x:c>
      <x:c r="S236" s="60" t="inlineStr">
        <x:is>
          <x:t xml:space="preserve"/>
        </x:is>
      </x:c>
      <x:c r="T236" s="60" t="inlineStr">
        <x:is>
          <x:t xml:space="preserve">触发词不含性别编码——判断可能依赖世界知识而非句内信息</x:t>
        </x:is>
      </x:c>
    </x:row>
    <x:row r="237" s="37" customFormat="1" ht="29.850000381469727" customHeight="1">
      <x:c r="A237" s="58" t="inlineStr">
        <x:is>
          <x:t xml:space="preserve">NEG-0236</x:t>
        </x:is>
      </x:c>
      <x:c r="B237" s="58" t="inlineStr">
        <x:is>
          <x:t xml:space="preserve">v2</x:t>
        </x:is>
      </x:c>
      <x:c r="C237" s="59" t="inlineStr">
        <x:is>
          <x:t xml:space="preserve">八、语言本体层面的历史残留</x:t>
        </x:is>
      </x:c>
      <x:c r="D237" s="59" t="inlineStr">
        <x:is>
          <x:t xml:space="preserve">8.4 语法性词汇</x:t>
        </x:is>
      </x:c>
      <x:c r="E237" s="59" t="inlineStr">
        <x:is>
          <x:t xml:space="preserve">学术与调研</x:t>
        </x:is>
      </x:c>
      <x:c r="F237" s="59" t="inlineStr">
        <x:is>
          <x:t xml:space="preserve">翻译笔记</x:t>
        </x:is>
      </x:c>
      <x:c r="G237" s="58" t="inlineStr">
        <x:is>
          <x:t xml:space="preserve">无</x:t>
        </x:is>
      </x:c>
      <x:c r="H237" s="58" t="str">
        <x:f>IF(LEN(I237)&lt;15,"短",IF(LEN(I237)&lt;=45,"中","长"))</x:f>
        <x:v>中</x:v>
      </x:c>
      <x:c r="I237" s="59" t="inlineStr">
        <x:is>
          <x:t xml:space="preserve">俄语名词分阴、阳、中三性，译成中文时通常不作体现。</x:t>
        </x:is>
      </x:c>
      <x:c r="J237" s="59" t="str">
        <x:f>I237</x:f>
        <x:v>俄语名词分阴、阳、中三性，译成中文时通常不作体现。</x:v>
      </x:c>
      <x:c r="K237" s="58" t="inlineStr">
        <x:is>
          <x:t xml:space="preserve">无需改写</x:t>
        </x:is>
      </x:c>
      <x:c r="L237" s="59" t="inlineStr">
        <x:is>
          <x:t xml:space="preserve">阴阳中三性</x:t>
        </x:is>
      </x:c>
      <x:c r="M237" s="59" t="inlineStr">
        <x:is>
          <x:t xml:space="preserve">语法性属说明</x:t>
        </x:is>
      </x:c>
      <x:c r="N237" s="59" t="inlineStr">
        <x:is>
          <x:t xml:space="preserve">俄语名词有词类区分，译成中文时通常不体现</x:t>
        </x:is>
      </x:c>
      <x:c r="O237" s="58" t="inlineStr">
        <x:is>
          <x:t xml:space="preserve">易</x:t>
        </x:is>
      </x:c>
      <x:c r="P237" s="58" t="inlineStr">
        <x:is>
          <x:t xml:space="preserve">否</x:t>
        </x:is>
      </x:c>
      <x:c r="Q237" s="59" t="n"/>
      <x:c r="R237" s="60" t="inlineStr">
        <x:is>
          <x:t xml:space="preserve">隔离·待确认</x:t>
        </x:is>
      </x:c>
      <x:c r="S237" s="60" t="inlineStr">
        <x:is>
          <x:t xml:space="preserve"/>
        </x:is>
      </x:c>
      <x:c r="T237" s="60" t="inlineStr">
        <x:is>
          <x:t xml:space="preserve">触发词不含性别编码——判断可能依赖世界知识而非句内信息</x:t>
        </x:is>
      </x:c>
    </x:row>
    <x:row r="238" s="37" customFormat="1" ht="29.850000381469727" customHeight="1">
      <x:c r="A238" s="55" t="inlineStr">
        <x:is>
          <x:t xml:space="preserve">NEG-0237</x:t>
        </x:is>
      </x:c>
      <x:c r="B238" s="55" t="inlineStr">
        <x:is>
          <x:t xml:space="preserve">v2</x:t>
        </x:is>
      </x:c>
      <x:c r="C238" s="56" t="inlineStr">
        <x:is>
          <x:t xml:space="preserve">八、语言本体层面的历史残留</x:t>
        </x:is>
      </x:c>
      <x:c r="D238" s="56" t="inlineStr">
        <x:is>
          <x:t xml:space="preserve">8.4 语法性词汇</x:t>
        </x:is>
      </x:c>
      <x:c r="E238" s="56" t="inlineStr">
        <x:is>
          <x:t xml:space="preserve">学术与调研</x:t>
        </x:is>
      </x:c>
      <x:c r="F238" s="56" t="inlineStr">
        <x:is>
          <x:t xml:space="preserve">词源解释</x:t>
        </x:is>
      </x:c>
      <x:c r="G238" s="55" t="inlineStr">
        <x:is>
          <x:t xml:space="preserve">无</x:t>
        </x:is>
      </x:c>
      <x:c r="H238" s="55" t="str">
        <x:f>IF(LEN(I238)&lt;15,"短",IF(LEN(I238)&lt;=45,"中","长"))</x:f>
        <x:v>中</x:v>
      </x:c>
      <x:c r="I238" s="56" t="inlineStr">
        <x:is>
          <x:t xml:space="preserve">“妈祖”是音义结合的专名，其中的“妈”不作性别理解。</x:t>
        </x:is>
      </x:c>
      <x:c r="J238" s="56" t="str">
        <x:f>I238</x:f>
        <x:v>“妈祖”是音义结合的专名，其中的“妈”不作性别理解。</x:v>
      </x:c>
      <x:c r="K238" s="55" t="inlineStr">
        <x:is>
          <x:t xml:space="preserve">无需改写</x:t>
        </x:is>
      </x:c>
      <x:c r="L238" s="56" t="inlineStr">
        <x:is>
          <x:t xml:space="preserve">妈祖/妈</x:t>
        </x:is>
      </x:c>
      <x:c r="M238" s="56" t="inlineStr">
        <x:is>
          <x:t xml:space="preserve">专名与词源说明</x:t>
        </x:is>
      </x:c>
      <x:c r="N238" s="56" t="inlineStr">
        <x:is>
          <x:t xml:space="preserve">该专名中的成分不作字面理解</x:t>
        </x:is>
      </x:c>
      <x:c r="O238" s="55" t="inlineStr">
        <x:is>
          <x:t xml:space="preserve">中</x:t>
        </x:is>
      </x:c>
      <x:c r="P238" s="55" t="inlineStr">
        <x:is>
          <x:t xml:space="preserve">否</x:t>
        </x:is>
      </x:c>
      <x:c r="Q238" s="56" t="n"/>
      <x:c r="R238" s="57" t="inlineStr">
        <x:is>
          <x:t xml:space="preserve">主集</x:t>
        </x:is>
      </x:c>
      <x:c r="S238" s="57" t="inlineStr">
        <x:is>
          <x:t xml:space="preserve">index</x:t>
        </x:is>
      </x:c>
      <x:c r="T238" s="57" t="inlineStr">
        <x:is>
          <x:t xml:space="preserve"/>
        </x:is>
      </x:c>
    </x:row>
    <x:row r="239" s="37" customFormat="1" ht="29.850000381469727" customHeight="1">
      <x:c r="A239" s="55" t="inlineStr">
        <x:is>
          <x:t xml:space="preserve">NEG-0238</x:t>
        </x:is>
      </x:c>
      <x:c r="B239" s="55" t="inlineStr">
        <x:is>
          <x:t xml:space="preserve">v2</x:t>
        </x:is>
      </x:c>
      <x:c r="C239" s="56" t="inlineStr">
        <x:is>
          <x:t xml:space="preserve">八、语言本体层面的历史残留</x:t>
        </x:is>
      </x:c>
      <x:c r="D239" s="56" t="inlineStr">
        <x:is>
          <x:t xml:space="preserve">8.4 语法性词汇</x:t>
        </x:is>
      </x:c>
      <x:c r="E239" s="56" t="inlineStr">
        <x:is>
          <x:t xml:space="preserve">学术与调研</x:t>
        </x:is>
      </x:c>
      <x:c r="F239" s="56" t="inlineStr">
        <x:is>
          <x:t xml:space="preserve">翻译研究</x:t>
        </x:is>
      </x:c>
      <x:c r="G239" s="55" t="inlineStr">
        <x:is>
          <x:t xml:space="preserve">无</x:t>
        </x:is>
      </x:c>
      <x:c r="H239" s="55" t="str">
        <x:f>IF(LEN(I239)&lt;15,"短",IF(LEN(I239)&lt;=45,"中","长"))</x:f>
        <x:v>中</x:v>
      </x:c>
      <x:c r="I239" s="56" t="inlineStr">
        <x:is>
          <x:t xml:space="preserve">日语第一人称“僕”带男性色彩，中文一般一律译作“我”。</x:t>
        </x:is>
      </x:c>
      <x:c r="J239" s="56" t="str">
        <x:f>I239</x:f>
        <x:v>日语第一人称“僕”带男性色彩，中文一般一律译作“我”。</x:v>
      </x:c>
      <x:c r="K239" s="55" t="inlineStr">
        <x:is>
          <x:t xml:space="preserve">无需改写</x:t>
        </x:is>
      </x:c>
      <x:c r="L239" s="56" t="inlineStr">
        <x:is>
          <x:t xml:space="preserve">僕/男性色彩</x:t>
        </x:is>
      </x:c>
      <x:c r="M239" s="56" t="inlineStr">
        <x:is>
          <x:t xml:space="preserve">跨语言差异说明</x:t>
        </x:is>
      </x:c>
      <x:c r="N239" s="56" t="inlineStr">
        <x:is>
          <x:t xml:space="preserve">日语部分第一人称带语体色彩，中文一律译作“我”</x:t>
        </x:is>
      </x:c>
      <x:c r="O239" s="55" t="inlineStr">
        <x:is>
          <x:t xml:space="preserve">中</x:t>
        </x:is>
      </x:c>
      <x:c r="P239" s="55" t="inlineStr">
        <x:is>
          <x:t xml:space="preserve">否</x:t>
        </x:is>
      </x:c>
      <x:c r="Q239" s="56" t="n"/>
      <x:c r="R239" s="57" t="inlineStr">
        <x:is>
          <x:t xml:space="preserve">主集</x:t>
        </x:is>
      </x:c>
      <x:c r="S239" s="57" t="inlineStr">
        <x:is>
          <x:t xml:space="preserve">dev</x:t>
        </x:is>
      </x:c>
      <x:c r="T239" s="57" t="inlineStr">
        <x:is>
          <x:t xml:space="preserve"/>
        </x:is>
      </x:c>
    </x:row>
    <x:row r="240" s="37" customFormat="1" ht="29.850000381469727" customHeight="1">
      <x:c r="A240" s="55" t="inlineStr">
        <x:is>
          <x:t xml:space="preserve">NEG-0239</x:t>
        </x:is>
      </x:c>
      <x:c r="B240" s="55" t="inlineStr">
        <x:is>
          <x:t xml:space="preserve">v2</x:t>
        </x:is>
      </x:c>
      <x:c r="C240" s="56" t="inlineStr">
        <x:is>
          <x:t xml:space="preserve">八、语言本体层面的历史残留</x:t>
        </x:is>
      </x:c>
      <x:c r="D240" s="56" t="inlineStr">
        <x:is>
          <x:t xml:space="preserve">8.5 惯用搭配与固定表达</x:t>
        </x:is>
      </x:c>
      <x:c r="E240" s="56" t="inlineStr">
        <x:is>
          <x:t xml:space="preserve">公文与规章</x:t>
        </x:is>
      </x:c>
      <x:c r="F240" s="56" t="inlineStr">
        <x:is>
          <x:t xml:space="preserve">会议致辞</x:t>
        </x:is>
      </x:c>
      <x:c r="G240" s="55" t="inlineStr">
        <x:is>
          <x:t xml:space="preserve">无</x:t>
        </x:is>
      </x:c>
      <x:c r="H240" s="55" t="str">
        <x:f>IF(LEN(I240)&lt;15,"短",IF(LEN(I240)&lt;=45,"中","长"))</x:f>
        <x:v>中</x:v>
      </x:c>
      <x:c r="I240" s="56" t="inlineStr">
        <x:is>
          <x:t xml:space="preserve">在此感谢各兄弟单位在项目期间给予的支援。</x:t>
        </x:is>
      </x:c>
      <x:c r="J240" s="56" t="str">
        <x:f>I240</x:f>
        <x:v>在此感谢各兄弟单位在项目期间给予的支援。</x:v>
      </x:c>
      <x:c r="K240" s="55" t="inlineStr">
        <x:is>
          <x:t xml:space="preserve">无需改写</x:t>
        </x:is>
      </x:c>
      <x:c r="L240" s="56" t="inlineStr">
        <x:is>
          <x:t xml:space="preserve">兄弟单位</x:t>
        </x:is>
      </x:c>
      <x:c r="M240" s="56" t="inlineStr">
        <x:is>
          <x:t xml:space="preserve">机构间固定惯用语</x:t>
        </x:is>
      </x:c>
      <x:c r="N240" s="56" t="inlineStr">
        <x:is>
          <x:t xml:space="preserve">在此感谢各协作单位给予的支援</x:t>
        </x:is>
      </x:c>
      <x:c r="O240" s="55" t="inlineStr">
        <x:is>
          <x:t xml:space="preserve">中</x:t>
        </x:is>
      </x:c>
      <x:c r="P240" s="55" t="inlineStr">
        <x:is>
          <x:t xml:space="preserve">是</x:t>
        </x:is>
      </x:c>
      <x:c r="Q240" s="56" t="inlineStr">
        <x:is>
          <x:t xml:space="preserve">部分单位公文中已改用“协作单位”</x:t>
        </x:is>
      </x:c>
      <x:c r="R240" s="57" t="inlineStr">
        <x:is>
          <x:t xml:space="preserve">主集</x:t>
        </x:is>
      </x:c>
      <x:c r="S240" s="57" t="inlineStr">
        <x:is>
          <x:t xml:space="preserve">dev</x:t>
        </x:is>
      </x:c>
      <x:c r="T240" s="57" t="inlineStr">
        <x:is>
          <x:t xml:space="preserve"/>
        </x:is>
      </x:c>
    </x:row>
    <x:row r="241" s="37" customFormat="1" ht="29.850000381469727" customHeight="1">
      <x:c r="A241" s="55" t="inlineStr">
        <x:is>
          <x:t xml:space="preserve">NEG-0240</x:t>
        </x:is>
      </x:c>
      <x:c r="B241" s="55" t="inlineStr">
        <x:is>
          <x:t xml:space="preserve">v2</x:t>
        </x:is>
      </x:c>
      <x:c r="C241" s="56" t="inlineStr">
        <x:is>
          <x:t xml:space="preserve">八、语言本体层面的历史残留</x:t>
        </x:is>
      </x:c>
      <x:c r="D241" s="56" t="inlineStr">
        <x:is>
          <x:t xml:space="preserve">8.5 惯用搭配与固定表达</x:t>
        </x:is>
      </x:c>
      <x:c r="E241" s="56" t="inlineStr">
        <x:is>
          <x:t xml:space="preserve">口语与私人交流</x:t>
        </x:is>
      </x:c>
      <x:c r="F241" s="56" t="inlineStr">
        <x:is>
          <x:t xml:space="preserve">班组记录</x:t>
        </x:is>
      </x:c>
      <x:c r="G241" s="55" t="inlineStr">
        <x:is>
          <x:t xml:space="preserve">无</x:t>
        </x:is>
      </x:c>
      <x:c r="H241" s="55" t="str">
        <x:f>IF(LEN(I241)&lt;15,"短",IF(LEN(I241)&lt;=45,"中","长"))</x:f>
        <x:v>中</x:v>
      </x:c>
      <x:c r="I241" s="56" t="inlineStr">
        <x:is>
          <x:t xml:space="preserve">他们（指该混合班组）刚完成工作面交接。</x:t>
        </x:is>
      </x:c>
      <x:c r="J241" s="56" t="str">
        <x:f>I241</x:f>
        <x:v>他们（指该混合班组）刚完成工作面交接。</x:v>
      </x:c>
      <x:c r="K241" s="55" t="inlineStr">
        <x:is>
          <x:t xml:space="preserve">无需改写</x:t>
        </x:is>
      </x:c>
      <x:c r="L241" s="56" t="inlineStr">
        <x:is>
          <x:t xml:space="preserve">他们</x:t>
        </x:is>
      </x:c>
      <x:c r="M241" s="56" t="inlineStr">
        <x:is>
          <x:t xml:space="preserve">混合群体用“他们”是汉语约定用法</x:t>
        </x:is>
      </x:c>
      <x:c r="N241" s="56" t="inlineStr">
        <x:is>
          <x:t xml:space="preserve">TA们（指该混合班组）刚完成工作面交接</x:t>
        </x:is>
      </x:c>
      <x:c r="O241" s="55" t="inlineStr">
        <x:is>
          <x:t xml:space="preserve">中</x:t>
        </x:is>
      </x:c>
      <x:c r="P241" s="55" t="inlineStr">
        <x:is>
          <x:t xml:space="preserve">是</x:t>
        </x:is>
      </x:c>
      <x:c r="Q241" s="56" t="inlineStr">
        <x:is>
          <x:t xml:space="preserve">泛指“他”是否应废止，各规范分歧明显</x:t>
        </x:is>
      </x:c>
      <x:c r="R241" s="57" t="inlineStr">
        <x:is>
          <x:t xml:space="preserve">主集</x:t>
        </x:is>
      </x:c>
      <x:c r="S241" s="57" t="inlineStr">
        <x:is>
          <x:t xml:space="preserve">dev</x:t>
        </x:is>
      </x:c>
      <x:c r="T241" s="57" t="inlineStr">
        <x:is>
          <x:t xml:space="preserve"/>
        </x:is>
      </x:c>
    </x:row>
    <x:row r="242" s="37" customFormat="1" ht="29.850000381469727" customHeight="1">
      <x:c r="A242" s="58" t="inlineStr">
        <x:is>
          <x:t xml:space="preserve">NEG-0241</x:t>
        </x:is>
      </x:c>
      <x:c r="B242" s="58" t="inlineStr">
        <x:is>
          <x:t xml:space="preserve">v2</x:t>
        </x:is>
      </x:c>
      <x:c r="C242" s="59" t="inlineStr">
        <x:is>
          <x:t xml:space="preserve">八、语言本体层面的历史残留</x:t>
        </x:is>
      </x:c>
      <x:c r="D242" s="59" t="inlineStr">
        <x:is>
          <x:t xml:space="preserve">8.5 惯用搭配与固定表达</x:t>
        </x:is>
      </x:c>
      <x:c r="E242" s="59" t="inlineStr">
        <x:is>
          <x:t xml:space="preserve">学术与调研</x:t>
        </x:is>
      </x:c>
      <x:c r="F242" s="59" t="inlineStr">
        <x:is>
          <x:t xml:space="preserve">方言观察</x:t>
        </x:is>
      </x:c>
      <x:c r="G242" s="58" t="inlineStr">
        <x:is>
          <x:t xml:space="preserve">无</x:t>
        </x:is>
      </x:c>
      <x:c r="H242" s="58" t="str">
        <x:f>IF(LEN(I242)&lt;15,"短",IF(LEN(I242)&lt;=45,"中","长"))</x:f>
        <x:v>中</x:v>
      </x:c>
      <x:c r="I242" s="59" t="inlineStr">
        <x:is>
          <x:t xml:space="preserve">北方口语里“哥们儿”也能用来称呼关系近的女性朋友。</x:t>
        </x:is>
      </x:c>
      <x:c r="J242" s="59" t="str">
        <x:f>I242</x:f>
        <x:v>北方口语里“哥们儿”也能用来称呼关系近的女性朋友。</x:v>
      </x:c>
      <x:c r="K242" s="58" t="inlineStr">
        <x:is>
          <x:t xml:space="preserve">无需改写</x:t>
        </x:is>
      </x:c>
      <x:c r="L242" s="59" t="inlineStr">
        <x:is>
          <x:t xml:space="preserve">哥们儿</x:t>
        </x:is>
      </x:c>
      <x:c r="M242" s="59" t="inlineStr">
        <x:is>
          <x:t xml:space="preserve">口语实况描述，句子本身在说明其去性别化</x:t>
        </x:is>
      </x:c>
      <x:c r="N242" s="59" t="inlineStr">
        <x:is>
          <x:t xml:space="preserve">北方口语里有一些称呼也能用于女性朋友</x:t>
        </x:is>
      </x:c>
      <x:c r="O242" s="58" t="inlineStr">
        <x:is>
          <x:t xml:space="preserve">中</x:t>
        </x:is>
      </x:c>
      <x:c r="P242" s="58" t="inlineStr">
        <x:is>
          <x:t xml:space="preserve">否</x:t>
        </x:is>
      </x:c>
      <x:c r="Q242" s="59" t="n"/>
      <x:c r="R242" s="60" t="inlineStr">
        <x:is>
          <x:t xml:space="preserve">隔离·待确认</x:t>
        </x:is>
      </x:c>
      <x:c r="S242" s="60" t="inlineStr">
        <x:is>
          <x:t xml:space="preserve"/>
        </x:is>
      </x:c>
      <x:c r="T242" s="60" t="inlineStr">
        <x:is>
          <x:t xml:space="preserve">触发词不含性别编码——判断可能依赖世界知识而非句内信息</x:t>
        </x:is>
      </x:c>
    </x:row>
    <x:row r="243" s="37" customFormat="1" ht="29.850000381469727" customHeight="1">
      <x:c r="A243" s="55" t="inlineStr">
        <x:is>
          <x:t xml:space="preserve">NEG-0242</x:t>
        </x:is>
      </x:c>
      <x:c r="B243" s="55" t="inlineStr">
        <x:is>
          <x:t xml:space="preserve">v2</x:t>
        </x:is>
      </x:c>
      <x:c r="C243" s="56" t="inlineStr">
        <x:is>
          <x:t xml:space="preserve">八、语言本体层面的历史残留</x:t>
        </x:is>
      </x:c>
      <x:c r="D243" s="56" t="inlineStr">
        <x:is>
          <x:t xml:space="preserve">8.5 惯用搭配与固定表达</x:t>
        </x:is>
      </x:c>
      <x:c r="E243" s="56" t="inlineStr">
        <x:is>
          <x:t xml:space="preserve">公文与规章</x:t>
        </x:is>
      </x:c>
      <x:c r="F243" s="56" t="inlineStr">
        <x:is>
          <x:t xml:space="preserve">公文语体研究</x:t>
        </x:is>
      </x:c>
      <x:c r="G243" s="55" t="inlineStr">
        <x:is>
          <x:t xml:space="preserve">无</x:t>
        </x:is>
      </x:c>
      <x:c r="H243" s="55" t="str">
        <x:f>IF(LEN(I243)&lt;15,"短",IF(LEN(I243)&lt;=45,"中","长"))</x:f>
        <x:v>中</x:v>
      </x:c>
      <x:c r="I243" s="56" t="inlineStr">
        <x:is>
          <x:t xml:space="preserve">“父老”在正式公文中已基本被“居民”替代，但在讲话稿中仍常见。</x:t>
        </x:is>
      </x:c>
      <x:c r="J243" s="56" t="str">
        <x:f>I243</x:f>
        <x:v>“父老”在正式公文中已基本被“居民”替代，但在讲话稿中仍常见。</x:v>
      </x:c>
      <x:c r="K243" s="55" t="inlineStr">
        <x:is>
          <x:t xml:space="preserve">无需改写</x:t>
        </x:is>
      </x:c>
      <x:c r="L243" s="56" t="inlineStr">
        <x:is>
          <x:t xml:space="preserve">父老</x:t>
        </x:is>
      </x:c>
      <x:c r="M243" s="56" t="inlineStr">
        <x:is>
          <x:t xml:space="preserve">语体演变的客观描述</x:t>
        </x:is>
      </x:c>
      <x:c r="N243" s="56" t="inlineStr">
        <x:is>
          <x:t xml:space="preserve">部分传统称谓在公文中已被替代，但讲话稿中仍常见</x:t>
        </x:is>
      </x:c>
      <x:c r="O243" s="55" t="inlineStr">
        <x:is>
          <x:t xml:space="preserve">中</x:t>
        </x:is>
      </x:c>
      <x:c r="P243" s="55" t="inlineStr">
        <x:is>
          <x:t xml:space="preserve">否</x:t>
        </x:is>
      </x:c>
      <x:c r="Q243" s="56" t="n"/>
      <x:c r="R243" s="57" t="inlineStr">
        <x:is>
          <x:t xml:space="preserve">主集</x:t>
        </x:is>
      </x:c>
      <x:c r="S243" s="57" t="inlineStr">
        <x:is>
          <x:t xml:space="preserve">index</x:t>
        </x:is>
      </x:c>
      <x:c r="T243" s="57" t="inlineStr">
        <x:is>
          <x:t xml:space="preserve"/>
        </x:is>
      </x:c>
    </x:row>
    <x:row r="244" s="37" customFormat="1" ht="29.850000381469727" customHeight="1">
      <x:c r="A244" s="55" t="inlineStr">
        <x:is>
          <x:t xml:space="preserve">NEG-0243</x:t>
        </x:is>
      </x:c>
      <x:c r="B244" s="55" t="inlineStr">
        <x:is>
          <x:t xml:space="preserve">v2</x:t>
        </x:is>
      </x:c>
      <x:c r="C244" s="56" t="inlineStr">
        <x:is>
          <x:t xml:space="preserve">八、语言本体层面的历史残留</x:t>
        </x:is>
      </x:c>
      <x:c r="D244" s="56" t="inlineStr">
        <x:is>
          <x:t xml:space="preserve">8.5 惯用搭配与固定表达</x:t>
        </x:is>
      </x:c>
      <x:c r="E244" s="56" t="inlineStr">
        <x:is>
          <x:t xml:space="preserve">学术与调研</x:t>
        </x:is>
      </x:c>
      <x:c r="F244" s="56" t="inlineStr">
        <x:is>
          <x:t xml:space="preserve">语用观察</x:t>
        </x:is>
      </x:c>
      <x:c r="G244" s="55" t="inlineStr">
        <x:is>
          <x:t xml:space="preserve">无</x:t>
        </x:is>
      </x:c>
      <x:c r="H244" s="55" t="str">
        <x:f>IF(LEN(I244)&lt;15,"短",IF(LEN(I244)&lt;=45,"中","长"))</x:f>
        <x:v>中</x:v>
      </x:c>
      <x:c r="I244" s="56" t="inlineStr">
        <x:is>
          <x:t xml:space="preserve">“男女搭配，干活不累”是句俗语，使用时要看场合。</x:t>
        </x:is>
      </x:c>
      <x:c r="J244" s="56" t="str">
        <x:f>I244</x:f>
        <x:v>“男女搭配，干活不累”是句俗语，使用时要看场合。</x:v>
      </x:c>
      <x:c r="K244" s="55" t="inlineStr">
        <x:is>
          <x:t xml:space="preserve">无需改写</x:t>
        </x:is>
      </x:c>
      <x:c r="L244" s="56" t="inlineStr">
        <x:is>
          <x:t xml:space="preserve">男女搭配干活不累</x:t>
        </x:is>
      </x:c>
      <x:c r="M244" s="56" t="inlineStr">
        <x:is>
          <x:t xml:space="preserve">俗语原文，且句子已提示使用需谨慎</x:t>
        </x:is>
      </x:c>
      <x:c r="N244" s="56" t="inlineStr">
        <x:is>
          <x:t xml:space="preserve">有些俗语使用时要看场合</x:t>
        </x:is>
      </x:c>
      <x:c r="O244" s="55" t="inlineStr">
        <x:is>
          <x:t xml:space="preserve">中</x:t>
        </x:is>
      </x:c>
      <x:c r="P244" s="55" t="inlineStr">
        <x:is>
          <x:t xml:space="preserve">是</x:t>
        </x:is>
      </x:c>
      <x:c r="Q244" s="56" t="n"/>
      <x:c r="R244" s="57" t="inlineStr">
        <x:is>
          <x:t xml:space="preserve">主集</x:t>
        </x:is>
      </x:c>
      <x:c r="S244" s="57" t="inlineStr">
        <x:is>
          <x:t xml:space="preserve">index</x:t>
        </x:is>
      </x:c>
      <x:c r="T244" s="57" t="inlineStr">
        <x:is>
          <x:t xml:space="preserve"/>
        </x:is>
      </x:c>
    </x:row>
    <x:row r="245" s="37" customFormat="1" ht="29.850000381469727" customHeight="1">
      <x:c r="A245" s="55" t="inlineStr">
        <x:is>
          <x:t xml:space="preserve">NEG-0244</x:t>
        </x:is>
      </x:c>
      <x:c r="B245" s="55" t="inlineStr">
        <x:is>
          <x:t xml:space="preserve">v3</x:t>
        </x:is>
      </x:c>
      <x:c r="C245" s="56" t="inlineStr">
        <x:is>
          <x:t xml:space="preserve">九、假触发词（形似而非）</x:t>
        </x:is>
      </x:c>
      <x:c r="D245" s="56" t="inlineStr">
        <x:is>
          <x:t xml:space="preserve">9.1 建筑与工程构件</x:t>
        </x:is>
      </x:c>
      <x:c r="E245" s="56" t="inlineStr">
        <x:is>
          <x:t xml:space="preserve">工程与技术</x:t>
        </x:is>
      </x:c>
      <x:c r="F245" s="56" t="inlineStr">
        <x:is>
          <x:t xml:space="preserve">施工记录</x:t>
        </x:is>
      </x:c>
      <x:c r="G245" s="55" t="inlineStr">
        <x:is>
          <x:t xml:space="preserve">无</x:t>
        </x:is>
      </x:c>
      <x:c r="H245" s="55" t="str">
        <x:f>IF(LEN(I245)&lt;15,"短",IF(LEN(I245)&lt;=45,"中","长"))</x:f>
        <x:v>中</x:v>
      </x:c>
      <x:c r="I245" s="56" t="inlineStr">
        <x:is>
          <x:t xml:space="preserve">女儿墙防水层出现开裂，需要重新铺一遍卷材。</x:t>
        </x:is>
      </x:c>
      <x:c r="J245" s="56" t="str">
        <x:f>I245</x:f>
        <x:v>女儿墙防水层出现开裂，需要重新铺一遍卷材。</x:v>
      </x:c>
      <x:c r="K245" s="55" t="inlineStr">
        <x:is>
          <x:t xml:space="preserve">无需改写</x:t>
        </x:is>
      </x:c>
      <x:c r="L245" s="56" t="inlineStr">
        <x:is>
          <x:t xml:space="preserve">女儿墙</x:t>
        </x:is>
      </x:c>
      <x:c r="M245" s="56" t="inlineStr">
        <x:is>
          <x:t xml:space="preserve">建筑构件名称，与性别无关</x:t>
        </x:is>
      </x:c>
      <x:c r="N245" s="56" t="inlineStr">
        <x:is>
          <x:t xml:space="preserve">儿童墙防水层出现开裂</x:t>
        </x:is>
      </x:c>
      <x:c r="O245" s="55" t="inlineStr">
        <x:is>
          <x:t xml:space="preserve">易</x:t>
        </x:is>
      </x:c>
      <x:c r="P245" s="55" t="inlineStr">
        <x:is>
          <x:t xml:space="preserve">否</x:t>
        </x:is>
      </x:c>
      <x:c r="Q245" s="56" t="inlineStr">
        <x:is>
          <x:t xml:space="preserve">关键词匹配的典型误伤</x:t>
        </x:is>
      </x:c>
      <x:c r="R245" s="57" t="inlineStr">
        <x:is>
          <x:t xml:space="preserve">主集</x:t>
        </x:is>
      </x:c>
      <x:c r="S245" s="57" t="inlineStr">
        <x:is>
          <x:t xml:space="preserve">index</x:t>
        </x:is>
      </x:c>
      <x:c r="T245" s="57" t="inlineStr">
        <x:is>
          <x:t xml:space="preserve"/>
        </x:is>
      </x:c>
    </x:row>
    <x:row r="246" s="37" customFormat="1" ht="29.850000381469727" customHeight="1">
      <x:c r="A246" s="55" t="inlineStr">
        <x:is>
          <x:t xml:space="preserve">NEG-0245</x:t>
        </x:is>
      </x:c>
      <x:c r="B246" s="55" t="inlineStr">
        <x:is>
          <x:t xml:space="preserve">v3</x:t>
        </x:is>
      </x:c>
      <x:c r="C246" s="56" t="inlineStr">
        <x:is>
          <x:t xml:space="preserve">九、假触发词（形似而非）</x:t>
        </x:is>
      </x:c>
      <x:c r="D246" s="56" t="inlineStr">
        <x:is>
          <x:t xml:space="preserve">9.1 建筑与工程构件</x:t>
        </x:is>
      </x:c>
      <x:c r="E246" s="56" t="inlineStr">
        <x:is>
          <x:t xml:space="preserve">工程与技术</x:t>
        </x:is>
      </x:c>
      <x:c r="F246" s="56" t="inlineStr">
        <x:is>
          <x:t xml:space="preserve">技术规范</x:t>
        </x:is>
      </x:c>
      <x:c r="G246" s="55" t="inlineStr">
        <x:is>
          <x:t xml:space="preserve">无</x:t>
        </x:is>
      </x:c>
      <x:c r="H246" s="55" t="str">
        <x:f>IF(LEN(I246)&lt;15,"短",IF(LEN(I246)&lt;=45,"中","长"))</x:f>
        <x:v>中</x:v>
      </x:c>
      <x:c r="I246" s="56" t="inlineStr">
        <x:is>
          <x:t xml:space="preserve">女儿墙压顶的排水坡度应朝向屋面内侧。</x:t>
        </x:is>
      </x:c>
      <x:c r="J246" s="56" t="str">
        <x:f>I246</x:f>
        <x:v>女儿墙压顶的排水坡度应朝向屋面内侧。</x:v>
      </x:c>
      <x:c r="K246" s="55" t="inlineStr">
        <x:is>
          <x:t xml:space="preserve">无需改写</x:t>
        </x:is>
      </x:c>
      <x:c r="L246" s="56" t="inlineStr">
        <x:is>
          <x:t xml:space="preserve">女儿墙</x:t>
        </x:is>
      </x:c>
      <x:c r="M246" s="56" t="inlineStr">
        <x:is>
          <x:t xml:space="preserve">构件名称</x:t>
        </x:is>
      </x:c>
      <x:c r="N246" s="56" t="inlineStr">
        <x:is>
          <x:t xml:space="preserve">屋面矮墙压顶的排水坡度应朝向内侧</x:t>
        </x:is>
      </x:c>
      <x:c r="O246" s="55" t="inlineStr">
        <x:is>
          <x:t xml:space="preserve">易</x:t>
        </x:is>
      </x:c>
      <x:c r="P246" s="55" t="inlineStr">
        <x:is>
          <x:t xml:space="preserve">否</x:t>
        </x:is>
      </x:c>
      <x:c r="Q246" s="56" t="n"/>
      <x:c r="R246" s="57" t="inlineStr">
        <x:is>
          <x:t xml:space="preserve">主集</x:t>
        </x:is>
      </x:c>
      <x:c r="S246" s="57" t="inlineStr">
        <x:is>
          <x:t xml:space="preserve">index</x:t>
        </x:is>
      </x:c>
      <x:c r="T246" s="57" t="inlineStr">
        <x:is>
          <x:t xml:space="preserve"/>
        </x:is>
      </x:c>
    </x:row>
    <x:row r="247" s="37" customFormat="1" ht="29.850000381469727" customHeight="1">
      <x:c r="A247" s="58" t="inlineStr">
        <x:is>
          <x:t xml:space="preserve">NEG-0246</x:t>
        </x:is>
      </x:c>
      <x:c r="B247" s="58" t="inlineStr">
        <x:is>
          <x:t xml:space="preserve">v3</x:t>
        </x:is>
      </x:c>
      <x:c r="C247" s="59" t="inlineStr">
        <x:is>
          <x:t xml:space="preserve">九、假触发词（形似而非）</x:t>
        </x:is>
      </x:c>
      <x:c r="D247" s="59" t="inlineStr">
        <x:is>
          <x:t xml:space="preserve">9.1 建筑与工程构件</x:t>
        </x:is>
      </x:c>
      <x:c r="E247" s="59" t="inlineStr">
        <x:is>
          <x:t xml:space="preserve">工程与技术</x:t>
        </x:is>
      </x:c>
      <x:c r="F247" s="59" t="inlineStr">
        <x:is>
          <x:t xml:space="preserve">监理日志</x:t>
        </x:is>
      </x:c>
      <x:c r="G247" s="58" t="inlineStr">
        <x:is>
          <x:t xml:space="preserve">无</x:t>
        </x:is>
      </x:c>
      <x:c r="H247" s="58" t="str">
        <x:f>IF(LEN(I247)&lt;15,"短",IF(LEN(I247)&lt;=45,"中","长"))</x:f>
        <x:v>中</x:v>
      </x:c>
      <x:c r="I247" s="59" t="inlineStr">
        <x:is>
          <x:t xml:space="preserve">地下室外墙的阴角部位必须增设附加防水层。</x:t>
        </x:is>
      </x:c>
      <x:c r="J247" s="59" t="str">
        <x:f>I247</x:f>
        <x:v>地下室外墙的阴角部位必须增设附加防水层。</x:v>
      </x:c>
      <x:c r="K247" s="58" t="inlineStr">
        <x:is>
          <x:t xml:space="preserve">无需改写</x:t>
        </x:is>
      </x:c>
      <x:c r="L247" s="59" t="inlineStr">
        <x:is>
          <x:t xml:space="preserve">阴角</x:t>
        </x:is>
      </x:c>
      <x:c r="M247" s="59" t="inlineStr">
        <x:is>
          <x:t xml:space="preserve">工程术语</x:t>
        </x:is>
      </x:c>
      <x:c r="N247" s="59" t="inlineStr">
        <x:is>
          <x:t xml:space="preserve">地下室外墙的转角部位必须增设附加防水层</x:t>
        </x:is>
      </x:c>
      <x:c r="O247" s="58" t="inlineStr">
        <x:is>
          <x:t xml:space="preserve">易</x:t>
        </x:is>
      </x:c>
      <x:c r="P247" s="58" t="inlineStr">
        <x:is>
          <x:t xml:space="preserve">否</x:t>
        </x:is>
      </x:c>
      <x:c r="Q247" s="59" t="n"/>
      <x:c r="R247" s="60" t="inlineStr">
        <x:is>
          <x:t xml:space="preserve">隔离·待确认</x:t>
        </x:is>
      </x:c>
      <x:c r="S247" s="60" t="inlineStr">
        <x:is>
          <x:t xml:space="preserve"/>
        </x:is>
      </x:c>
      <x:c r="T247" s="60" t="inlineStr">
        <x:is>
          <x:t xml:space="preserve">触发词不含性别编码——判断可能依赖世界知识而非句内信息</x:t>
        </x:is>
      </x:c>
    </x:row>
    <x:row r="248" s="37" customFormat="1" ht="29.850000381469727" customHeight="1">
      <x:c r="A248" s="55" t="inlineStr">
        <x:is>
          <x:t xml:space="preserve">NEG-0247</x:t>
        </x:is>
      </x:c>
      <x:c r="B248" s="55" t="inlineStr">
        <x:is>
          <x:t xml:space="preserve">v3</x:t>
        </x:is>
      </x:c>
      <x:c r="C248" s="56" t="inlineStr">
        <x:is>
          <x:t xml:space="preserve">九、假触发词（形似而非）</x:t>
        </x:is>
      </x:c>
      <x:c r="D248" s="56" t="inlineStr">
        <x:is>
          <x:t xml:space="preserve">9.1 建筑与工程构件</x:t>
        </x:is>
      </x:c>
      <x:c r="E248" s="56" t="inlineStr">
        <x:is>
          <x:t xml:space="preserve">工程与技术</x:t>
        </x:is>
      </x:c>
      <x:c r="F248" s="56" t="inlineStr">
        <x:is>
          <x:t xml:space="preserve">车间口语</x:t>
        </x:is>
      </x:c>
      <x:c r="G248" s="55" t="inlineStr">
        <x:is>
          <x:t xml:space="preserve">无</x:t>
        </x:is>
      </x:c>
      <x:c r="H248" s="55" t="str">
        <x:f>IF(LEN(I248)&lt;15,"短",IF(LEN(I248)&lt;=45,"中","长"))</x:f>
        <x:v>中</x:v>
      </x:c>
      <x:c r="I248" s="56" t="inlineStr">
        <x:is>
          <x:t xml:space="preserve">这批公母榫开的尺寸不对，根本装不上。</x:t>
        </x:is>
      </x:c>
      <x:c r="J248" s="56" t="str">
        <x:f>I248</x:f>
        <x:v>这批公母榫开的尺寸不对，根本装不上。</x:v>
      </x:c>
      <x:c r="K248" s="55" t="inlineStr">
        <x:is>
          <x:t xml:space="preserve">无需改写</x:t>
        </x:is>
      </x:c>
      <x:c r="L248" s="56" t="inlineStr">
        <x:is>
          <x:t xml:space="preserve">公母榫</x:t>
        </x:is>
      </x:c>
      <x:c r="M248" s="56" t="inlineStr">
        <x:is>
          <x:t xml:space="preserve">木作工艺名称</x:t>
        </x:is>
      </x:c>
      <x:c r="N248" s="56" t="inlineStr">
        <x:is>
          <x:t xml:space="preserve">这批榫卯开的尺寸不对</x:t>
        </x:is>
      </x:c>
      <x:c r="O248" s="55" t="inlineStr">
        <x:is>
          <x:t xml:space="preserve">易</x:t>
        </x:is>
      </x:c>
      <x:c r="P248" s="55" t="inlineStr">
        <x:is>
          <x:t xml:space="preserve">否</x:t>
        </x:is>
      </x:c>
      <x:c r="Q248" s="56" t="n"/>
      <x:c r="R248" s="57" t="inlineStr">
        <x:is>
          <x:t xml:space="preserve">主集</x:t>
        </x:is>
      </x:c>
      <x:c r="S248" s="57" t="inlineStr">
        <x:is>
          <x:t xml:space="preserve">index</x:t>
        </x:is>
      </x:c>
      <x:c r="T248" s="57" t="inlineStr">
        <x:is>
          <x:t xml:space="preserve"/>
        </x:is>
      </x:c>
    </x:row>
    <x:row r="249" s="37" customFormat="1" ht="29.850000381469727" customHeight="1">
      <x:c r="A249" s="55" t="inlineStr">
        <x:is>
          <x:t xml:space="preserve">NEG-0248</x:t>
        </x:is>
      </x:c>
      <x:c r="B249" s="55" t="inlineStr">
        <x:is>
          <x:t xml:space="preserve">v3</x:t>
        </x:is>
      </x:c>
      <x:c r="C249" s="56" t="inlineStr">
        <x:is>
          <x:t xml:space="preserve">九、假触发词（形似而非）</x:t>
        </x:is>
      </x:c>
      <x:c r="D249" s="56" t="inlineStr">
        <x:is>
          <x:t xml:space="preserve">9.1 建筑与工程构件</x:t>
        </x:is>
      </x:c>
      <x:c r="E249" s="56" t="inlineStr">
        <x:is>
          <x:t xml:space="preserve">工程与技术</x:t>
        </x:is>
      </x:c>
      <x:c r="F249" s="56" t="inlineStr">
        <x:is>
          <x:t xml:space="preserve">施工交底</x:t>
        </x:is>
      </x:c>
      <x:c r="G249" s="55" t="inlineStr">
        <x:is>
          <x:t xml:space="preserve">无</x:t>
        </x:is>
      </x:c>
      <x:c r="H249" s="55" t="str">
        <x:f>IF(LEN(I249)&lt;15,"短",IF(LEN(I249)&lt;=45,"中","长"))</x:f>
        <x:v>中</x:v>
      </x:c>
      <x:c r="I249" s="56" t="inlineStr">
        <x:is>
          <x:t xml:space="preserve">幕墙的公扣与母扣要对齐之后再打胶。</x:t>
        </x:is>
      </x:c>
      <x:c r="J249" s="56" t="str">
        <x:f>I249</x:f>
        <x:v>幕墙的公扣与母扣要对齐之后再打胶。</x:v>
      </x:c>
      <x:c r="K249" s="55" t="inlineStr">
        <x:is>
          <x:t xml:space="preserve">无需改写</x:t>
        </x:is>
      </x:c>
      <x:c r="L249" s="56" t="inlineStr">
        <x:is>
          <x:t xml:space="preserve">公扣/母扣</x:t>
        </x:is>
      </x:c>
      <x:c r="M249" s="56" t="inlineStr">
        <x:is>
          <x:t xml:space="preserve">连接件名称</x:t>
        </x:is>
      </x:c>
      <x:c r="N249" s="56" t="inlineStr">
        <x:is>
          <x:t xml:space="preserve">幕墙的两侧扣件要对齐之后再打胶</x:t>
        </x:is>
      </x:c>
      <x:c r="O249" s="55" t="inlineStr">
        <x:is>
          <x:t xml:space="preserve">易</x:t>
        </x:is>
      </x:c>
      <x:c r="P249" s="55" t="inlineStr">
        <x:is>
          <x:t xml:space="preserve">否</x:t>
        </x:is>
      </x:c>
      <x:c r="Q249" s="56" t="n"/>
      <x:c r="R249" s="57" t="inlineStr">
        <x:is>
          <x:t xml:space="preserve">主集</x:t>
        </x:is>
      </x:c>
      <x:c r="S249" s="57" t="inlineStr">
        <x:is>
          <x:t xml:space="preserve">dev</x:t>
        </x:is>
      </x:c>
      <x:c r="T249" s="57" t="inlineStr">
        <x:is>
          <x:t xml:space="preserve"/>
        </x:is>
      </x:c>
    </x:row>
    <x:row r="250" s="37" customFormat="1" ht="29.850000381469727" customHeight="1">
      <x:c r="A250" s="58" t="inlineStr">
        <x:is>
          <x:t xml:space="preserve">NEG-0249</x:t>
        </x:is>
      </x:c>
      <x:c r="B250" s="58" t="inlineStr">
        <x:is>
          <x:t xml:space="preserve">v3</x:t>
        </x:is>
      </x:c>
      <x:c r="C250" s="59" t="inlineStr">
        <x:is>
          <x:t xml:space="preserve">九、假触发词（形似而非）</x:t>
        </x:is>
      </x:c>
      <x:c r="D250" s="59" t="inlineStr">
        <x:is>
          <x:t xml:space="preserve">9.1 建筑与工程构件</x:t>
        </x:is>
      </x:c>
      <x:c r="E250" s="59" t="inlineStr">
        <x:is>
          <x:t xml:space="preserve">工程与技术</x:t>
        </x:is>
      </x:c>
      <x:c r="F250" s="59" t="inlineStr">
        <x:is>
          <x:t xml:space="preserve">图纸说明</x:t>
        </x:is>
      </x:c>
      <x:c r="G250" s="58" t="inlineStr">
        <x:is>
          <x:t xml:space="preserve">无</x:t>
        </x:is>
      </x:c>
      <x:c r="H250" s="58" t="str">
        <x:f>IF(LEN(I250)&lt;15,"短",IF(LEN(I250)&lt;=45,"中","长"))</x:f>
        <x:v>中</x:v>
      </x:c>
      <x:c r="I250" s="59" t="inlineStr">
        <x:is>
          <x:t xml:space="preserve">钢筋的公称直径与实测直径允许存在偏差。</x:t>
        </x:is>
      </x:c>
      <x:c r="J250" s="59" t="str">
        <x:f>I250</x:f>
        <x:v>钢筋的公称直径与实测直径允许存在偏差。</x:v>
      </x:c>
      <x:c r="K250" s="58" t="inlineStr">
        <x:is>
          <x:t xml:space="preserve">无需改写</x:t>
        </x:is>
      </x:c>
      <x:c r="L250" s="59" t="inlineStr">
        <x:is>
          <x:t xml:space="preserve">公称直径</x:t>
        </x:is>
      </x:c>
      <x:c r="M250" s="59" t="inlineStr">
        <x:is>
          <x:t xml:space="preserve">计量术语</x:t>
        </x:is>
      </x:c>
      <x:c r="N250" s="59" t="inlineStr">
        <x:is>
          <x:t xml:space="preserve">钢筋的标称直径与实测直径允许存在偏差</x:t>
        </x:is>
      </x:c>
      <x:c r="O250" s="58" t="inlineStr">
        <x:is>
          <x:t xml:space="preserve">易</x:t>
        </x:is>
      </x:c>
      <x:c r="P250" s="58" t="inlineStr">
        <x:is>
          <x:t xml:space="preserve">否</x:t>
        </x:is>
      </x:c>
      <x:c r="Q250" s="59" t="n"/>
      <x:c r="R250" s="60" t="inlineStr">
        <x:is>
          <x:t xml:space="preserve">隔离·待确认</x:t>
        </x:is>
      </x:c>
      <x:c r="S250" s="60" t="inlineStr">
        <x:is>
          <x:t xml:space="preserve"/>
        </x:is>
      </x:c>
      <x:c r="T250" s="60" t="inlineStr">
        <x:is>
          <x:t xml:space="preserve">触发词不含性别编码——判断可能依赖世界知识而非句内信息</x:t>
        </x:is>
      </x:c>
    </x:row>
    <x:row r="251" s="37" customFormat="1" ht="29.850000381469727" customHeight="1">
      <x:c r="A251" s="55" t="inlineStr">
        <x:is>
          <x:t xml:space="preserve">NEG-0250</x:t>
        </x:is>
      </x:c>
      <x:c r="B251" s="55" t="inlineStr">
        <x:is>
          <x:t xml:space="preserve">v3</x:t>
        </x:is>
      </x:c>
      <x:c r="C251" s="56" t="inlineStr">
        <x:is>
          <x:t xml:space="preserve">九、假触发词（形似而非）</x:t>
        </x:is>
      </x:c>
      <x:c r="D251" s="56" t="inlineStr">
        <x:is>
          <x:t xml:space="preserve">9.1 建筑与工程构件</x:t>
        </x:is>
      </x:c>
      <x:c r="E251" s="56" t="inlineStr">
        <x:is>
          <x:t xml:space="preserve">工程与技术</x:t>
        </x:is>
      </x:c>
      <x:c r="F251" s="56" t="inlineStr">
        <x:is>
          <x:t xml:space="preserve">焊接工艺</x:t>
        </x:is>
      </x:c>
      <x:c r="G251" s="55" t="inlineStr">
        <x:is>
          <x:t xml:space="preserve">无</x:t>
        </x:is>
      </x:c>
      <x:c r="H251" s="55" t="str">
        <x:f>IF(LEN(I251)&lt;15,"短",IF(LEN(I251)&lt;=45,"中","长"))</x:f>
        <x:v>中</x:v>
      </x:c>
      <x:c r="I251" s="56" t="inlineStr">
        <x:is>
          <x:t xml:space="preserve">母材与焊材的匹配须按规范选取，不得随意替代。</x:t>
        </x:is>
      </x:c>
      <x:c r="J251" s="56" t="str">
        <x:f>I251</x:f>
        <x:v>母材与焊材的匹配须按规范选取，不得随意替代。</x:v>
      </x:c>
      <x:c r="K251" s="55" t="inlineStr">
        <x:is>
          <x:t xml:space="preserve">无需改写</x:t>
        </x:is>
      </x:c>
      <x:c r="L251" s="56" t="inlineStr">
        <x:is>
          <x:t xml:space="preserve">母材</x:t>
        </x:is>
      </x:c>
      <x:c r="M251" s="56" t="inlineStr">
        <x:is>
          <x:t xml:space="preserve">材料学术语</x:t>
        </x:is>
      </x:c>
      <x:c r="N251" s="56" t="inlineStr">
        <x:is>
          <x:t xml:space="preserve">基材与焊材的匹配须按规范选取</x:t>
        </x:is>
      </x:c>
      <x:c r="O251" s="55" t="inlineStr">
        <x:is>
          <x:t xml:space="preserve">易</x:t>
        </x:is>
      </x:c>
      <x:c r="P251" s="55" t="inlineStr">
        <x:is>
          <x:t xml:space="preserve">否</x:t>
        </x:is>
      </x:c>
      <x:c r="Q251" s="56" t="n"/>
      <x:c r="R251" s="57" t="inlineStr">
        <x:is>
          <x:t xml:space="preserve">主集</x:t>
        </x:is>
      </x:c>
      <x:c r="S251" s="57" t="inlineStr">
        <x:is>
          <x:t xml:space="preserve">test</x:t>
        </x:is>
      </x:c>
      <x:c r="T251" s="57" t="inlineStr">
        <x:is>
          <x:t xml:space="preserve"/>
        </x:is>
      </x:c>
    </x:row>
    <x:row r="252" s="37" customFormat="1" ht="29.850000381469727" customHeight="1">
      <x:c r="A252" s="55" t="inlineStr">
        <x:is>
          <x:t xml:space="preserve">NEG-0251</x:t>
        </x:is>
      </x:c>
      <x:c r="B252" s="55" t="inlineStr">
        <x:is>
          <x:t xml:space="preserve">v3</x:t>
        </x:is>
      </x:c>
      <x:c r="C252" s="56" t="inlineStr">
        <x:is>
          <x:t xml:space="preserve">九、假触发词（形似而非）</x:t>
        </x:is>
      </x:c>
      <x:c r="D252" s="56" t="inlineStr">
        <x:is>
          <x:t xml:space="preserve">9.1 建筑与工程构件</x:t>
        </x:is>
      </x:c>
      <x:c r="E252" s="56" t="inlineStr">
        <x:is>
          <x:t xml:space="preserve">工程与技术</x:t>
        </x:is>
      </x:c>
      <x:c r="F252" s="56" t="inlineStr">
        <x:is>
          <x:t xml:space="preserve">模具车间</x:t>
        </x:is>
      </x:c>
      <x:c r="G252" s="55" t="inlineStr">
        <x:is>
          <x:t xml:space="preserve">无</x:t>
        </x:is>
      </x:c>
      <x:c r="H252" s="55" t="str">
        <x:f>IF(LEN(I252)&lt;15,"短",IF(LEN(I252)&lt;=45,"中","长"))</x:f>
        <x:v>中</x:v>
      </x:c>
      <x:c r="I252" s="56" t="inlineStr">
        <x:is>
          <x:t xml:space="preserve">这套模板的公模和母模都得重新开。</x:t>
        </x:is>
      </x:c>
      <x:c r="J252" s="56" t="str">
        <x:f>I252</x:f>
        <x:v>这套模板的公模和母模都得重新开。</x:v>
      </x:c>
      <x:c r="K252" s="55" t="inlineStr">
        <x:is>
          <x:t xml:space="preserve">无需改写</x:t>
        </x:is>
      </x:c>
      <x:c r="L252" s="56" t="inlineStr">
        <x:is>
          <x:t xml:space="preserve">公模/母模</x:t>
        </x:is>
      </x:c>
      <x:c r="M252" s="56" t="inlineStr">
        <x:is>
          <x:t xml:space="preserve">模具术语</x:t>
        </x:is>
      </x:c>
      <x:c r="N252" s="56" t="inlineStr">
        <x:is>
          <x:t xml:space="preserve">这套模板的正反模都得重新开</x:t>
        </x:is>
      </x:c>
      <x:c r="O252" s="55" t="inlineStr">
        <x:is>
          <x:t xml:space="preserve">易</x:t>
        </x:is>
      </x:c>
      <x:c r="P252" s="55" t="inlineStr">
        <x:is>
          <x:t xml:space="preserve">否</x:t>
        </x:is>
      </x:c>
      <x:c r="Q252" s="56" t="n"/>
      <x:c r="R252" s="57" t="inlineStr">
        <x:is>
          <x:t xml:space="preserve">主集</x:t>
        </x:is>
      </x:c>
      <x:c r="S252" s="57" t="inlineStr">
        <x:is>
          <x:t xml:space="preserve">index</x:t>
        </x:is>
      </x:c>
      <x:c r="T252" s="57" t="inlineStr">
        <x:is>
          <x:t xml:space="preserve"/>
        </x:is>
      </x:c>
    </x:row>
    <x:row r="253" s="37" customFormat="1" ht="29.850000381469727" customHeight="1">
      <x:c r="A253" s="55" t="inlineStr">
        <x:is>
          <x:t xml:space="preserve">NEG-0252</x:t>
        </x:is>
      </x:c>
      <x:c r="B253" s="55" t="inlineStr">
        <x:is>
          <x:t xml:space="preserve">v3</x:t>
        </x:is>
      </x:c>
      <x:c r="C253" s="56" t="inlineStr">
        <x:is>
          <x:t xml:space="preserve">九、假触发词（形似而非）</x:t>
        </x:is>
      </x:c>
      <x:c r="D253" s="56" t="inlineStr">
        <x:is>
          <x:t xml:space="preserve">9.1 建筑与工程构件</x:t>
        </x:is>
      </x:c>
      <x:c r="E253" s="56" t="inlineStr">
        <x:is>
          <x:t xml:space="preserve">工程与技术</x:t>
        </x:is>
      </x:c>
      <x:c r="F253" s="56" t="inlineStr">
        <x:is>
          <x:t xml:space="preserve">装修口语</x:t>
        </x:is>
      </x:c>
      <x:c r="G253" s="55" t="inlineStr">
        <x:is>
          <x:t xml:space="preserve">无</x:t>
        </x:is>
      </x:c>
      <x:c r="H253" s="55" t="str">
        <x:f>IF(LEN(I253)&lt;15,"短",IF(LEN(I253)&lt;=45,"中","长"))</x:f>
        <x:v>中</x:v>
      </x:c>
      <x:c r="I253" s="56" t="inlineStr">
        <x:is>
          <x:t xml:space="preserve">楼梯扶手上的子母扣松了，得重新压一下。</x:t>
        </x:is>
      </x:c>
      <x:c r="J253" s="56" t="str">
        <x:f>I253</x:f>
        <x:v>楼梯扶手上的子母扣松了，得重新压一下。</x:v>
      </x:c>
      <x:c r="K253" s="55" t="inlineStr">
        <x:is>
          <x:t xml:space="preserve">无需改写</x:t>
        </x:is>
      </x:c>
      <x:c r="L253" s="56" t="inlineStr">
        <x:is>
          <x:t xml:space="preserve">子母扣</x:t>
        </x:is>
      </x:c>
      <x:c r="M253" s="56" t="inlineStr">
        <x:is>
          <x:t xml:space="preserve">五金件名称</x:t>
        </x:is>
      </x:c>
      <x:c r="N253" s="56" t="inlineStr">
        <x:is>
          <x:t xml:space="preserve">楼梯扶手上的卡扣松了</x:t>
        </x:is>
      </x:c>
      <x:c r="O253" s="55" t="inlineStr">
        <x:is>
          <x:t xml:space="preserve">易</x:t>
        </x:is>
      </x:c>
      <x:c r="P253" s="55" t="inlineStr">
        <x:is>
          <x:t xml:space="preserve">否</x:t>
        </x:is>
      </x:c>
      <x:c r="Q253" s="56" t="n"/>
      <x:c r="R253" s="57" t="inlineStr">
        <x:is>
          <x:t xml:space="preserve">主集</x:t>
        </x:is>
      </x:c>
      <x:c r="S253" s="57" t="inlineStr">
        <x:is>
          <x:t xml:space="preserve">test</x:t>
        </x:is>
      </x:c>
      <x:c r="T253" s="57" t="inlineStr">
        <x:is>
          <x:t xml:space="preserve"/>
        </x:is>
      </x:c>
    </x:row>
    <x:row r="254" s="37" customFormat="1" ht="29.850000381469727" customHeight="1">
      <x:c r="A254" s="58" t="inlineStr">
        <x:is>
          <x:t xml:space="preserve">NEG-0253</x:t>
        </x:is>
      </x:c>
      <x:c r="B254" s="58" t="inlineStr">
        <x:is>
          <x:t xml:space="preserve">v3</x:t>
        </x:is>
      </x:c>
      <x:c r="C254" s="59" t="inlineStr">
        <x:is>
          <x:t xml:space="preserve">九、假触发词（形似而非）</x:t>
        </x:is>
      </x:c>
      <x:c r="D254" s="59" t="inlineStr">
        <x:is>
          <x:t xml:space="preserve">9.1 建筑与工程构件</x:t>
        </x:is>
      </x:c>
      <x:c r="E254" s="59" t="inlineStr">
        <x:is>
          <x:t xml:space="preserve">工程与技术</x:t>
        </x:is>
      </x:c>
      <x:c r="F254" s="59" t="inlineStr">
        <x:is>
          <x:t xml:space="preserve">验收记录</x:t>
        </x:is>
      </x:c>
      <x:c r="G254" s="58" t="inlineStr">
        <x:is>
          <x:t xml:space="preserve">无</x:t>
        </x:is>
      </x:c>
      <x:c r="H254" s="58" t="str">
        <x:f>IF(LEN(I254)&lt;15,"短",IF(LEN(I254)&lt;=45,"中","长"))</x:f>
        <x:v>中</x:v>
      </x:c>
      <x:c r="I254" s="59" t="inlineStr">
        <x:is>
          <x:t xml:space="preserve">阳角护条安装不牢，验收未通过。</x:t>
        </x:is>
      </x:c>
      <x:c r="J254" s="59" t="str">
        <x:f>I254</x:f>
        <x:v>阳角护条安装不牢，验收未通过。</x:v>
      </x:c>
      <x:c r="K254" s="58" t="inlineStr">
        <x:is>
          <x:t xml:space="preserve">无需改写</x:t>
        </x:is>
      </x:c>
      <x:c r="L254" s="59" t="inlineStr">
        <x:is>
          <x:t xml:space="preserve">阳角</x:t>
        </x:is>
      </x:c>
      <x:c r="M254" s="59" t="inlineStr">
        <x:is>
          <x:t xml:space="preserve">工程术语</x:t>
        </x:is>
      </x:c>
      <x:c r="N254" s="59" t="inlineStr">
        <x:is>
          <x:t xml:space="preserve">转角护条安装不牢</x:t>
        </x:is>
      </x:c>
      <x:c r="O254" s="58" t="inlineStr">
        <x:is>
          <x:t xml:space="preserve">易</x:t>
        </x:is>
      </x:c>
      <x:c r="P254" s="58" t="inlineStr">
        <x:is>
          <x:t xml:space="preserve">否</x:t>
        </x:is>
      </x:c>
      <x:c r="Q254" s="59" t="n"/>
      <x:c r="R254" s="60" t="inlineStr">
        <x:is>
          <x:t xml:space="preserve">隔离·待确认</x:t>
        </x:is>
      </x:c>
      <x:c r="S254" s="60" t="inlineStr">
        <x:is>
          <x:t xml:space="preserve"/>
        </x:is>
      </x:c>
      <x:c r="T254" s="60" t="inlineStr">
        <x:is>
          <x:t xml:space="preserve">触发词不含性别编码——判断可能依赖世界知识而非句内信息</x:t>
        </x:is>
      </x:c>
    </x:row>
    <x:row r="255" s="37" customFormat="1" ht="29.850000381469727" customHeight="1">
      <x:c r="A255" s="55" t="inlineStr">
        <x:is>
          <x:t xml:space="preserve">NEG-0254</x:t>
        </x:is>
      </x:c>
      <x:c r="B255" s="55" t="inlineStr">
        <x:is>
          <x:t xml:space="preserve">v3</x:t>
        </x:is>
      </x:c>
      <x:c r="C255" s="56" t="inlineStr">
        <x:is>
          <x:t xml:space="preserve">九、假触发词（形似而非）</x:t>
        </x:is>
      </x:c>
      <x:c r="D255" s="56" t="inlineStr">
        <x:is>
          <x:t xml:space="preserve">9.2 机械电气与器件</x:t>
        </x:is>
      </x:c>
      <x:c r="E255" s="56" t="inlineStr">
        <x:is>
          <x:t xml:space="preserve">工程与技术</x:t>
        </x:is>
      </x:c>
      <x:c r="F255" s="56" t="inlineStr">
        <x:is>
          <x:t xml:space="preserve">运维工单</x:t>
        </x:is>
      </x:c>
      <x:c r="G255" s="55" t="inlineStr">
        <x:is>
          <x:t xml:space="preserve">无</x:t>
        </x:is>
      </x:c>
      <x:c r="H255" s="55" t="str">
        <x:f>IF(LEN(I255)&lt;15,"短",IF(LEN(I255)&lt;=45,"中","长"))</x:f>
        <x:v>中</x:v>
      </x:c>
      <x:c r="I255" s="56" t="inlineStr">
        <x:is>
          <x:t xml:space="preserve">配电柜里的母线排需要重新压接。</x:t>
        </x:is>
      </x:c>
      <x:c r="J255" s="56" t="str">
        <x:f>I255</x:f>
        <x:v>配电柜里的母线排需要重新压接。</x:v>
      </x:c>
      <x:c r="K255" s="55" t="inlineStr">
        <x:is>
          <x:t xml:space="preserve">无需改写</x:t>
        </x:is>
      </x:c>
      <x:c r="L255" s="56" t="inlineStr">
        <x:is>
          <x:t xml:space="preserve">母线排</x:t>
        </x:is>
      </x:c>
      <x:c r="M255" s="56" t="inlineStr">
        <x:is>
          <x:t xml:space="preserve">电气元件名称</x:t>
        </x:is>
      </x:c>
      <x:c r="N255" s="56" t="inlineStr">
        <x:is>
          <x:t xml:space="preserve">配电柜里的汇流排需要重新压接</x:t>
        </x:is>
      </x:c>
      <x:c r="O255" s="55" t="inlineStr">
        <x:is>
          <x:t xml:space="preserve">易</x:t>
        </x:is>
      </x:c>
      <x:c r="P255" s="55" t="inlineStr">
        <x:is>
          <x:t xml:space="preserve">否</x:t>
        </x:is>
      </x:c>
      <x:c r="Q255" s="56" t="n"/>
      <x:c r="R255" s="57" t="inlineStr">
        <x:is>
          <x:t xml:space="preserve">主集</x:t>
        </x:is>
      </x:c>
      <x:c r="S255" s="57" t="inlineStr">
        <x:is>
          <x:t xml:space="preserve">index</x:t>
        </x:is>
      </x:c>
      <x:c r="T255" s="57" t="inlineStr">
        <x:is>
          <x:t xml:space="preserve"/>
        </x:is>
      </x:c>
    </x:row>
    <x:row r="256" s="37" customFormat="1" ht="29.850000381469727" customHeight="1">
      <x:c r="A256" s="55" t="inlineStr">
        <x:is>
          <x:t xml:space="preserve">NEG-0255</x:t>
        </x:is>
      </x:c>
      <x:c r="B256" s="55" t="inlineStr">
        <x:is>
          <x:t xml:space="preserve">v3</x:t>
        </x:is>
      </x:c>
      <x:c r="C256" s="56" t="inlineStr">
        <x:is>
          <x:t xml:space="preserve">九、假触发词（形似而非）</x:t>
        </x:is>
      </x:c>
      <x:c r="D256" s="56" t="inlineStr">
        <x:is>
          <x:t xml:space="preserve">9.2 机械电气与器件</x:t>
        </x:is>
      </x:c>
      <x:c r="E256" s="56" t="inlineStr">
        <x:is>
          <x:t xml:space="preserve">工程与技术</x:t>
        </x:is>
      </x:c>
      <x:c r="F256" s="56" t="inlineStr">
        <x:is>
          <x:t xml:space="preserve">技术口语</x:t>
        </x:is>
      </x:c>
      <x:c r="G256" s="55" t="inlineStr">
        <x:is>
          <x:t xml:space="preserve">无</x:t>
        </x:is>
      </x:c>
      <x:c r="H256" s="55" t="str">
        <x:f>IF(LEN(I256)&lt;15,"短",IF(LEN(I256)&lt;=45,"中","长"))</x:f>
        <x:v>中</x:v>
      </x:c>
      <x:c r="I256" s="56" t="inlineStr">
        <x:is>
          <x:t xml:space="preserve">网线水晶头分公头母头，别插反了。</x:t>
        </x:is>
      </x:c>
      <x:c r="J256" s="56" t="str">
        <x:f>I256</x:f>
        <x:v>网线水晶头分公头母头，别插反了。</x:v>
      </x:c>
      <x:c r="K256" s="55" t="inlineStr">
        <x:is>
          <x:t xml:space="preserve">无需改写</x:t>
        </x:is>
      </x:c>
      <x:c r="L256" s="56" t="inlineStr">
        <x:is>
          <x:t xml:space="preserve">公头/母头</x:t>
        </x:is>
      </x:c>
      <x:c r="M256" s="56" t="inlineStr">
        <x:is>
          <x:t xml:space="preserve">接插件术语</x:t>
        </x:is>
      </x:c>
      <x:c r="N256" s="56" t="inlineStr">
        <x:is>
          <x:t xml:space="preserve">网线水晶头分两种接口，别插反了</x:t>
        </x:is>
      </x:c>
      <x:c r="O256" s="55" t="inlineStr">
        <x:is>
          <x:t xml:space="preserve">易</x:t>
        </x:is>
      </x:c>
      <x:c r="P256" s="55" t="inlineStr">
        <x:is>
          <x:t xml:space="preserve">否</x:t>
        </x:is>
      </x:c>
      <x:c r="Q256" s="56" t="n"/>
      <x:c r="R256" s="57" t="inlineStr">
        <x:is>
          <x:t xml:space="preserve">主集</x:t>
        </x:is>
      </x:c>
      <x:c r="S256" s="57" t="inlineStr">
        <x:is>
          <x:t xml:space="preserve">index</x:t>
        </x:is>
      </x:c>
      <x:c r="T256" s="57" t="inlineStr">
        <x:is>
          <x:t xml:space="preserve"/>
        </x:is>
      </x:c>
    </x:row>
    <x:row r="257" s="37" customFormat="1" ht="29.850000381469727" customHeight="1">
      <x:c r="A257" s="55" t="inlineStr">
        <x:is>
          <x:t xml:space="preserve">NEG-0256</x:t>
        </x:is>
      </x:c>
      <x:c r="B257" s="55" t="inlineStr">
        <x:is>
          <x:t xml:space="preserve">v3</x:t>
        </x:is>
      </x:c>
      <x:c r="C257" s="56" t="inlineStr">
        <x:is>
          <x:t xml:space="preserve">九、假触发词（形似而非）</x:t>
        </x:is>
      </x:c>
      <x:c r="D257" s="56" t="inlineStr">
        <x:is>
          <x:t xml:space="preserve">9.2 机械电气与器件</x:t>
        </x:is>
      </x:c>
      <x:c r="E257" s="56" t="inlineStr">
        <x:is>
          <x:t xml:space="preserve">工程与技术</x:t>
        </x:is>
      </x:c>
      <x:c r="F257" s="56" t="inlineStr">
        <x:is>
          <x:t xml:space="preserve">维修单</x:t>
        </x:is>
      </x:c>
      <x:c r="G257" s="55" t="inlineStr">
        <x:is>
          <x:t xml:space="preserve">无</x:t>
        </x:is>
      </x:c>
      <x:c r="H257" s="55" t="str">
        <x:f>IF(LEN(I257)&lt;15,"短",IF(LEN(I257)&lt;=45,"中","长"))</x:f>
        <x:v>中</x:v>
      </x:c>
      <x:c r="I257" s="56" t="inlineStr">
        <x:is>
          <x:t xml:space="preserve">这块母板上的电容已经鼓包，建议整体更换。</x:t>
        </x:is>
      </x:c>
      <x:c r="J257" s="56" t="str">
        <x:f>I257</x:f>
        <x:v>这块母板上的电容已经鼓包，建议整体更换。</x:v>
      </x:c>
      <x:c r="K257" s="55" t="inlineStr">
        <x:is>
          <x:t xml:space="preserve">无需改写</x:t>
        </x:is>
      </x:c>
      <x:c r="L257" s="56" t="inlineStr">
        <x:is>
          <x:t xml:space="preserve">母板</x:t>
        </x:is>
      </x:c>
      <x:c r="M257" s="56" t="inlineStr">
        <x:is>
          <x:t xml:space="preserve">电子元件名称</x:t>
        </x:is>
      </x:c>
      <x:c r="N257" s="56" t="inlineStr">
        <x:is>
          <x:t xml:space="preserve">这块主板上的电容已经鼓包</x:t>
        </x:is>
      </x:c>
      <x:c r="O257" s="55" t="inlineStr">
        <x:is>
          <x:t xml:space="preserve">易</x:t>
        </x:is>
      </x:c>
      <x:c r="P257" s="55" t="inlineStr">
        <x:is>
          <x:t xml:space="preserve">否</x:t>
        </x:is>
      </x:c>
      <x:c r="Q257" s="56" t="inlineStr">
        <x:is>
          <x:t xml:space="preserve">母板/主板虽可互换，但改写属超出授权的术语替换</x:t>
        </x:is>
      </x:c>
      <x:c r="R257" s="57" t="inlineStr">
        <x:is>
          <x:t xml:space="preserve">主集</x:t>
        </x:is>
      </x:c>
      <x:c r="S257" s="57" t="inlineStr">
        <x:is>
          <x:t xml:space="preserve">test</x:t>
        </x:is>
      </x:c>
      <x:c r="T257" s="57" t="inlineStr">
        <x:is>
          <x:t xml:space="preserve"/>
        </x:is>
      </x:c>
    </x:row>
    <x:row r="258" s="37" customFormat="1" ht="29.850000381469727" customHeight="1">
      <x:c r="A258" s="58" t="inlineStr">
        <x:is>
          <x:t xml:space="preserve">NEG-0257</x:t>
        </x:is>
      </x:c>
      <x:c r="B258" s="58" t="inlineStr">
        <x:is>
          <x:t xml:space="preserve">v3</x:t>
        </x:is>
      </x:c>
      <x:c r="C258" s="59" t="inlineStr">
        <x:is>
          <x:t xml:space="preserve">九、假触发词（形似而非）</x:t>
        </x:is>
      </x:c>
      <x:c r="D258" s="59" t="inlineStr">
        <x:is>
          <x:t xml:space="preserve">9.2 机械电气与器件</x:t>
        </x:is>
      </x:c>
      <x:c r="E258" s="59" t="inlineStr">
        <x:is>
          <x:t xml:space="preserve">工程与技术</x:t>
        </x:is>
      </x:c>
      <x:c r="F258" s="59" t="inlineStr">
        <x:is>
          <x:t xml:space="preserve">采购说明</x:t>
        </x:is>
      </x:c>
      <x:c r="G258" s="58" t="inlineStr">
        <x:is>
          <x:t xml:space="preserve">无</x:t>
        </x:is>
      </x:c>
      <x:c r="H258" s="58" t="str">
        <x:f>IF(LEN(I258)&lt;15,"短",IF(LEN(I258)&lt;=45,"中","长"))</x:f>
        <x:v>中</x:v>
      </x:c>
      <x:c r="I258" s="59" t="inlineStr">
        <x:is>
          <x:t xml:space="preserve">螺纹分公制和英制两种，下单前请确认。</x:t>
        </x:is>
      </x:c>
      <x:c r="J258" s="59" t="str">
        <x:f>I258</x:f>
        <x:v>螺纹分公制和英制两种，下单前请确认。</x:v>
      </x:c>
      <x:c r="K258" s="58" t="inlineStr">
        <x:is>
          <x:t xml:space="preserve">无需改写</x:t>
        </x:is>
      </x:c>
      <x:c r="L258" s="59" t="inlineStr">
        <x:is>
          <x:t xml:space="preserve">公制</x:t>
        </x:is>
      </x:c>
      <x:c r="M258" s="59" t="inlineStr">
        <x:is>
          <x:t xml:space="preserve">计量制式名称</x:t>
        </x:is>
      </x:c>
      <x:c r="N258" s="59" t="inlineStr">
        <x:is>
          <x:t xml:space="preserve">螺纹分两种标准，下单前请确认</x:t>
        </x:is>
      </x:c>
      <x:c r="O258" s="58" t="inlineStr">
        <x:is>
          <x:t xml:space="preserve">易</x:t>
        </x:is>
      </x:c>
      <x:c r="P258" s="58" t="inlineStr">
        <x:is>
          <x:t xml:space="preserve">否</x:t>
        </x:is>
      </x:c>
      <x:c r="Q258" s="59" t="n"/>
      <x:c r="R258" s="60" t="inlineStr">
        <x:is>
          <x:t xml:space="preserve">隔离·待确认</x:t>
        </x:is>
      </x:c>
      <x:c r="S258" s="60" t="inlineStr">
        <x:is>
          <x:t xml:space="preserve"/>
        </x:is>
      </x:c>
      <x:c r="T258" s="60" t="inlineStr">
        <x:is>
          <x:t xml:space="preserve">触发词不含性别编码——判断可能依赖世界知识而非句内信息</x:t>
        </x:is>
      </x:c>
    </x:row>
    <x:row r="259" s="37" customFormat="1" ht="29.850000381469727" customHeight="1">
      <x:c r="A259" s="58" t="inlineStr">
        <x:is>
          <x:t xml:space="preserve">NEG-0258</x:t>
        </x:is>
      </x:c>
      <x:c r="B259" s="58" t="inlineStr">
        <x:is>
          <x:t xml:space="preserve">v3</x:t>
        </x:is>
      </x:c>
      <x:c r="C259" s="59" t="inlineStr">
        <x:is>
          <x:t xml:space="preserve">九、假触发词（形似而非）</x:t>
        </x:is>
      </x:c>
      <x:c r="D259" s="59" t="inlineStr">
        <x:is>
          <x:t xml:space="preserve">9.2 机械电气与器件</x:t>
        </x:is>
      </x:c>
      <x:c r="E259" s="59" t="inlineStr">
        <x:is>
          <x:t xml:space="preserve">工程与技术</x:t>
        </x:is>
      </x:c>
      <x:c r="F259" s="59" t="inlineStr">
        <x:is>
          <x:t xml:space="preserve">工艺文件</x:t>
        </x:is>
      </x:c>
      <x:c r="G259" s="58" t="inlineStr">
        <x:is>
          <x:t xml:space="preserve">无</x:t>
        </x:is>
      </x:c>
      <x:c r="H259" s="58" t="str">
        <x:f>IF(LEN(I259)&lt;15,"短",IF(LEN(I259)&lt;=45,"中","长"))</x:f>
        <x:v>中</x:v>
      </x:c>
      <x:c r="I259" s="59" t="inlineStr">
        <x:is>
          <x:t xml:space="preserve">公差配合按 H7/g6 选取，超差件一律返工。</x:t>
        </x:is>
      </x:c>
      <x:c r="J259" s="59" t="str">
        <x:f>I259</x:f>
        <x:v>公差配合按 H7/g6 选取，超差件一律返工。</x:v>
      </x:c>
      <x:c r="K259" s="58" t="inlineStr">
        <x:is>
          <x:t xml:space="preserve">无需改写</x:t>
        </x:is>
      </x:c>
      <x:c r="L259" s="59" t="inlineStr">
        <x:is>
          <x:t xml:space="preserve">公差</x:t>
        </x:is>
      </x:c>
      <x:c r="M259" s="59" t="inlineStr">
        <x:is>
          <x:t xml:space="preserve">机械制图术语</x:t>
        </x:is>
      </x:c>
      <x:c r="N259" s="59" t="inlineStr">
        <x:is>
          <x:t xml:space="preserve">配合间隙按 H7/g6 选取</x:t>
        </x:is>
      </x:c>
      <x:c r="O259" s="58" t="inlineStr">
        <x:is>
          <x:t xml:space="preserve">易</x:t>
        </x:is>
      </x:c>
      <x:c r="P259" s="58" t="inlineStr">
        <x:is>
          <x:t xml:space="preserve">否</x:t>
        </x:is>
      </x:c>
      <x:c r="Q259" s="59" t="n"/>
      <x:c r="R259" s="60" t="inlineStr">
        <x:is>
          <x:t xml:space="preserve">隔离·待确认</x:t>
        </x:is>
      </x:c>
      <x:c r="S259" s="60" t="inlineStr">
        <x:is>
          <x:t xml:space="preserve"/>
        </x:is>
      </x:c>
      <x:c r="T259" s="60" t="inlineStr">
        <x:is>
          <x:t xml:space="preserve">触发词不含性别编码——判断可能依赖世界知识而非句内信息</x:t>
        </x:is>
      </x:c>
    </x:row>
    <x:row r="260" s="37" customFormat="1" ht="29.850000381469727" customHeight="1">
      <x:c r="A260" s="58" t="inlineStr">
        <x:is>
          <x:t xml:space="preserve">NEG-0259</x:t>
        </x:is>
      </x:c>
      <x:c r="B260" s="58" t="inlineStr">
        <x:is>
          <x:t xml:space="preserve">v3</x:t>
        </x:is>
      </x:c>
      <x:c r="C260" s="59" t="inlineStr">
        <x:is>
          <x:t xml:space="preserve">九、假触发词（形似而非）</x:t>
        </x:is>
      </x:c>
      <x:c r="D260" s="59" t="inlineStr">
        <x:is>
          <x:t xml:space="preserve">9.2 机械电气与器件</x:t>
        </x:is>
      </x:c>
      <x:c r="E260" s="59" t="inlineStr">
        <x:is>
          <x:t xml:space="preserve">工程与技术</x:t>
        </x:is>
      </x:c>
      <x:c r="F260" s="59" t="inlineStr">
        <x:is>
          <x:t xml:space="preserve">检测报告</x:t>
        </x:is>
      </x:c>
      <x:c r="G260" s="58" t="inlineStr">
        <x:is>
          <x:t xml:space="preserve">无</x:t>
        </x:is>
      </x:c>
      <x:c r="H260" s="58" t="str">
        <x:f>IF(LEN(I260)&lt;15,"短",IF(LEN(I260)&lt;=45,"中","长"))</x:f>
        <x:v>中</x:v>
      </x:c>
      <x:c r="I260" s="59" t="inlineStr">
        <x:is>
          <x:t xml:space="preserve">阴极保护系统每季度检测一次，记录留存三年。</x:t>
        </x:is>
      </x:c>
      <x:c r="J260" s="59" t="str">
        <x:f>I260</x:f>
        <x:v>阴极保护系统每季度检测一次，记录留存三年。</x:v>
      </x:c>
      <x:c r="K260" s="58" t="inlineStr">
        <x:is>
          <x:t xml:space="preserve">无需改写</x:t>
        </x:is>
      </x:c>
      <x:c r="L260" s="59" t="inlineStr">
        <x:is>
          <x:t xml:space="preserve">阴极</x:t>
        </x:is>
      </x:c>
      <x:c r="M260" s="59" t="inlineStr">
        <x:is>
          <x:t xml:space="preserve">电化学术语</x:t>
        </x:is>
      </x:c>
      <x:c r="N260" s="59" t="inlineStr">
        <x:is>
          <x:t xml:space="preserve">防腐保护系统每季度检测一次</x:t>
        </x:is>
      </x:c>
      <x:c r="O260" s="58" t="inlineStr">
        <x:is>
          <x:t xml:space="preserve">易</x:t>
        </x:is>
      </x:c>
      <x:c r="P260" s="58" t="inlineStr">
        <x:is>
          <x:t xml:space="preserve">否</x:t>
        </x:is>
      </x:c>
      <x:c r="Q260" s="59" t="n"/>
      <x:c r="R260" s="60" t="inlineStr">
        <x:is>
          <x:t xml:space="preserve">隔离·待确认</x:t>
        </x:is>
      </x:c>
      <x:c r="S260" s="60" t="inlineStr">
        <x:is>
          <x:t xml:space="preserve"/>
        </x:is>
      </x:c>
      <x:c r="T260" s="60" t="inlineStr">
        <x:is>
          <x:t xml:space="preserve">触发词不含性别编码——判断可能依赖世界知识而非句内信息</x:t>
        </x:is>
      </x:c>
    </x:row>
    <x:row r="261" s="37" customFormat="1" ht="29.850000381469727" customHeight="1">
      <x:c r="A261" s="58" t="inlineStr">
        <x:is>
          <x:t xml:space="preserve">NEG-0260</x:t>
        </x:is>
      </x:c>
      <x:c r="B261" s="58" t="inlineStr">
        <x:is>
          <x:t xml:space="preserve">v3</x:t>
        </x:is>
      </x:c>
      <x:c r="C261" s="59" t="inlineStr">
        <x:is>
          <x:t xml:space="preserve">九、假触发词（形似而非）</x:t>
        </x:is>
      </x:c>
      <x:c r="D261" s="59" t="inlineStr">
        <x:is>
          <x:t xml:space="preserve">9.2 机械电气与器件</x:t>
        </x:is>
      </x:c>
      <x:c r="E261" s="59" t="inlineStr">
        <x:is>
          <x:t xml:space="preserve">工程与技术</x:t>
        </x:is>
      </x:c>
      <x:c r="F261" s="59" t="inlineStr">
        <x:is>
          <x:t xml:space="preserve">表面处理</x:t>
        </x:is>
      </x:c>
      <x:c r="G261" s="58" t="inlineStr">
        <x:is>
          <x:t xml:space="preserve">无</x:t>
        </x:is>
      </x:c>
      <x:c r="H261" s="58" t="str">
        <x:f>IF(LEN(I261)&lt;15,"短",IF(LEN(I261)&lt;=45,"中","长"))</x:f>
        <x:v>中</x:v>
      </x:c>
      <x:c r="I261" s="59" t="inlineStr">
        <x:is>
          <x:t xml:space="preserve">阳极氧化处理后，表面硬度可提高两到三倍。</x:t>
        </x:is>
      </x:c>
      <x:c r="J261" s="59" t="str">
        <x:f>I261</x:f>
        <x:v>阳极氧化处理后，表面硬度可提高两到三倍。</x:v>
      </x:c>
      <x:c r="K261" s="58" t="inlineStr">
        <x:is>
          <x:t xml:space="preserve">无需改写</x:t>
        </x:is>
      </x:c>
      <x:c r="L261" s="59" t="inlineStr">
        <x:is>
          <x:t xml:space="preserve">阳极</x:t>
        </x:is>
      </x:c>
      <x:c r="M261" s="59" t="inlineStr">
        <x:is>
          <x:t xml:space="preserve">工艺名称</x:t>
        </x:is>
      </x:c>
      <x:c r="N261" s="59" t="inlineStr">
        <x:is>
          <x:t xml:space="preserve">氧化处理后，表面硬度可提高两到三倍</x:t>
        </x:is>
      </x:c>
      <x:c r="O261" s="58" t="inlineStr">
        <x:is>
          <x:t xml:space="preserve">易</x:t>
        </x:is>
      </x:c>
      <x:c r="P261" s="58" t="inlineStr">
        <x:is>
          <x:t xml:space="preserve">否</x:t>
        </x:is>
      </x:c>
      <x:c r="Q261" s="59" t="n"/>
      <x:c r="R261" s="60" t="inlineStr">
        <x:is>
          <x:t xml:space="preserve">隔离·待确认</x:t>
        </x:is>
      </x:c>
      <x:c r="S261" s="60" t="inlineStr">
        <x:is>
          <x:t xml:space="preserve"/>
        </x:is>
      </x:c>
      <x:c r="T261" s="60" t="inlineStr">
        <x:is>
          <x:t xml:space="preserve">触发词不含性别编码——判断可能依赖世界知识而非句内信息</x:t>
        </x:is>
      </x:c>
    </x:row>
    <x:row r="262" s="37" customFormat="1" ht="29.850000381469727" customHeight="1">
      <x:c r="A262" s="55" t="inlineStr">
        <x:is>
          <x:t xml:space="preserve">NEG-0261</x:t>
        </x:is>
      </x:c>
      <x:c r="B262" s="55" t="inlineStr">
        <x:is>
          <x:t xml:space="preserve">v3</x:t>
        </x:is>
      </x:c>
      <x:c r="C262" s="56" t="inlineStr">
        <x:is>
          <x:t xml:space="preserve">九、假触发词（形似而非）</x:t>
        </x:is>
      </x:c>
      <x:c r="D262" s="56" t="inlineStr">
        <x:is>
          <x:t xml:space="preserve">9.2 机械电气与器件</x:t>
        </x:is>
      </x:c>
      <x:c r="E262" s="56" t="inlineStr">
        <x:is>
          <x:t xml:space="preserve">工程与技术</x:t>
        </x:is>
      </x:c>
      <x:c r="F262" s="56" t="inlineStr">
        <x:is>
          <x:t xml:space="preserve">设备说明</x:t>
        </x:is>
      </x:c>
      <x:c r="G262" s="55" t="inlineStr">
        <x:is>
          <x:t xml:space="preserve">无</x:t>
        </x:is>
      </x:c>
      <x:c r="H262" s="55" t="str">
        <x:f>IF(LEN(I262)&lt;15,"短",IF(LEN(I262)&lt;=45,"中","长"))</x:f>
        <x:v>中</x:v>
      </x:c>
      <x:c r="I262" s="56" t="inlineStr">
        <x:is>
          <x:t xml:space="preserve">这台设备的子机与母机通过 2.4G 无线配对。</x:t>
        </x:is>
      </x:c>
      <x:c r="J262" s="56" t="str">
        <x:f>I262</x:f>
        <x:v>这台设备的子机与母机通过 2.4G 无线配对。</x:v>
      </x:c>
      <x:c r="K262" s="55" t="inlineStr">
        <x:is>
          <x:t xml:space="preserve">无需改写</x:t>
        </x:is>
      </x:c>
      <x:c r="L262" s="56" t="inlineStr">
        <x:is>
          <x:t xml:space="preserve">子机/母机</x:t>
        </x:is>
      </x:c>
      <x:c r="M262" s="56" t="inlineStr">
        <x:is>
          <x:t xml:space="preserve">设备结构名称</x:t>
        </x:is>
      </x:c>
      <x:c r="N262" s="56" t="inlineStr">
        <x:is>
          <x:t xml:space="preserve">这台设备的分机与主机通过无线配对</x:t>
        </x:is>
      </x:c>
      <x:c r="O262" s="55" t="inlineStr">
        <x:is>
          <x:t xml:space="preserve">易</x:t>
        </x:is>
      </x:c>
      <x:c r="P262" s="55" t="inlineStr">
        <x:is>
          <x:t xml:space="preserve">否</x:t>
        </x:is>
      </x:c>
      <x:c r="Q262" s="56" t="n"/>
      <x:c r="R262" s="57" t="inlineStr">
        <x:is>
          <x:t xml:space="preserve">主集</x:t>
        </x:is>
      </x:c>
      <x:c r="S262" s="57" t="inlineStr">
        <x:is>
          <x:t xml:space="preserve">test</x:t>
        </x:is>
      </x:c>
      <x:c r="T262" s="57" t="inlineStr">
        <x:is>
          <x:t xml:space="preserve"/>
        </x:is>
      </x:c>
    </x:row>
    <x:row r="263" s="37" customFormat="1" ht="29.850000381469727" customHeight="1">
      <x:c r="A263" s="55" t="inlineStr">
        <x:is>
          <x:t xml:space="preserve">NEG-0262</x:t>
        </x:is>
      </x:c>
      <x:c r="B263" s="55" t="inlineStr">
        <x:is>
          <x:t xml:space="preserve">v3</x:t>
        </x:is>
      </x:c>
      <x:c r="C263" s="56" t="inlineStr">
        <x:is>
          <x:t xml:space="preserve">九、假触发词（形似而非）</x:t>
        </x:is>
      </x:c>
      <x:c r="D263" s="56" t="inlineStr">
        <x:is>
          <x:t xml:space="preserve">9.2 机械电气与器件</x:t>
        </x:is>
      </x:c>
      <x:c r="E263" s="56" t="inlineStr">
        <x:is>
          <x:t xml:space="preserve">工程与技术</x:t>
        </x:is>
      </x:c>
      <x:c r="F263" s="56" t="inlineStr">
        <x:is>
          <x:t xml:space="preserve">装配口语</x:t>
        </x:is>
      </x:c>
      <x:c r="G263" s="55" t="inlineStr">
        <x:is>
          <x:t xml:space="preserve">无</x:t>
        </x:is>
      </x:c>
      <x:c r="H263" s="55" t="str">
        <x:f>IF(LEN(I263)&lt;15,"短",IF(LEN(I263)&lt;=45,"中","长"))</x:f>
        <x:v>中</x:v>
      </x:c>
      <x:c r="I263" s="56" t="inlineStr">
        <x:is>
          <x:t xml:space="preserve">这个接口是母口，你得再找根公对公的线。</x:t>
        </x:is>
      </x:c>
      <x:c r="J263" s="56" t="str">
        <x:f>I263</x:f>
        <x:v>这个接口是母口，你得再找根公对公的线。</x:v>
      </x:c>
      <x:c r="K263" s="55" t="inlineStr">
        <x:is>
          <x:t xml:space="preserve">无需改写</x:t>
        </x:is>
      </x:c>
      <x:c r="L263" s="56" t="inlineStr">
        <x:is>
          <x:t xml:space="preserve">母口/公对公</x:t>
        </x:is>
      </x:c>
      <x:c r="M263" s="56" t="inlineStr">
        <x:is>
          <x:t xml:space="preserve">接口类型</x:t>
        </x:is>
      </x:c>
      <x:c r="N263" s="56" t="inlineStr">
        <x:is>
          <x:t xml:space="preserve">这个接口是内插式的，你得再找根双头线</x:t>
        </x:is>
      </x:c>
      <x:c r="O263" s="55" t="inlineStr">
        <x:is>
          <x:t xml:space="preserve">易</x:t>
        </x:is>
      </x:c>
      <x:c r="P263" s="55" t="inlineStr">
        <x:is>
          <x:t xml:space="preserve">否</x:t>
        </x:is>
      </x:c>
      <x:c r="Q263" s="56" t="n"/>
      <x:c r="R263" s="57" t="inlineStr">
        <x:is>
          <x:t xml:space="preserve">主集</x:t>
        </x:is>
      </x:c>
      <x:c r="S263" s="57" t="inlineStr">
        <x:is>
          <x:t xml:space="preserve">test</x:t>
        </x:is>
      </x:c>
      <x:c r="T263" s="57" t="inlineStr">
        <x:is>
          <x:t xml:space="preserve"/>
        </x:is>
      </x:c>
    </x:row>
    <x:row r="264" s="37" customFormat="1" ht="29.850000381469727" customHeight="1">
      <x:c r="A264" s="58" t="inlineStr">
        <x:is>
          <x:t xml:space="preserve">NEG-0263</x:t>
        </x:is>
      </x:c>
      <x:c r="B264" s="58" t="inlineStr">
        <x:is>
          <x:t xml:space="preserve">v3</x:t>
        </x:is>
      </x:c>
      <x:c r="C264" s="59" t="inlineStr">
        <x:is>
          <x:t xml:space="preserve">九、假触发词（形似而非）</x:t>
        </x:is>
      </x:c>
      <x:c r="D264" s="59" t="inlineStr">
        <x:is>
          <x:t xml:space="preserve">9.2 机械电气与器件</x:t>
        </x:is>
      </x:c>
      <x:c r="E264" s="59" t="inlineStr">
        <x:is>
          <x:t xml:space="preserve">工程与技术</x:t>
        </x:is>
      </x:c>
      <x:c r="F264" s="59" t="inlineStr">
        <x:is>
          <x:t xml:space="preserve">质检记录</x:t>
        </x:is>
      </x:c>
      <x:c r="G264" s="58" t="inlineStr">
        <x:is>
          <x:t xml:space="preserve">无</x:t>
        </x:is>
      </x:c>
      <x:c r="H264" s="58" t="str">
        <x:f>IF(LEN(I264)&lt;15,"短",IF(LEN(I264)&lt;=45,"中","长"))</x:f>
        <x:v>中</x:v>
      </x:c>
      <x:c r="I264" s="59" t="inlineStr">
        <x:is>
          <x:t xml:space="preserve">子弹头端子压接不紧，抽检不合格率 3.2%。</x:t>
        </x:is>
      </x:c>
      <x:c r="J264" s="59" t="str">
        <x:f>I264</x:f>
        <x:v>子弹头端子压接不紧，抽检不合格率 3.2%。</x:v>
      </x:c>
      <x:c r="K264" s="58" t="inlineStr">
        <x:is>
          <x:t xml:space="preserve">无需改写</x:t>
        </x:is>
      </x:c>
      <x:c r="L264" s="59" t="inlineStr">
        <x:is>
          <x:t xml:space="preserve">子弹头端子</x:t>
        </x:is>
      </x:c>
      <x:c r="M264" s="59" t="inlineStr">
        <x:is>
          <x:t xml:space="preserve">端子型号名称</x:t>
        </x:is>
      </x:c>
      <x:c r="N264" s="59" t="inlineStr">
        <x:is>
          <x:t xml:space="preserve">圆头端子压接不紧</x:t>
        </x:is>
      </x:c>
      <x:c r="O264" s="58" t="inlineStr">
        <x:is>
          <x:t xml:space="preserve">易</x:t>
        </x:is>
      </x:c>
      <x:c r="P264" s="58" t="inlineStr">
        <x:is>
          <x:t xml:space="preserve">否</x:t>
        </x:is>
      </x:c>
      <x:c r="Q264" s="59" t="n"/>
      <x:c r="R264" s="60" t="inlineStr">
        <x:is>
          <x:t xml:space="preserve">隔离·待确认</x:t>
        </x:is>
      </x:c>
      <x:c r="S264" s="60" t="inlineStr">
        <x:is>
          <x:t xml:space="preserve"/>
        </x:is>
      </x:c>
      <x:c r="T264" s="60" t="inlineStr">
        <x:is>
          <x:t xml:space="preserve">触发词不含性别编码——判断可能依赖世界知识而非句内信息</x:t>
        </x:is>
      </x:c>
    </x:row>
    <x:row r="265" s="37" customFormat="1" ht="29.850000381469727" customHeight="1">
      <x:c r="A265" s="55" t="inlineStr">
        <x:is>
          <x:t xml:space="preserve">NEG-0264</x:t>
        </x:is>
      </x:c>
      <x:c r="B265" s="55" t="inlineStr">
        <x:is>
          <x:t xml:space="preserve">v3</x:t>
        </x:is>
      </x:c>
      <x:c r="C265" s="56" t="inlineStr">
        <x:is>
          <x:t xml:space="preserve">九、假触发词（形似而非）</x:t>
        </x:is>
      </x:c>
      <x:c r="D265" s="56" t="inlineStr">
        <x:is>
          <x:t xml:space="preserve">9.3 生物农业与育种</x:t>
        </x:is>
      </x:c>
      <x:c r="E265" s="56" t="inlineStr">
        <x:is>
          <x:t xml:space="preserve">工程与技术</x:t>
        </x:is>
      </x:c>
      <x:c r="F265" s="56" t="inlineStr">
        <x:is>
          <x:t xml:space="preserve">农技指导</x:t>
        </x:is>
      </x:c>
      <x:c r="G265" s="55" t="inlineStr">
        <x:is>
          <x:t xml:space="preserve">无</x:t>
        </x:is>
      </x:c>
      <x:c r="H265" s="55" t="str">
        <x:f>IF(LEN(I265)&lt;15,"短",IF(LEN(I265)&lt;=45,"中","长"))</x:f>
        <x:v>中</x:v>
      </x:c>
      <x:c r="I265" s="56" t="inlineStr">
        <x:is>
          <x:t xml:space="preserve">这个杂交组合父本抗病性好，母本产量高。</x:t>
        </x:is>
      </x:c>
      <x:c r="J265" s="56" t="str">
        <x:f>I265</x:f>
        <x:v>这个杂交组合父本抗病性好，母本产量高。</x:v>
      </x:c>
      <x:c r="K265" s="55" t="inlineStr">
        <x:is>
          <x:t xml:space="preserve">无需改写</x:t>
        </x:is>
      </x:c>
      <x:c r="L265" s="56" t="inlineStr">
        <x:is>
          <x:t xml:space="preserve">父本/母本</x:t>
        </x:is>
      </x:c>
      <x:c r="M265" s="56" t="inlineStr">
        <x:is>
          <x:t xml:space="preserve">育种学术语</x:t>
        </x:is>
      </x:c>
      <x:c r="N265" s="56" t="inlineStr">
        <x:is>
          <x:t xml:space="preserve">这个杂交组合的两个亲本各有优势</x:t>
        </x:is>
      </x:c>
      <x:c r="O265" s="55" t="inlineStr">
        <x:is>
          <x:t xml:space="preserve">易</x:t>
        </x:is>
      </x:c>
      <x:c r="P265" s="55" t="inlineStr">
        <x:is>
          <x:t xml:space="preserve">否</x:t>
        </x:is>
      </x:c>
      <x:c r="Q265" s="56" t="n"/>
      <x:c r="R265" s="57" t="inlineStr">
        <x:is>
          <x:t xml:space="preserve">主集</x:t>
        </x:is>
      </x:c>
      <x:c r="S265" s="57" t="inlineStr">
        <x:is>
          <x:t xml:space="preserve">test</x:t>
        </x:is>
      </x:c>
      <x:c r="T265" s="57" t="inlineStr">
        <x:is>
          <x:t xml:space="preserve"/>
        </x:is>
      </x:c>
    </x:row>
    <x:row r="266" s="37" customFormat="1" ht="29.850000381469727" customHeight="1">
      <x:c r="A266" s="55" t="inlineStr">
        <x:is>
          <x:t xml:space="preserve">NEG-0265</x:t>
        </x:is>
      </x:c>
      <x:c r="B266" s="55" t="inlineStr">
        <x:is>
          <x:t xml:space="preserve">v3</x:t>
        </x:is>
      </x:c>
      <x:c r="C266" s="56" t="inlineStr">
        <x:is>
          <x:t xml:space="preserve">九、假触发词（形似而非）</x:t>
        </x:is>
      </x:c>
      <x:c r="D266" s="56" t="inlineStr">
        <x:is>
          <x:t xml:space="preserve">9.3 生物农业与育种</x:t>
        </x:is>
      </x:c>
      <x:c r="E266" s="56" t="inlineStr">
        <x:is>
          <x:t xml:space="preserve">工程与技术</x:t>
        </x:is>
      </x:c>
      <x:c r="F266" s="56" t="inlineStr">
        <x:is>
          <x:t xml:space="preserve">园艺科普</x:t>
        </x:is>
      </x:c>
      <x:c r="G266" s="55" t="inlineStr">
        <x:is>
          <x:t xml:space="preserve">无</x:t>
        </x:is>
      </x:c>
      <x:c r="H266" s="55" t="str">
        <x:f>IF(LEN(I266)&lt;15,"短",IF(LEN(I266)&lt;=45,"中","长"))</x:f>
        <x:v>中</x:v>
      </x:c>
      <x:c r="I266" s="56" t="inlineStr">
        <x:is>
          <x:t xml:space="preserve">银杏是雌雄异株，只栽雄株是不结果的。</x:t>
        </x:is>
      </x:c>
      <x:c r="J266" s="56" t="str">
        <x:f>I266</x:f>
        <x:v>银杏是雌雄异株，只栽雄株是不结果的。</x:v>
      </x:c>
      <x:c r="K266" s="55" t="inlineStr">
        <x:is>
          <x:t xml:space="preserve">无需改写</x:t>
        </x:is>
      </x:c>
      <x:c r="L266" s="56" t="inlineStr">
        <x:is>
          <x:t xml:space="preserve">雌雄异株/雄株</x:t>
        </x:is>
      </x:c>
      <x:c r="M266" s="56" t="inlineStr">
        <x:is>
          <x:t xml:space="preserve">植物学术语</x:t>
        </x:is>
      </x:c>
      <x:c r="N266" s="56" t="inlineStr">
        <x:is>
          <x:t xml:space="preserve">银杏分两种植株，只栽一种是不结果的</x:t>
        </x:is>
      </x:c>
      <x:c r="O266" s="55" t="inlineStr">
        <x:is>
          <x:t xml:space="preserve">易</x:t>
        </x:is>
      </x:c>
      <x:c r="P266" s="55" t="inlineStr">
        <x:is>
          <x:t xml:space="preserve">否</x:t>
        </x:is>
      </x:c>
      <x:c r="Q266" s="56" t="n"/>
      <x:c r="R266" s="57" t="inlineStr">
        <x:is>
          <x:t xml:space="preserve">主集</x:t>
        </x:is>
      </x:c>
      <x:c r="S266" s="57" t="inlineStr">
        <x:is>
          <x:t xml:space="preserve">test</x:t>
        </x:is>
      </x:c>
      <x:c r="T266" s="57" t="inlineStr">
        <x:is>
          <x:t xml:space="preserve"/>
        </x:is>
      </x:c>
    </x:row>
    <x:row r="267" s="37" customFormat="1" ht="29.850000381469727" customHeight="1">
      <x:c r="A267" s="58" t="inlineStr">
        <x:is>
          <x:t xml:space="preserve">NEG-0266</x:t>
        </x:is>
      </x:c>
      <x:c r="B267" s="58" t="inlineStr">
        <x:is>
          <x:t xml:space="preserve">v3</x:t>
        </x:is>
      </x:c>
      <x:c r="C267" s="59" t="inlineStr">
        <x:is>
          <x:t xml:space="preserve">九、假触发词（形似而非）</x:t>
        </x:is>
      </x:c>
      <x:c r="D267" s="59" t="inlineStr">
        <x:is>
          <x:t xml:space="preserve">9.3 生物农业与育种</x:t>
        </x:is>
      </x:c>
      <x:c r="E267" s="59" t="inlineStr">
        <x:is>
          <x:t xml:space="preserve">工程与技术</x:t>
        </x:is>
      </x:c>
      <x:c r="F267" s="59" t="inlineStr">
        <x:is>
          <x:t xml:space="preserve">养殖记录</x:t>
        </x:is>
      </x:c>
      <x:c r="G267" s="58" t="inlineStr">
        <x:is>
          <x:t xml:space="preserve">无</x:t>
        </x:is>
      </x:c>
      <x:c r="H267" s="58" t="str">
        <x:f>IF(LEN(I267)&lt;15,"短",IF(LEN(I267)&lt;=45,"中","长"))</x:f>
        <x:v>中</x:v>
      </x:c>
      <x:c r="I267" s="59" t="inlineStr">
        <x:is>
          <x:t xml:space="preserve">种公牛的精液须按批次做活力检测。</x:t>
        </x:is>
      </x:c>
      <x:c r="J267" s="59" t="str">
        <x:f>I267</x:f>
        <x:v>种公牛的精液须按批次做活力检测。</x:v>
      </x:c>
      <x:c r="K267" s="58" t="inlineStr">
        <x:is>
          <x:t xml:space="preserve">无需改写</x:t>
        </x:is>
      </x:c>
      <x:c r="L267" s="59" t="inlineStr">
        <x:is>
          <x:t xml:space="preserve">种公牛</x:t>
        </x:is>
      </x:c>
      <x:c r="M267" s="59" t="inlineStr">
        <x:is>
          <x:t xml:space="preserve">畜牧业术语</x:t>
        </x:is>
      </x:c>
      <x:c r="N267" s="59" t="inlineStr">
        <x:is>
          <x:t xml:space="preserve">种牛的精液须按批次做活力检测</x:t>
        </x:is>
      </x:c>
      <x:c r="O267" s="58" t="inlineStr">
        <x:is>
          <x:t xml:space="preserve">易</x:t>
        </x:is>
      </x:c>
      <x:c r="P267" s="58" t="inlineStr">
        <x:is>
          <x:t xml:space="preserve">否</x:t>
        </x:is>
      </x:c>
      <x:c r="Q267" s="59" t="n"/>
      <x:c r="R267" s="60" t="inlineStr">
        <x:is>
          <x:t xml:space="preserve">隔离·待确认</x:t>
        </x:is>
      </x:c>
      <x:c r="S267" s="60" t="inlineStr">
        <x:is>
          <x:t xml:space="preserve"/>
        </x:is>
      </x:c>
      <x:c r="T267" s="60" t="inlineStr">
        <x:is>
          <x:t xml:space="preserve">触发词不含性别编码——判断可能依赖世界知识而非句内信息</x:t>
        </x:is>
      </x:c>
    </x:row>
    <x:row r="268" s="37" customFormat="1" ht="29.850000381469727" customHeight="1">
      <x:c r="A268" s="55" t="inlineStr">
        <x:is>
          <x:t xml:space="preserve">NEG-0267</x:t>
        </x:is>
      </x:c>
      <x:c r="B268" s="55" t="inlineStr">
        <x:is>
          <x:t xml:space="preserve">v3</x:t>
        </x:is>
      </x:c>
      <x:c r="C268" s="56" t="inlineStr">
        <x:is>
          <x:t xml:space="preserve">九、假触发词（形似而非）</x:t>
        </x:is>
      </x:c>
      <x:c r="D268" s="56" t="inlineStr">
        <x:is>
          <x:t xml:space="preserve">9.3 生物农业与育种</x:t>
        </x:is>
      </x:c>
      <x:c r="E268" s="56" t="inlineStr">
        <x:is>
          <x:t xml:space="preserve">工程与技术</x:t>
        </x:is>
      </x:c>
      <x:c r="F268" s="56" t="inlineStr">
        <x:is>
          <x:t xml:space="preserve">养殖口语</x:t>
        </x:is>
      </x:c>
      <x:c r="G268" s="55" t="inlineStr">
        <x:is>
          <x:t xml:space="preserve">无</x:t>
        </x:is>
      </x:c>
      <x:c r="H268" s="55" t="str">
        <x:f>IF(LEN(I268)&lt;15,"短",IF(LEN(I268)&lt;=45,"中","长"))</x:f>
        <x:v>中</x:v>
      </x:c>
      <x:c r="I268" s="56" t="inlineStr">
        <x:is>
          <x:t xml:space="preserve">母猪产后头三天要重点防乳房炎。</x:t>
        </x:is>
      </x:c>
      <x:c r="J268" s="56" t="str">
        <x:f>I268</x:f>
        <x:v>母猪产后头三天要重点防乳房炎。</x:v>
      </x:c>
      <x:c r="K268" s="55" t="inlineStr">
        <x:is>
          <x:t xml:space="preserve">无需改写</x:t>
        </x:is>
      </x:c>
      <x:c r="L268" s="56" t="inlineStr">
        <x:is>
          <x:t xml:space="preserve">母猪</x:t>
        </x:is>
      </x:c>
      <x:c r="M268" s="56" t="inlineStr">
        <x:is>
          <x:t xml:space="preserve">畜牧业术语</x:t>
        </x:is>
      </x:c>
      <x:c r="N268" s="56" t="inlineStr">
        <x:is>
          <x:t xml:space="preserve">产后母畜头三天要重点防乳房炎</x:t>
        </x:is>
      </x:c>
      <x:c r="O268" s="55" t="inlineStr">
        <x:is>
          <x:t xml:space="preserve">易</x:t>
        </x:is>
      </x:c>
      <x:c r="P268" s="55" t="inlineStr">
        <x:is>
          <x:t xml:space="preserve">否</x:t>
        </x:is>
      </x:c>
      <x:c r="Q268" s="56" t="n"/>
      <x:c r="R268" s="57" t="inlineStr">
        <x:is>
          <x:t xml:space="preserve">主集</x:t>
        </x:is>
      </x:c>
      <x:c r="S268" s="57" t="inlineStr">
        <x:is>
          <x:t xml:space="preserve">index</x:t>
        </x:is>
      </x:c>
      <x:c r="T268" s="57" t="inlineStr">
        <x:is>
          <x:t xml:space="preserve"/>
        </x:is>
      </x:c>
    </x:row>
    <x:row r="269" s="37" customFormat="1" ht="29.850000381469727" customHeight="1">
      <x:c r="A269" s="58" t="inlineStr">
        <x:is>
          <x:t xml:space="preserve">NEG-0268</x:t>
        </x:is>
      </x:c>
      <x:c r="B269" s="58" t="inlineStr">
        <x:is>
          <x:t xml:space="preserve">v3</x:t>
        </x:is>
      </x:c>
      <x:c r="C269" s="59" t="inlineStr">
        <x:is>
          <x:t xml:space="preserve">九、假触发词（形似而非）</x:t>
        </x:is>
      </x:c>
      <x:c r="D269" s="59" t="inlineStr">
        <x:is>
          <x:t xml:space="preserve">9.3 生物农业与育种</x:t>
        </x:is>
      </x:c>
      <x:c r="E269" s="59" t="inlineStr">
        <x:is>
          <x:t xml:space="preserve">工程与技术</x:t>
        </x:is>
      </x:c>
      <x:c r="F269" s="59" t="inlineStr">
        <x:is>
          <x:t xml:space="preserve">生产日报</x:t>
        </x:is>
      </x:c>
      <x:c r="G269" s="58" t="inlineStr">
        <x:is>
          <x:t xml:space="preserve">无</x:t>
        </x:is>
      </x:c>
      <x:c r="H269" s="58" t="str">
        <x:f>IF(LEN(I269)&lt;15,"短",IF(LEN(I269)&lt;=45,"中","长"))</x:f>
        <x:v>中</x:v>
      </x:c>
      <x:c r="I269" s="59" t="inlineStr">
        <x:is>
          <x:t xml:space="preserve">这批蛋鸭的产蛋率已经掉到六成了。</x:t>
        </x:is>
      </x:c>
      <x:c r="J269" s="59" t="str">
        <x:f>I269</x:f>
        <x:v>这批蛋鸭的产蛋率已经掉到六成了。</x:v>
      </x:c>
      <x:c r="K269" s="58" t="inlineStr">
        <x:is>
          <x:t xml:space="preserve">无需改写</x:t>
        </x:is>
      </x:c>
      <x:c r="L269" s="59" t="inlineStr">
        <x:is>
          <x:t xml:space="preserve">蛋鸭</x:t>
        </x:is>
      </x:c>
      <x:c r="M269" s="59" t="inlineStr">
        <x:is>
          <x:t xml:space="preserve">家禽品类名称</x:t>
        </x:is>
      </x:c>
      <x:c r="N269" s="59" t="inlineStr">
        <x:is>
          <x:t xml:space="preserve">这批鸭子的产蛋率已经掉到六成</x:t>
        </x:is>
      </x:c>
      <x:c r="O269" s="58" t="inlineStr">
        <x:is>
          <x:t xml:space="preserve">易</x:t>
        </x:is>
      </x:c>
      <x:c r="P269" s="58" t="inlineStr">
        <x:is>
          <x:t xml:space="preserve">否</x:t>
        </x:is>
      </x:c>
      <x:c r="Q269" s="59" t="n"/>
      <x:c r="R269" s="60" t="inlineStr">
        <x:is>
          <x:t xml:space="preserve">隔离·待确认</x:t>
        </x:is>
      </x:c>
      <x:c r="S269" s="60" t="inlineStr">
        <x:is>
          <x:t xml:space="preserve"/>
        </x:is>
      </x:c>
      <x:c r="T269" s="60" t="inlineStr">
        <x:is>
          <x:t xml:space="preserve">触发词不含性别编码——判断可能依赖世界知识而非句内信息</x:t>
        </x:is>
      </x:c>
    </x:row>
    <x:row r="270" s="37" customFormat="1" ht="29.850000381469727" customHeight="1">
      <x:c r="A270" s="55" t="inlineStr">
        <x:is>
          <x:t xml:space="preserve">NEG-0269</x:t>
        </x:is>
      </x:c>
      <x:c r="B270" s="55" t="inlineStr">
        <x:is>
          <x:t xml:space="preserve">v3</x:t>
        </x:is>
      </x:c>
      <x:c r="C270" s="56" t="inlineStr">
        <x:is>
          <x:t xml:space="preserve">九、假触发词（形似而非）</x:t>
        </x:is>
      </x:c>
      <x:c r="D270" s="56" t="inlineStr">
        <x:is>
          <x:t xml:space="preserve">9.3 生物农业与育种</x:t>
        </x:is>
      </x:c>
      <x:c r="E270" s="56" t="inlineStr">
        <x:is>
          <x:t xml:space="preserve">工程与技术</x:t>
        </x:is>
      </x:c>
      <x:c r="F270" s="56" t="inlineStr">
        <x:is>
          <x:t xml:space="preserve">实验室记录</x:t>
        </x:is>
      </x:c>
      <x:c r="G270" s="55" t="inlineStr">
        <x:is>
          <x:t xml:space="preserve">无</x:t>
        </x:is>
      </x:c>
      <x:c r="H270" s="55" t="str">
        <x:f>IF(LEN(I270)&lt;15,"短",IF(LEN(I270)&lt;=45,"中","长"))</x:f>
        <x:v>中</x:v>
      </x:c>
      <x:c r="I270" s="56" t="inlineStr">
        <x:is>
          <x:t xml:space="preserve">菌种传代超过五次须重新从母种提纯。</x:t>
        </x:is>
      </x:c>
      <x:c r="J270" s="56" t="str">
        <x:f>I270</x:f>
        <x:v>菌种传代超过五次须重新从母种提纯。</x:v>
      </x:c>
      <x:c r="K270" s="55" t="inlineStr">
        <x:is>
          <x:t xml:space="preserve">无需改写</x:t>
        </x:is>
      </x:c>
      <x:c r="L270" s="56" t="inlineStr">
        <x:is>
          <x:t xml:space="preserve">母种</x:t>
        </x:is>
      </x:c>
      <x:c r="M270" s="56" t="inlineStr">
        <x:is>
          <x:t xml:space="preserve">微生物学术语</x:t>
        </x:is>
      </x:c>
      <x:c r="N270" s="56" t="inlineStr">
        <x:is>
          <x:t xml:space="preserve">菌种传代超过五次须重新从原种提纯</x:t>
        </x:is>
      </x:c>
      <x:c r="O270" s="55" t="inlineStr">
        <x:is>
          <x:t xml:space="preserve">易</x:t>
        </x:is>
      </x:c>
      <x:c r="P270" s="55" t="inlineStr">
        <x:is>
          <x:t xml:space="preserve">否</x:t>
        </x:is>
      </x:c>
      <x:c r="Q270" s="56" t="n"/>
      <x:c r="R270" s="57" t="inlineStr">
        <x:is>
          <x:t xml:space="preserve">主集</x:t>
        </x:is>
      </x:c>
      <x:c r="S270" s="57" t="inlineStr">
        <x:is>
          <x:t xml:space="preserve">index</x:t>
        </x:is>
      </x:c>
      <x:c r="T270" s="57" t="inlineStr">
        <x:is>
          <x:t xml:space="preserve"/>
        </x:is>
      </x:c>
    </x:row>
    <x:row r="271" s="37" customFormat="1" ht="29.850000381469727" customHeight="1">
      <x:c r="A271" s="55" t="inlineStr">
        <x:is>
          <x:t xml:space="preserve">NEG-0270</x:t>
        </x:is>
      </x:c>
      <x:c r="B271" s="55" t="inlineStr">
        <x:is>
          <x:t xml:space="preserve">v3</x:t>
        </x:is>
      </x:c>
      <x:c r="C271" s="56" t="inlineStr">
        <x:is>
          <x:t xml:space="preserve">九、假触发词（形似而非）</x:t>
        </x:is>
      </x:c>
      <x:c r="D271" s="56" t="inlineStr">
        <x:is>
          <x:t xml:space="preserve">9.3 生物农业与育种</x:t>
        </x:is>
      </x:c>
      <x:c r="E271" s="56" t="inlineStr">
        <x:is>
          <x:t xml:space="preserve">工程与技术</x:t>
        </x:is>
      </x:c>
      <x:c r="F271" s="56" t="inlineStr">
        <x:is>
          <x:t xml:space="preserve">植物学教材</x:t>
        </x:is>
      </x:c>
      <x:c r="G271" s="55" t="inlineStr">
        <x:is>
          <x:t xml:space="preserve">无</x:t>
        </x:is>
      </x:c>
      <x:c r="H271" s="55" t="str">
        <x:f>IF(LEN(I271)&lt;15,"短",IF(LEN(I271)&lt;=45,"中","长"))</x:f>
        <x:v>中</x:v>
      </x:c>
      <x:c r="I271" s="56" t="inlineStr">
        <x:is>
          <x:t xml:space="preserve">雌蕊柱头出现黏液，说明已进入可授粉期。</x:t>
        </x:is>
      </x:c>
      <x:c r="J271" s="56" t="str">
        <x:f>I271</x:f>
        <x:v>雌蕊柱头出现黏液，说明已进入可授粉期。</x:v>
      </x:c>
      <x:c r="K271" s="55" t="inlineStr">
        <x:is>
          <x:t xml:space="preserve">无需改写</x:t>
        </x:is>
      </x:c>
      <x:c r="L271" s="56" t="inlineStr">
        <x:is>
          <x:t xml:space="preserve">雌蕊</x:t>
        </x:is>
      </x:c>
      <x:c r="M271" s="56" t="inlineStr">
        <x:is>
          <x:t xml:space="preserve">植物解剖学术语</x:t>
        </x:is>
      </x:c>
      <x:c r="N271" s="56" t="inlineStr">
        <x:is>
          <x:t xml:space="preserve">花蕊柱头出现黏液</x:t>
        </x:is>
      </x:c>
      <x:c r="O271" s="55" t="inlineStr">
        <x:is>
          <x:t xml:space="preserve">易</x:t>
        </x:is>
      </x:c>
      <x:c r="P271" s="55" t="inlineStr">
        <x:is>
          <x:t xml:space="preserve">否</x:t>
        </x:is>
      </x:c>
      <x:c r="Q271" s="56" t="n"/>
      <x:c r="R271" s="57" t="inlineStr">
        <x:is>
          <x:t xml:space="preserve">主集</x:t>
        </x:is>
      </x:c>
      <x:c r="S271" s="57" t="inlineStr">
        <x:is>
          <x:t xml:space="preserve">dev</x:t>
        </x:is>
      </x:c>
      <x:c r="T271" s="57" t="inlineStr">
        <x:is>
          <x:t xml:space="preserve"/>
        </x:is>
      </x:c>
    </x:row>
    <x:row r="272" s="37" customFormat="1" ht="29.850000381469727" customHeight="1">
      <x:c r="A272" s="55" t="inlineStr">
        <x:is>
          <x:t xml:space="preserve">NEG-0271</x:t>
        </x:is>
      </x:c>
      <x:c r="B272" s="55" t="inlineStr">
        <x:is>
          <x:t xml:space="preserve">v3</x:t>
        </x:is>
      </x:c>
      <x:c r="C272" s="56" t="inlineStr">
        <x:is>
          <x:t xml:space="preserve">九、假触发词（形似而非）</x:t>
        </x:is>
      </x:c>
      <x:c r="D272" s="56" t="inlineStr">
        <x:is>
          <x:t xml:space="preserve">9.3 生物农业与育种</x:t>
        </x:is>
      </x:c>
      <x:c r="E272" s="56" t="inlineStr">
        <x:is>
          <x:t xml:space="preserve">工程与技术</x:t>
        </x:is>
      </x:c>
      <x:c r="F272" s="56" t="inlineStr">
        <x:is>
          <x:t xml:space="preserve">昆虫科普</x:t>
        </x:is>
      </x:c>
      <x:c r="G272" s="55" t="inlineStr">
        <x:is>
          <x:t xml:space="preserve">无</x:t>
        </x:is>
      </x:c>
      <x:c r="H272" s="55" t="str">
        <x:f>IF(LEN(I272)&lt;15,"短",IF(LEN(I272)&lt;=45,"中","长"))</x:f>
        <x:v>中</x:v>
      </x:c>
      <x:c r="I272" s="56" t="inlineStr">
        <x:is>
          <x:t xml:space="preserve">蜂群中的工蜂全部为雌性，蜂王一天可产卵上千粒。</x:t>
        </x:is>
      </x:c>
      <x:c r="J272" s="56" t="str">
        <x:f>I272</x:f>
        <x:v>蜂群中的工蜂全部为雌性，蜂王一天可产卵上千粒。</x:v>
      </x:c>
      <x:c r="K272" s="55" t="inlineStr">
        <x:is>
          <x:t xml:space="preserve">无需改写</x:t>
        </x:is>
      </x:c>
      <x:c r="L272" s="56" t="inlineStr">
        <x:is>
          <x:t xml:space="preserve">雌性/蜂王</x:t>
        </x:is>
      </x:c>
      <x:c r="M272" s="56" t="inlineStr">
        <x:is>
          <x:t xml:space="preserve">昆虫学事实描述</x:t>
        </x:is>
      </x:c>
      <x:c r="N272" s="56" t="inlineStr">
        <x:is>
          <x:t xml:space="preserve">蜂群中的工蜂承担采集任务，蜂王一天可产卵上千粒</x:t>
        </x:is>
      </x:c>
      <x:c r="O272" s="55" t="inlineStr">
        <x:is>
          <x:t xml:space="preserve">中</x:t>
        </x:is>
      </x:c>
      <x:c r="P272" s="55" t="inlineStr">
        <x:is>
          <x:t xml:space="preserve">否</x:t>
        </x:is>
      </x:c>
      <x:c r="Q272" s="56" t="n"/>
      <x:c r="R272" s="57" t="inlineStr">
        <x:is>
          <x:t xml:space="preserve">主集</x:t>
        </x:is>
      </x:c>
      <x:c r="S272" s="57" t="inlineStr">
        <x:is>
          <x:t xml:space="preserve">index</x:t>
        </x:is>
      </x:c>
      <x:c r="T272" s="57" t="inlineStr">
        <x:is>
          <x:t xml:space="preserve"/>
        </x:is>
      </x:c>
    </x:row>
    <x:row r="273" s="37" customFormat="1" ht="29.850000381469727" customHeight="1">
      <x:c r="A273" s="55" t="inlineStr">
        <x:is>
          <x:t xml:space="preserve">NEG-0272</x:t>
        </x:is>
      </x:c>
      <x:c r="B273" s="55" t="inlineStr">
        <x:is>
          <x:t xml:space="preserve">v3</x:t>
        </x:is>
      </x:c>
      <x:c r="C273" s="56" t="inlineStr">
        <x:is>
          <x:t xml:space="preserve">九、假触发词（形似而非）</x:t>
        </x:is>
      </x:c>
      <x:c r="D273" s="56" t="inlineStr">
        <x:is>
          <x:t xml:space="preserve">9.3 生物农业与育种</x:t>
        </x:is>
      </x:c>
      <x:c r="E273" s="56" t="inlineStr">
        <x:is>
          <x:t xml:space="preserve">工程与技术</x:t>
        </x:is>
      </x:c>
      <x:c r="F273" s="56" t="inlineStr">
        <x:is>
          <x:t xml:space="preserve">水产养殖</x:t>
        </x:is>
      </x:c>
      <x:c r="G273" s="55" t="inlineStr">
        <x:is>
          <x:t xml:space="preserve">无</x:t>
        </x:is>
      </x:c>
      <x:c r="H273" s="55" t="str">
        <x:f>IF(LEN(I273)&lt;15,"短",IF(LEN(I273)&lt;=45,"中","长"))</x:f>
        <x:v>中</x:v>
      </x:c>
      <x:c r="I273" s="56" t="inlineStr">
        <x:is>
          <x:t xml:space="preserve">河蟹的雌雄可以从腹部形状直接分辨。</x:t>
        </x:is>
      </x:c>
      <x:c r="J273" s="56" t="str">
        <x:f>I273</x:f>
        <x:v>河蟹的雌雄可以从腹部形状直接分辨。</x:v>
      </x:c>
      <x:c r="K273" s="55" t="inlineStr">
        <x:is>
          <x:t xml:space="preserve">无需改写</x:t>
        </x:is>
      </x:c>
      <x:c r="L273" s="56" t="inlineStr">
        <x:is>
          <x:t xml:space="preserve">雌雄</x:t>
        </x:is>
      </x:c>
      <x:c r="M273" s="56" t="inlineStr">
        <x:is>
          <x:t xml:space="preserve">形态学鉴别方法</x:t>
        </x:is>
      </x:c>
      <x:c r="N273" s="56" t="inlineStr">
        <x:is>
          <x:t xml:space="preserve">河蟹可以从腹部形状直接分类</x:t>
        </x:is>
      </x:c>
      <x:c r="O273" s="55" t="inlineStr">
        <x:is>
          <x:t xml:space="preserve">易</x:t>
        </x:is>
      </x:c>
      <x:c r="P273" s="55" t="inlineStr">
        <x:is>
          <x:t xml:space="preserve">否</x:t>
        </x:is>
      </x:c>
      <x:c r="Q273" s="56" t="n"/>
      <x:c r="R273" s="57" t="inlineStr">
        <x:is>
          <x:t xml:space="preserve">主集</x:t>
        </x:is>
      </x:c>
      <x:c r="S273" s="57" t="inlineStr">
        <x:is>
          <x:t xml:space="preserve">dev</x:t>
        </x:is>
      </x:c>
      <x:c r="T273" s="57" t="inlineStr">
        <x:is>
          <x:t xml:space="preserve"/>
        </x:is>
      </x:c>
    </x:row>
    <x:row r="274" s="37" customFormat="1" ht="29.850000381469727" customHeight="1">
      <x:c r="A274" s="55" t="inlineStr">
        <x:is>
          <x:t xml:space="preserve">NEG-0273</x:t>
        </x:is>
      </x:c>
      <x:c r="B274" s="55" t="inlineStr">
        <x:is>
          <x:t xml:space="preserve">v3</x:t>
        </x:is>
      </x:c>
      <x:c r="C274" s="56" t="inlineStr">
        <x:is>
          <x:t xml:space="preserve">九、假触发词（形似而非）</x:t>
        </x:is>
      </x:c>
      <x:c r="D274" s="56" t="inlineStr">
        <x:is>
          <x:t xml:space="preserve">9.3 生物农业与育种</x:t>
        </x:is>
      </x:c>
      <x:c r="E274" s="56" t="inlineStr">
        <x:is>
          <x:t xml:space="preserve">工程与技术</x:t>
        </x:is>
      </x:c>
      <x:c r="F274" s="56" t="inlineStr">
        <x:is>
          <x:t xml:space="preserve">遗传学</x:t>
        </x:is>
      </x:c>
      <x:c r="G274" s="55" t="inlineStr">
        <x:is>
          <x:t xml:space="preserve">无</x:t>
        </x:is>
      </x:c>
      <x:c r="H274" s="55" t="str">
        <x:f>IF(LEN(I274)&lt;15,"短",IF(LEN(I274)&lt;=45,"中","长"))</x:f>
        <x:v>中</x:v>
      </x:c>
      <x:c r="I274" s="56" t="inlineStr">
        <x:is>
          <x:t xml:space="preserve">线粒体属母系遗传，父本的贡献可以忽略。</x:t>
        </x:is>
      </x:c>
      <x:c r="J274" s="56" t="str">
        <x:f>I274</x:f>
        <x:v>线粒体属母系遗传，父本的贡献可以忽略。</x:v>
      </x:c>
      <x:c r="K274" s="55" t="inlineStr">
        <x:is>
          <x:t xml:space="preserve">无需改写</x:t>
        </x:is>
      </x:c>
      <x:c r="L274" s="56" t="inlineStr">
        <x:is>
          <x:t xml:space="preserve">母系遗传/父本</x:t>
        </x:is>
      </x:c>
      <x:c r="M274" s="56" t="inlineStr">
        <x:is>
          <x:t xml:space="preserve">遗传学术语</x:t>
        </x:is>
      </x:c>
      <x:c r="N274" s="56" t="inlineStr">
        <x:is>
          <x:t xml:space="preserve">线粒体属单亲遗传，另一方的贡献可以忽略</x:t>
        </x:is>
      </x:c>
      <x:c r="O274" s="55" t="inlineStr">
        <x:is>
          <x:t xml:space="preserve">中</x:t>
        </x:is>
      </x:c>
      <x:c r="P274" s="55" t="inlineStr">
        <x:is>
          <x:t xml:space="preserve">否</x:t>
        </x:is>
      </x:c>
      <x:c r="Q274" s="56" t="n"/>
      <x:c r="R274" s="57" t="inlineStr">
        <x:is>
          <x:t xml:space="preserve">主集</x:t>
        </x:is>
      </x:c>
      <x:c r="S274" s="57" t="inlineStr">
        <x:is>
          <x:t xml:space="preserve">test</x:t>
        </x:is>
      </x:c>
      <x:c r="T274" s="57" t="inlineStr">
        <x:is>
          <x:t xml:space="preserve"/>
        </x:is>
      </x:c>
    </x:row>
    <x:row r="275" s="37" customFormat="1" ht="29.850000381469727" customHeight="1">
      <x:c r="A275" s="55" t="inlineStr">
        <x:is>
          <x:t xml:space="preserve">NEG-0274</x:t>
        </x:is>
      </x:c>
      <x:c r="B275" s="55" t="inlineStr">
        <x:is>
          <x:t xml:space="preserve">v3</x:t>
        </x:is>
      </x:c>
      <x:c r="C275" s="56" t="inlineStr">
        <x:is>
          <x:t xml:space="preserve">九、假触发词（形似而非）</x:t>
        </x:is>
      </x:c>
      <x:c r="D275" s="56" t="inlineStr">
        <x:is>
          <x:t xml:space="preserve">9.4 计算机与数学</x:t>
        </x:is>
      </x:c>
      <x:c r="E275" s="56" t="inlineStr">
        <x:is>
          <x:t xml:space="preserve">工程与技术</x:t>
        </x:is>
      </x:c>
      <x:c r="F275" s="56" t="inlineStr">
        <x:is>
          <x:t xml:space="preserve">代码评审</x:t>
        </x:is>
      </x:c>
      <x:c r="G275" s="55" t="inlineStr">
        <x:is>
          <x:t xml:space="preserve">无</x:t>
        </x:is>
      </x:c>
      <x:c r="H275" s="55" t="str">
        <x:f>IF(LEN(I275)&lt;15,"短",IF(LEN(I275)&lt;=45,"中","长"))</x:f>
        <x:v>中</x:v>
      </x:c>
      <x:c r="I275" s="56" t="inlineStr">
        <x:is>
          <x:t xml:space="preserve">这个类要继承父类的构造方法，不能直接覆盖。</x:t>
        </x:is>
      </x:c>
      <x:c r="J275" s="56" t="str">
        <x:f>I275</x:f>
        <x:v>这个类要继承父类的构造方法，不能直接覆盖。</x:v>
      </x:c>
      <x:c r="K275" s="55" t="inlineStr">
        <x:is>
          <x:t xml:space="preserve">无需改写</x:t>
        </x:is>
      </x:c>
      <x:c r="L275" s="56" t="inlineStr">
        <x:is>
          <x:t xml:space="preserve">父类</x:t>
        </x:is>
      </x:c>
      <x:c r="M275" s="56" t="inlineStr">
        <x:is>
          <x:t xml:space="preserve">面向对象术语</x:t>
        </x:is>
      </x:c>
      <x:c r="N275" s="56" t="inlineStr">
        <x:is>
          <x:t xml:space="preserve">这个类要继承基类的构造方法</x:t>
        </x:is>
      </x:c>
      <x:c r="O275" s="55" t="inlineStr">
        <x:is>
          <x:t xml:space="preserve">易</x:t>
        </x:is>
      </x:c>
      <x:c r="P275" s="55" t="inlineStr">
        <x:is>
          <x:t xml:space="preserve">否</x:t>
        </x:is>
      </x:c>
      <x:c r="Q275" s="56" t="n"/>
      <x:c r="R275" s="57" t="inlineStr">
        <x:is>
          <x:t xml:space="preserve">主集</x:t>
        </x:is>
      </x:c>
      <x:c r="S275" s="57" t="inlineStr">
        <x:is>
          <x:t xml:space="preserve">test</x:t>
        </x:is>
      </x:c>
      <x:c r="T275" s="57" t="inlineStr">
        <x:is>
          <x:t xml:space="preserve"/>
        </x:is>
      </x:c>
    </x:row>
    <x:row r="276" s="37" customFormat="1" ht="29.850000381469727" customHeight="1">
      <x:c r="A276" s="55" t="inlineStr">
        <x:is>
          <x:t xml:space="preserve">NEG-0275</x:t>
        </x:is>
      </x:c>
      <x:c r="B276" s="55" t="inlineStr">
        <x:is>
          <x:t xml:space="preserve">v3</x:t>
        </x:is>
      </x:c>
      <x:c r="C276" s="56" t="inlineStr">
        <x:is>
          <x:t xml:space="preserve">九、假触发词（形似而非）</x:t>
        </x:is>
      </x:c>
      <x:c r="D276" s="56" t="inlineStr">
        <x:is>
          <x:t xml:space="preserve">9.4 计算机与数学</x:t>
        </x:is>
      </x:c>
      <x:c r="E276" s="56" t="inlineStr">
        <x:is>
          <x:t xml:space="preserve">工程与技术</x:t>
        </x:is>
      </x:c>
      <x:c r="F276" s="56" t="inlineStr">
        <x:is>
          <x:t xml:space="preserve">运维排查</x:t>
        </x:is>
      </x:c>
      <x:c r="G276" s="55" t="inlineStr">
        <x:is>
          <x:t xml:space="preserve">无</x:t>
        </x:is>
      </x:c>
      <x:c r="H276" s="55" t="str">
        <x:f>IF(LEN(I276)&lt;15,"短",IF(LEN(I276)&lt;=45,"中","长"))</x:f>
        <x:v>中</x:v>
      </x:c>
      <x:c r="I276" s="56" t="inlineStr">
        <x:is>
          <x:t xml:space="preserve">子进程退出后，父进程需要及时回收资源。</x:t>
        </x:is>
      </x:c>
      <x:c r="J276" s="56" t="str">
        <x:f>I276</x:f>
        <x:v>子进程退出后，父进程需要及时回收资源。</x:v>
      </x:c>
      <x:c r="K276" s="55" t="inlineStr">
        <x:is>
          <x:t xml:space="preserve">无需改写</x:t>
        </x:is>
      </x:c>
      <x:c r="L276" s="56" t="inlineStr">
        <x:is>
          <x:t xml:space="preserve">父进程/子进程</x:t>
        </x:is>
      </x:c>
      <x:c r="M276" s="56" t="inlineStr">
        <x:is>
          <x:t xml:space="preserve">操作系统术语</x:t>
        </x:is>
      </x:c>
      <x:c r="N276" s="56" t="inlineStr">
        <x:is>
          <x:t xml:space="preserve">子任务退出后，主任务需要及时回收资源</x:t>
        </x:is>
      </x:c>
      <x:c r="O276" s="55" t="inlineStr">
        <x:is>
          <x:t xml:space="preserve">易</x:t>
        </x:is>
      </x:c>
      <x:c r="P276" s="55" t="inlineStr">
        <x:is>
          <x:t xml:space="preserve">否</x:t>
        </x:is>
      </x:c>
      <x:c r="Q276" s="56" t="n"/>
      <x:c r="R276" s="57" t="inlineStr">
        <x:is>
          <x:t xml:space="preserve">主集</x:t>
        </x:is>
      </x:c>
      <x:c r="S276" s="57" t="inlineStr">
        <x:is>
          <x:t xml:space="preserve">test</x:t>
        </x:is>
      </x:c>
      <x:c r="T276" s="57" t="inlineStr">
        <x:is>
          <x:t xml:space="preserve"/>
        </x:is>
      </x:c>
    </x:row>
    <x:row r="277" s="37" customFormat="1" ht="29.850000381469727" customHeight="1">
      <x:c r="A277" s="55" t="inlineStr">
        <x:is>
          <x:t xml:space="preserve">NEG-0276</x:t>
        </x:is>
      </x:c>
      <x:c r="B277" s="55" t="inlineStr">
        <x:is>
          <x:t xml:space="preserve">v3</x:t>
        </x:is>
      </x:c>
      <x:c r="C277" s="56" t="inlineStr">
        <x:is>
          <x:t xml:space="preserve">九、假触发词（形似而非）</x:t>
        </x:is>
      </x:c>
      <x:c r="D277" s="56" t="inlineStr">
        <x:is>
          <x:t xml:space="preserve">9.4 计算机与数学</x:t>
        </x:is>
      </x:c>
      <x:c r="E277" s="56" t="inlineStr">
        <x:is>
          <x:t xml:space="preserve">工程与技术</x:t>
        </x:is>
      </x:c>
      <x:c r="F277" s="56" t="inlineStr">
        <x:is>
          <x:t xml:space="preserve">数学教材</x:t>
        </x:is>
      </x:c>
      <x:c r="G277" s="55" t="inlineStr">
        <x:is>
          <x:t xml:space="preserve">无</x:t>
        </x:is>
      </x:c>
      <x:c r="H277" s="55" t="str">
        <x:f>IF(LEN(I277)&lt;15,"短",IF(LEN(I277)&lt;=45,"中","长"))</x:f>
        <x:v>中</x:v>
      </x:c>
      <x:c r="I277" s="56" t="inlineStr">
        <x:is>
          <x:t xml:space="preserve">母函数在组合计数问题里是常用工具。</x:t>
        </x:is>
      </x:c>
      <x:c r="J277" s="56" t="str">
        <x:f>I277</x:f>
        <x:v>母函数在组合计数问题里是常用工具。</x:v>
      </x:c>
      <x:c r="K277" s="55" t="inlineStr">
        <x:is>
          <x:t xml:space="preserve">无需改写</x:t>
        </x:is>
      </x:c>
      <x:c r="L277" s="56" t="inlineStr">
        <x:is>
          <x:t xml:space="preserve">母函数</x:t>
        </x:is>
      </x:c>
      <x:c r="M277" s="56" t="inlineStr">
        <x:is>
          <x:t xml:space="preserve">数学术语</x:t>
        </x:is>
      </x:c>
      <x:c r="N277" s="56" t="inlineStr">
        <x:is>
          <x:t xml:space="preserve">生成函数在组合计数问题里是常用工具</x:t>
        </x:is>
      </x:c>
      <x:c r="O277" s="55" t="inlineStr">
        <x:is>
          <x:t xml:space="preserve">中</x:t>
        </x:is>
      </x:c>
      <x:c r="P277" s="55" t="inlineStr">
        <x:is>
          <x:t xml:space="preserve">否</x:t>
        </x:is>
      </x:c>
      <x:c r="Q277" s="56" t="inlineStr">
        <x:is>
          <x:t xml:space="preserve">母函数/生成函数虽为同义，但改写属超范围替换</x:t>
        </x:is>
      </x:c>
      <x:c r="R277" s="57" t="inlineStr">
        <x:is>
          <x:t xml:space="preserve">主集</x:t>
        </x:is>
      </x:c>
      <x:c r="S277" s="57" t="inlineStr">
        <x:is>
          <x:t xml:space="preserve">test</x:t>
        </x:is>
      </x:c>
      <x:c r="T277" s="57" t="inlineStr">
        <x:is>
          <x:t xml:space="preserve"/>
        </x:is>
      </x:c>
    </x:row>
    <x:row r="278" s="37" customFormat="1" ht="29.850000381469727" customHeight="1">
      <x:c r="A278" s="55" t="inlineStr">
        <x:is>
          <x:t xml:space="preserve">NEG-0277</x:t>
        </x:is>
      </x:c>
      <x:c r="B278" s="55" t="inlineStr">
        <x:is>
          <x:t xml:space="preserve">v3</x:t>
        </x:is>
      </x:c>
      <x:c r="C278" s="56" t="inlineStr">
        <x:is>
          <x:t xml:space="preserve">九、假触发词（形似而非）</x:t>
        </x:is>
      </x:c>
      <x:c r="D278" s="56" t="inlineStr">
        <x:is>
          <x:t xml:space="preserve">9.4 计算机与数学</x:t>
        </x:is>
      </x:c>
      <x:c r="E278" s="56" t="inlineStr">
        <x:is>
          <x:t xml:space="preserve">工程与技术</x:t>
        </x:is>
      </x:c>
      <x:c r="F278" s="56" t="inlineStr">
        <x:is>
          <x:t xml:space="preserve">前端开发</x:t>
        </x:is>
      </x:c>
      <x:c r="G278" s="55" t="inlineStr">
        <x:is>
          <x:t xml:space="preserve">无</x:t>
        </x:is>
      </x:c>
      <x:c r="H278" s="55" t="str">
        <x:f>IF(LEN(I278)&lt;15,"短",IF(LEN(I278)&lt;=45,"中","长"))</x:f>
        <x:v>中</x:v>
      </x:c>
      <x:c r="I278" s="56" t="inlineStr">
        <x:is>
          <x:t xml:space="preserve">父子组件之间用 props 传值，跨层级用 context。</x:t>
        </x:is>
      </x:c>
      <x:c r="J278" s="56" t="str">
        <x:f>I278</x:f>
        <x:v>父子组件之间用 props 传值，跨层级用 context。</x:v>
      </x:c>
      <x:c r="K278" s="55" t="inlineStr">
        <x:is>
          <x:t xml:space="preserve">无需改写</x:t>
        </x:is>
      </x:c>
      <x:c r="L278" s="56" t="inlineStr">
        <x:is>
          <x:t xml:space="preserve">父子组件</x:t>
        </x:is>
      </x:c>
      <x:c r="M278" s="56" t="inlineStr">
        <x:is>
          <x:t xml:space="preserve">框架术语</x:t>
        </x:is>
      </x:c>
      <x:c r="N278" s="56" t="inlineStr">
        <x:is>
          <x:t xml:space="preserve">上下级组件之间用 props 传值</x:t>
        </x:is>
      </x:c>
      <x:c r="O278" s="55" t="inlineStr">
        <x:is>
          <x:t xml:space="preserve">易</x:t>
        </x:is>
      </x:c>
      <x:c r="P278" s="55" t="inlineStr">
        <x:is>
          <x:t xml:space="preserve">否</x:t>
        </x:is>
      </x:c>
      <x:c r="Q278" s="56" t="n"/>
      <x:c r="R278" s="57" t="inlineStr">
        <x:is>
          <x:t xml:space="preserve">主集</x:t>
        </x:is>
      </x:c>
      <x:c r="S278" s="57" t="inlineStr">
        <x:is>
          <x:t xml:space="preserve">test</x:t>
        </x:is>
      </x:c>
      <x:c r="T278" s="57" t="inlineStr">
        <x:is>
          <x:t xml:space="preserve"/>
        </x:is>
      </x:c>
    </x:row>
    <x:row r="279" s="37" customFormat="1" ht="29.850000381469727" customHeight="1">
      <x:c r="A279" s="58" t="inlineStr">
        <x:is>
          <x:t xml:space="preserve">NEG-0278</x:t>
        </x:is>
      </x:c>
      <x:c r="B279" s="58" t="inlineStr">
        <x:is>
          <x:t xml:space="preserve">v3</x:t>
        </x:is>
      </x:c>
      <x:c r="C279" s="59" t="inlineStr">
        <x:is>
          <x:t xml:space="preserve">九、假触发词（形似而非）</x:t>
        </x:is>
      </x:c>
      <x:c r="D279" s="59" t="inlineStr">
        <x:is>
          <x:t xml:space="preserve">9.4 计算机与数学</x:t>
        </x:is>
      </x:c>
      <x:c r="E279" s="59" t="inlineStr">
        <x:is>
          <x:t xml:space="preserve">工程与技术</x:t>
        </x:is>
      </x:c>
      <x:c r="F279" s="59" t="inlineStr">
        <x:is>
          <x:t xml:space="preserve">数据字典</x:t>
        </x:is>
      </x:c>
      <x:c r="G279" s="58" t="inlineStr">
        <x:is>
          <x:t xml:space="preserve">结构化文本</x:t>
        </x:is>
      </x:c>
      <x:c r="H279" s="58" t="str">
        <x:f>IF(LEN(I279)&lt;15,"短",IF(LEN(I279)&lt;=45,"中","长"))</x:f>
        <x:v>中</x:v>
      </x:c>
      <x:c r="I279" s="59" t="inlineStr">
        <x:is>
          <x:t xml:space="preserve">字段 is_female 为历史遗留命名，下游有依赖，暂不重命名。</x:t>
        </x:is>
      </x:c>
      <x:c r="J279" s="59" t="str">
        <x:f>I279</x:f>
        <x:v>字段 is_female 为历史遗留命名，下游有依赖，暂不重命名。</x:v>
      </x:c>
      <x:c r="K279" s="58" t="inlineStr">
        <x:is>
          <x:t xml:space="preserve">无需改写</x:t>
        </x:is>
      </x:c>
      <x:c r="L279" s="59" t="inlineStr">
        <x:is>
          <x:t xml:space="preserve">is_female</x:t>
        </x:is>
      </x:c>
      <x:c r="M279" s="59" t="inlineStr">
        <x:is>
          <x:t xml:space="preserve">技术标识符，改动会破坏数据管线</x:t>
        </x:is>
      </x:c>
      <x:c r="N279" s="59" t="inlineStr">
        <x:is>
          <x:t xml:space="preserve">字段 is_woman 为历史遗留命名</x:t>
        </x:is>
      </x:c>
      <x:c r="O279" s="58" t="inlineStr">
        <x:is>
          <x:t xml:space="preserve">中</x:t>
        </x:is>
      </x:c>
      <x:c r="P279" s="58" t="inlineStr">
        <x:is>
          <x:t xml:space="preserve">否</x:t>
        </x:is>
      </x:c>
      <x:c r="Q279" s="59" t="inlineStr">
        <x:is>
          <x:t xml:space="preserve">结构化文本中的性别语素属高危误改点</x:t>
        </x:is>
      </x:c>
      <x:c r="R279" s="60" t="inlineStr">
        <x:is>
          <x:t xml:space="preserve">隔离·待确认</x:t>
        </x:is>
      </x:c>
      <x:c r="S279" s="60" t="inlineStr">
        <x:is>
          <x:t xml:space="preserve"/>
        </x:is>
      </x:c>
      <x:c r="T279" s="60" t="inlineStr">
        <x:is>
          <x:t xml:space="preserve">触发词不含性别编码——判断可能依赖世界知识而非句内信息</x:t>
        </x:is>
      </x:c>
    </x:row>
    <x:row r="280" s="37" customFormat="1" ht="29.850000381469727" customHeight="1">
      <x:c r="A280" s="58" t="inlineStr">
        <x:is>
          <x:t xml:space="preserve">NEG-0279</x:t>
        </x:is>
      </x:c>
      <x:c r="B280" s="58" t="inlineStr">
        <x:is>
          <x:t xml:space="preserve">v3</x:t>
        </x:is>
      </x:c>
      <x:c r="C280" s="59" t="inlineStr">
        <x:is>
          <x:t xml:space="preserve">九、假触发词（形似而非）</x:t>
        </x:is>
      </x:c>
      <x:c r="D280" s="59" t="inlineStr">
        <x:is>
          <x:t xml:space="preserve">9.4 计算机与数学</x:t>
        </x:is>
      </x:c>
      <x:c r="E280" s="59" t="inlineStr">
        <x:is>
          <x:t xml:space="preserve">工程与技术</x:t>
        </x:is>
      </x:c>
      <x:c r="F280" s="59" t="inlineStr">
        <x:is>
          <x:t xml:space="preserve">版本管理</x:t>
        </x:is>
      </x:c>
      <x:c r="G280" s="58" t="inlineStr">
        <x:is>
          <x:t xml:space="preserve">无</x:t>
        </x:is>
      </x:c>
      <x:c r="H280" s="58" t="str">
        <x:f>IF(LEN(I280)&lt;15,"短",IF(LEN(I280)&lt;=45,"中","长"))</x:f>
        <x:v>中</x:v>
      </x:c>
      <x:c r="I280" s="59" t="inlineStr">
        <x:is>
          <x:t xml:space="preserve">把 master 分支改名成 main 之后，CI 配置也要跟着改。</x:t>
        </x:is>
      </x:c>
      <x:c r="J280" s="59" t="str">
        <x:f>I280</x:f>
        <x:v>把 master 分支改名成 main 之后，CI 配置也要跟着改。</x:v>
      </x:c>
      <x:c r="K280" s="58" t="inlineStr">
        <x:is>
          <x:t xml:space="preserve">无需改写</x:t>
        </x:is>
      </x:c>
      <x:c r="L280" s="59" t="inlineStr">
        <x:is>
          <x:t xml:space="preserve">master</x:t>
        </x:is>
      </x:c>
      <x:c r="M280" s="59" t="inlineStr">
        <x:is>
          <x:t xml:space="preserve">分支名称，且句子本身在记录一次改名操作</x:t>
        </x:is>
      </x:c>
      <x:c r="N280" s="59" t="inlineStr">
        <x:is>
          <x:t xml:space="preserve">把主分支改名之后，CI 配置也要跟着改</x:t>
        </x:is>
      </x:c>
      <x:c r="O280" s="58" t="inlineStr">
        <x:is>
          <x:t xml:space="preserve">中</x:t>
        </x:is>
      </x:c>
      <x:c r="P280" s="58" t="inlineStr">
        <x:is>
          <x:t xml:space="preserve">是</x:t>
        </x:is>
      </x:c>
      <x:c r="Q280" s="59" t="inlineStr">
        <x:is>
          <x:t xml:space="preserve">master/main 的更名本身是业界议题，但此处是操作记录</x:t>
        </x:is>
      </x:c>
      <x:c r="R280" s="60" t="inlineStr">
        <x:is>
          <x:t xml:space="preserve">隔离·待确认</x:t>
        </x:is>
      </x:c>
      <x:c r="S280" s="60" t="inlineStr">
        <x:is>
          <x:t xml:space="preserve"/>
        </x:is>
      </x:c>
      <x:c r="T280" s="60" t="inlineStr">
        <x:is>
          <x:t xml:space="preserve">触发词不含性别编码——判断可能依赖世界知识而非句内信息</x:t>
        </x:is>
      </x:c>
    </x:row>
    <x:row r="281" s="37" customFormat="1" ht="29.850000381469727" customHeight="1">
      <x:c r="A281" s="58" t="inlineStr">
        <x:is>
          <x:t xml:space="preserve">NEG-0280</x:t>
        </x:is>
      </x:c>
      <x:c r="B281" s="58" t="inlineStr">
        <x:is>
          <x:t xml:space="preserve">v3</x:t>
        </x:is>
      </x:c>
      <x:c r="C281" s="59" t="inlineStr">
        <x:is>
          <x:t xml:space="preserve">九、假触发词（形似而非）</x:t>
        </x:is>
      </x:c>
      <x:c r="D281" s="59" t="inlineStr">
        <x:is>
          <x:t xml:space="preserve">9.4 计算机与数学</x:t>
        </x:is>
      </x:c>
      <x:c r="E281" s="59" t="inlineStr">
        <x:is>
          <x:t xml:space="preserve">工程与技术</x:t>
        </x:is>
      </x:c>
      <x:c r="F281" s="59" t="inlineStr">
        <x:is>
          <x:t xml:space="preserve">数据库运维</x:t>
        </x:is>
      </x:c>
      <x:c r="G281" s="58" t="inlineStr">
        <x:is>
          <x:t xml:space="preserve">无</x:t>
        </x:is>
      </x:c>
      <x:c r="H281" s="58" t="str">
        <x:f>IF(LEN(I281)&lt;15,"短",IF(LEN(I281)&lt;=45,"中","长"))</x:f>
        <x:v>中</x:v>
      </x:c>
      <x:c r="I281" s="59" t="inlineStr">
        <x:is>
          <x:t xml:space="preserve">主从复制延迟超过阈值会触发告警。</x:t>
        </x:is>
      </x:c>
      <x:c r="J281" s="59" t="str">
        <x:f>I281</x:f>
        <x:v>主从复制延迟超过阈值会触发告警。</x:v>
      </x:c>
      <x:c r="K281" s="58" t="inlineStr">
        <x:is>
          <x:t xml:space="preserve">无需改写</x:t>
        </x:is>
      </x:c>
      <x:c r="L281" s="59" t="inlineStr">
        <x:is>
          <x:t xml:space="preserve">主从复制</x:t>
        </x:is>
      </x:c>
      <x:c r="M281" s="59" t="inlineStr">
        <x:is>
          <x:t xml:space="preserve">数据库术语</x:t>
        </x:is>
      </x:c>
      <x:c r="N281" s="59" t="inlineStr">
        <x:is>
          <x:t xml:space="preserve">主备复制延迟超过阈值会触发告警</x:t>
        </x:is>
      </x:c>
      <x:c r="O281" s="58" t="inlineStr">
        <x:is>
          <x:t xml:space="preserve">中</x:t>
        </x:is>
      </x:c>
      <x:c r="P281" s="58" t="inlineStr">
        <x:is>
          <x:t xml:space="preserve">是</x:t>
        </x:is>
      </x:c>
      <x:c r="Q281" s="59" t="inlineStr">
        <x:is>
          <x:t xml:space="preserve">主从/主备的术语更替在业界仍有分歧</x:t>
        </x:is>
      </x:c>
      <x:c r="R281" s="60" t="inlineStr">
        <x:is>
          <x:t xml:space="preserve">隔离·待确认</x:t>
        </x:is>
      </x:c>
      <x:c r="S281" s="60" t="inlineStr">
        <x:is>
          <x:t xml:space="preserve"/>
        </x:is>
      </x:c>
      <x:c r="T281" s="60" t="inlineStr">
        <x:is>
          <x:t xml:space="preserve">触发词不含性别编码——判断可能依赖世界知识而非句内信息</x:t>
        </x:is>
      </x:c>
    </x:row>
    <x:row r="282" s="37" customFormat="1" ht="29.850000381469727" customHeight="1">
      <x:c r="A282" s="58" t="inlineStr">
        <x:is>
          <x:t xml:space="preserve">NEG-0281</x:t>
        </x:is>
      </x:c>
      <x:c r="B282" s="58" t="inlineStr">
        <x:is>
          <x:t xml:space="preserve">v3</x:t>
        </x:is>
      </x:c>
      <x:c r="C282" s="59" t="inlineStr">
        <x:is>
          <x:t xml:space="preserve">九、假触发词（形似而非）</x:t>
        </x:is>
      </x:c>
      <x:c r="D282" s="59" t="inlineStr">
        <x:is>
          <x:t xml:space="preserve">9.4 计算机与数学</x:t>
        </x:is>
      </x:c>
      <x:c r="E282" s="59" t="inlineStr">
        <x:is>
          <x:t xml:space="preserve">工程与技术</x:t>
        </x:is>
      </x:c>
      <x:c r="F282" s="59" t="inlineStr">
        <x:is>
          <x:t xml:space="preserve">算法教材</x:t>
        </x:is>
      </x:c>
      <x:c r="G282" s="58" t="inlineStr">
        <x:is>
          <x:t xml:space="preserve">无</x:t>
        </x:is>
      </x:c>
      <x:c r="H282" s="58" t="str">
        <x:f>IF(LEN(I282)&lt;15,"短",IF(LEN(I282)&lt;=45,"中","长"))</x:f>
        <x:v>中</x:v>
      </x:c>
      <x:c r="I282" s="59" t="inlineStr">
        <x:is>
          <x:t xml:space="preserve">二叉树中每个节点最多有左子树和右子树。</x:t>
        </x:is>
      </x:c>
      <x:c r="J282" s="59" t="str">
        <x:f>I282</x:f>
        <x:v>二叉树中每个节点最多有左子树和右子树。</x:v>
      </x:c>
      <x:c r="K282" s="58" t="inlineStr">
        <x:is>
          <x:t xml:space="preserve">无需改写</x:t>
        </x:is>
      </x:c>
      <x:c r="L282" s="59" t="inlineStr">
        <x:is>
          <x:t xml:space="preserve">子树</x:t>
        </x:is>
      </x:c>
      <x:c r="M282" s="59" t="inlineStr">
        <x:is>
          <x:t xml:space="preserve">数据结构术语</x:t>
        </x:is>
      </x:c>
      <x:c r="N282" s="59" t="inlineStr">
        <x:is>
          <x:t xml:space="preserve">二叉树中每个节点最多有两个分支</x:t>
        </x:is>
      </x:c>
      <x:c r="O282" s="58" t="inlineStr">
        <x:is>
          <x:t xml:space="preserve">易</x:t>
        </x:is>
      </x:c>
      <x:c r="P282" s="58" t="inlineStr">
        <x:is>
          <x:t xml:space="preserve">否</x:t>
        </x:is>
      </x:c>
      <x:c r="Q282" s="59" t="n"/>
      <x:c r="R282" s="60" t="inlineStr">
        <x:is>
          <x:t xml:space="preserve">隔离·待确认</x:t>
        </x:is>
      </x:c>
      <x:c r="S282" s="60" t="inlineStr">
        <x:is>
          <x:t xml:space="preserve"/>
        </x:is>
      </x:c>
      <x:c r="T282" s="60" t="inlineStr">
        <x:is>
          <x:t xml:space="preserve">触发词不含性别编码——判断可能依赖世界知识而非句内信息</x:t>
        </x:is>
      </x:c>
    </x:row>
    <x:row r="283" s="37" customFormat="1" ht="29.850000381469727" customHeight="1">
      <x:c r="A283" s="55" t="inlineStr">
        <x:is>
          <x:t xml:space="preserve">NEG-0282</x:t>
        </x:is>
      </x:c>
      <x:c r="B283" s="55" t="inlineStr">
        <x:is>
          <x:t xml:space="preserve">v3</x:t>
        </x:is>
      </x:c>
      <x:c r="C283" s="56" t="inlineStr">
        <x:is>
          <x:t xml:space="preserve">九、假触发词（形似而非）</x:t>
        </x:is>
      </x:c>
      <x:c r="D283" s="56" t="inlineStr">
        <x:is>
          <x:t xml:space="preserve">9.4 计算机与数学</x:t>
        </x:is>
      </x:c>
      <x:c r="E283" s="56" t="inlineStr">
        <x:is>
          <x:t xml:space="preserve">工程与技术</x:t>
        </x:is>
      </x:c>
      <x:c r="F283" s="56" t="inlineStr">
        <x:is>
          <x:t xml:space="preserve">建站文档</x:t>
        </x:is>
      </x:c>
      <x:c r="G283" s="55" t="inlineStr">
        <x:is>
          <x:t xml:space="preserve">无</x:t>
        </x:is>
      </x:c>
      <x:c r="H283" s="55" t="str">
        <x:f>IF(LEN(I283)&lt;15,"短",IF(LEN(I283)&lt;=45,"中","长"))</x:f>
        <x:v>中</x:v>
      </x:c>
      <x:c r="I283" s="56" t="inlineStr">
        <x:is>
          <x:t xml:space="preserve">母版页里定义了页头页脚等公共布局。</x:t>
        </x:is>
      </x:c>
      <x:c r="J283" s="56" t="str">
        <x:f>I283</x:f>
        <x:v>母版页里定义了页头页脚等公共布局。</x:v>
      </x:c>
      <x:c r="K283" s="55" t="inlineStr">
        <x:is>
          <x:t xml:space="preserve">无需改写</x:t>
        </x:is>
      </x:c>
      <x:c r="L283" s="56" t="inlineStr">
        <x:is>
          <x:t xml:space="preserve">母版页</x:t>
        </x:is>
      </x:c>
      <x:c r="M283" s="56" t="inlineStr">
        <x:is>
          <x:t xml:space="preserve">Web 开发术语</x:t>
        </x:is>
      </x:c>
      <x:c r="N283" s="56" t="inlineStr">
        <x:is>
          <x:t xml:space="preserve">模板页里定义了页头页脚</x:t>
        </x:is>
      </x:c>
      <x:c r="O283" s="55" t="inlineStr">
        <x:is>
          <x:t xml:space="preserve">易</x:t>
        </x:is>
      </x:c>
      <x:c r="P283" s="55" t="inlineStr">
        <x:is>
          <x:t xml:space="preserve">否</x:t>
        </x:is>
      </x:c>
      <x:c r="Q283" s="56" t="n"/>
      <x:c r="R283" s="57" t="inlineStr">
        <x:is>
          <x:t xml:space="preserve">主集</x:t>
        </x:is>
      </x:c>
      <x:c r="S283" s="57" t="inlineStr">
        <x:is>
          <x:t xml:space="preserve">test</x:t>
        </x:is>
      </x:c>
      <x:c r="T283" s="57" t="inlineStr">
        <x:is>
          <x:t xml:space="preserve"/>
        </x:is>
      </x:c>
    </x:row>
    <x:row r="284" s="37" customFormat="1" ht="29.850000381469727" customHeight="1">
      <x:c r="A284" s="58" t="inlineStr">
        <x:is>
          <x:t xml:space="preserve">NEG-0283</x:t>
        </x:is>
      </x:c>
      <x:c r="B284" s="58" t="inlineStr">
        <x:is>
          <x:t xml:space="preserve">v3</x:t>
        </x:is>
      </x:c>
      <x:c r="C284" s="59" t="inlineStr">
        <x:is>
          <x:t xml:space="preserve">九、假触发词（形似而非）</x:t>
        </x:is>
      </x:c>
      <x:c r="D284" s="59" t="inlineStr">
        <x:is>
          <x:t xml:space="preserve">9.4 计算机与数学</x:t>
        </x:is>
      </x:c>
      <x:c r="E284" s="59" t="inlineStr">
        <x:is>
          <x:t xml:space="preserve">工程与技术</x:t>
        </x:is>
      </x:c>
      <x:c r="F284" s="59" t="inlineStr">
        <x:is>
          <x:t xml:space="preserve">网络运维</x:t>
        </x:is>
      </x:c>
      <x:c r="G284" s="58" t="inlineStr">
        <x:is>
          <x:t xml:space="preserve">无</x:t>
        </x:is>
      </x:c>
      <x:c r="H284" s="58" t="str">
        <x:f>IF(LEN(I284)&lt;15,"短",IF(LEN(I284)&lt;=45,"中","长"))</x:f>
        <x:v>中</x:v>
      </x:c>
      <x:c r="I284" s="59" t="inlineStr">
        <x:is>
          <x:t xml:space="preserve">子网掩码填错了，同网段的机器互相 ping 不通。</x:t>
        </x:is>
      </x:c>
      <x:c r="J284" s="59" t="str">
        <x:f>I284</x:f>
        <x:v>子网掩码填错了，同网段的机器互相 ping 不通。</x:v>
      </x:c>
      <x:c r="K284" s="58" t="inlineStr">
        <x:is>
          <x:t xml:space="preserve">无需改写</x:t>
        </x:is>
      </x:c>
      <x:c r="L284" s="59" t="inlineStr">
        <x:is>
          <x:t xml:space="preserve">子网掩码</x:t>
        </x:is>
      </x:c>
      <x:c r="M284" s="59" t="inlineStr">
        <x:is>
          <x:t xml:space="preserve">网络术语</x:t>
        </x:is>
      </x:c>
      <x:c r="N284" s="59" t="inlineStr">
        <x:is>
          <x:t xml:space="preserve">网络掩码填错了</x:t>
        </x:is>
      </x:c>
      <x:c r="O284" s="58" t="inlineStr">
        <x:is>
          <x:t xml:space="preserve">易</x:t>
        </x:is>
      </x:c>
      <x:c r="P284" s="58" t="inlineStr">
        <x:is>
          <x:t xml:space="preserve">否</x:t>
        </x:is>
      </x:c>
      <x:c r="Q284" s="59" t="n"/>
      <x:c r="R284" s="60" t="inlineStr">
        <x:is>
          <x:t xml:space="preserve">隔离·待确认</x:t>
        </x:is>
      </x:c>
      <x:c r="S284" s="60" t="inlineStr">
        <x:is>
          <x:t xml:space="preserve"/>
        </x:is>
      </x:c>
      <x:c r="T284" s="60" t="inlineStr">
        <x:is>
          <x:t xml:space="preserve">触发词不含性别编码——判断可能依赖世界知识而非句内信息</x:t>
        </x:is>
      </x:c>
    </x:row>
    <x:row r="285" s="37" customFormat="1" ht="29.850000381469727" customHeight="1">
      <x:c r="A285" s="55" t="inlineStr">
        <x:is>
          <x:t xml:space="preserve">NEG-0284</x:t>
        </x:is>
      </x:c>
      <x:c r="B285" s="55" t="inlineStr">
        <x:is>
          <x:t xml:space="preserve">v3</x:t>
        </x:is>
      </x:c>
      <x:c r="C285" s="56" t="inlineStr">
        <x:is>
          <x:t xml:space="preserve">九、假触发词（形似而非）</x:t>
        </x:is>
      </x:c>
      <x:c r="D285" s="56" t="inlineStr">
        <x:is>
          <x:t xml:space="preserve">9.5 组织与商业术语</x:t>
        </x:is>
      </x:c>
      <x:c r="E285" s="56" t="inlineStr">
        <x:is>
          <x:t xml:space="preserve">公文与规章</x:t>
        </x:is>
      </x:c>
      <x:c r="F285" s="56" t="inlineStr">
        <x:is>
          <x:t xml:space="preserve">合规文件</x:t>
        </x:is>
      </x:c>
      <x:c r="G285" s="55" t="inlineStr">
        <x:is>
          <x:t xml:space="preserve">无</x:t>
        </x:is>
      </x:c>
      <x:c r="H285" s="55" t="str">
        <x:f>IF(LEN(I285)&lt;15,"短",IF(LEN(I285)&lt;=45,"中","长"))</x:f>
        <x:v>中</x:v>
      </x:c>
      <x:c r="I285" s="56" t="inlineStr">
        <x:is>
          <x:t xml:space="preserve">母公司为子公司提供担保须经董事会决议。</x:t>
        </x:is>
      </x:c>
      <x:c r="J285" s="56" t="str">
        <x:f>I285</x:f>
        <x:v>母公司为子公司提供担保须经董事会决议。</x:v>
      </x:c>
      <x:c r="K285" s="55" t="inlineStr">
        <x:is>
          <x:t xml:space="preserve">无需改写</x:t>
        </x:is>
      </x:c>
      <x:c r="L285" s="56" t="inlineStr">
        <x:is>
          <x:t xml:space="preserve">母公司/子公司</x:t>
        </x:is>
      </x:c>
      <x:c r="M285" s="56" t="inlineStr">
        <x:is>
          <x:t xml:space="preserve">公司法术语</x:t>
        </x:is>
      </x:c>
      <x:c r="N285" s="56" t="inlineStr">
        <x:is>
          <x:t xml:space="preserve">控股公司为下属公司提供担保须经董事会决议</x:t>
        </x:is>
      </x:c>
      <x:c r="O285" s="55" t="inlineStr">
        <x:is>
          <x:t xml:space="preserve">易</x:t>
        </x:is>
      </x:c>
      <x:c r="P285" s="55" t="inlineStr">
        <x:is>
          <x:t xml:space="preserve">否</x:t>
        </x:is>
      </x:c>
      <x:c r="Q285" s="56" t="n"/>
      <x:c r="R285" s="57" t="inlineStr">
        <x:is>
          <x:t xml:space="preserve">主集</x:t>
        </x:is>
      </x:c>
      <x:c r="S285" s="57" t="inlineStr">
        <x:is>
          <x:t xml:space="preserve">index</x:t>
        </x:is>
      </x:c>
      <x:c r="T285" s="57" t="inlineStr">
        <x:is>
          <x:t xml:space="preserve"/>
        </x:is>
      </x:c>
    </x:row>
    <x:row r="286" s="37" customFormat="1" ht="29.850000381469727" customHeight="1">
      <x:c r="A286" s="55" t="inlineStr">
        <x:is>
          <x:t xml:space="preserve">NEG-0285</x:t>
        </x:is>
      </x:c>
      <x:c r="B286" s="55" t="inlineStr">
        <x:is>
          <x:t xml:space="preserve">v3</x:t>
        </x:is>
      </x:c>
      <x:c r="C286" s="56" t="inlineStr">
        <x:is>
          <x:t xml:space="preserve">九、假触发词（形似而非）</x:t>
        </x:is>
      </x:c>
      <x:c r="D286" s="56" t="inlineStr">
        <x:is>
          <x:t xml:space="preserve">9.5 组织与商业术语</x:t>
        </x:is>
      </x:c>
      <x:c r="E286" s="56" t="inlineStr">
        <x:is>
          <x:t xml:space="preserve">商业与产品</x:t>
        </x:is>
      </x:c>
      <x:c r="F286" s="56" t="inlineStr">
        <x:is>
          <x:t xml:space="preserve">校友通讯</x:t>
        </x:is>
      </x:c>
      <x:c r="G286" s="55" t="inlineStr">
        <x:is>
          <x:t xml:space="preserve">无</x:t>
        </x:is>
      </x:c>
      <x:c r="H286" s="55" t="str">
        <x:f>IF(LEN(I286)&lt;15,"短",IF(LEN(I286)&lt;=45,"中","长"))</x:f>
        <x:v>中</x:v>
      </x:c>
      <x:c r="I286" s="56" t="inlineStr">
        <x:is>
          <x:t xml:space="preserve">他毕业二十年后第一次回母校，操场已经翻新过两轮。</x:t>
        </x:is>
      </x:c>
      <x:c r="J286" s="56" t="str">
        <x:f>I286</x:f>
        <x:v>他毕业二十年后第一次回母校，操场已经翻新过两轮。</x:v>
      </x:c>
      <x:c r="K286" s="55" t="inlineStr">
        <x:is>
          <x:t xml:space="preserve">无需改写</x:t>
        </x:is>
      </x:c>
      <x:c r="L286" s="56" t="inlineStr">
        <x:is>
          <x:t xml:space="preserve">母校</x:t>
        </x:is>
      </x:c>
      <x:c r="M286" s="56" t="inlineStr">
        <x:is>
          <x:t xml:space="preserve">固定词</x:t>
        </x:is>
      </x:c>
      <x:c r="N286" s="56" t="inlineStr">
        <x:is>
          <x:t xml:space="preserve">他毕业二十年后第一次回学校</x:t>
        </x:is>
      </x:c>
      <x:c r="O286" s="55" t="inlineStr">
        <x:is>
          <x:t xml:space="preserve">易</x:t>
        </x:is>
      </x:c>
      <x:c r="P286" s="55" t="inlineStr">
        <x:is>
          <x:t xml:space="preserve">否</x:t>
        </x:is>
      </x:c>
      <x:c r="Q286" s="56" t="n"/>
      <x:c r="R286" s="57" t="inlineStr">
        <x:is>
          <x:t xml:space="preserve">主集</x:t>
        </x:is>
      </x:c>
      <x:c r="S286" s="57" t="inlineStr">
        <x:is>
          <x:t xml:space="preserve">test</x:t>
        </x:is>
      </x:c>
      <x:c r="T286" s="57" t="inlineStr">
        <x:is>
          <x:t xml:space="preserve"/>
        </x:is>
      </x:c>
    </x:row>
    <x:row r="287" s="37" customFormat="1" ht="29.850000381469727" customHeight="1">
      <x:c r="A287" s="55" t="inlineStr">
        <x:is>
          <x:t xml:space="preserve">NEG-0286</x:t>
        </x:is>
      </x:c>
      <x:c r="B287" s="55" t="inlineStr">
        <x:is>
          <x:t xml:space="preserve">v3</x:t>
        </x:is>
      </x:c>
      <x:c r="C287" s="56" t="inlineStr">
        <x:is>
          <x:t xml:space="preserve">九、假触发词（形似而非）</x:t>
        </x:is>
      </x:c>
      <x:c r="D287" s="56" t="inlineStr">
        <x:is>
          <x:t xml:space="preserve">9.5 组织与商业术语</x:t>
        </x:is>
      </x:c>
      <x:c r="E287" s="56" t="inlineStr">
        <x:is>
          <x:t xml:space="preserve">公文与规章</x:t>
        </x:is>
      </x:c>
      <x:c r="F287" s="56" t="inlineStr">
        <x:is>
          <x:t xml:space="preserve">留学须知</x:t>
        </x:is>
      </x:c>
      <x:c r="G287" s="55" t="inlineStr">
        <x:is>
          <x:t xml:space="preserve">无</x:t>
        </x:is>
      </x:c>
      <x:c r="H287" s="55" t="str">
        <x:f>IF(LEN(I287)&lt;15,"短",IF(LEN(I287)&lt;=45,"中","长"))</x:f>
        <x:v>中</x:v>
      </x:c>
      <x:c r="I287" s="56" t="inlineStr">
        <x:is>
          <x:t xml:space="preserve">母语非英语的申请人须额外提交语言成绩。</x:t>
        </x:is>
      </x:c>
      <x:c r="J287" s="56" t="str">
        <x:f>I287</x:f>
        <x:v>母语非英语的申请人须额外提交语言成绩。</x:v>
      </x:c>
      <x:c r="K287" s="55" t="inlineStr">
        <x:is>
          <x:t xml:space="preserve">无需改写</x:t>
        </x:is>
      </x:c>
      <x:c r="L287" s="56" t="inlineStr">
        <x:is>
          <x:t xml:space="preserve">母语</x:t>
        </x:is>
      </x:c>
      <x:c r="M287" s="56" t="inlineStr">
        <x:is>
          <x:t xml:space="preserve">语言学与行政术语</x:t>
        </x:is>
      </x:c>
      <x:c r="N287" s="56" t="inlineStr">
        <x:is>
          <x:t xml:space="preserve">第一语言非英语的申请人须额外提交语言成绩</x:t>
        </x:is>
      </x:c>
      <x:c r="O287" s="55" t="inlineStr">
        <x:is>
          <x:t xml:space="preserve">易</x:t>
        </x:is>
      </x:c>
      <x:c r="P287" s="55" t="inlineStr">
        <x:is>
          <x:t xml:space="preserve">否</x:t>
        </x:is>
      </x:c>
      <x:c r="Q287" s="56" t="n"/>
      <x:c r="R287" s="57" t="inlineStr">
        <x:is>
          <x:t xml:space="preserve">主集</x:t>
        </x:is>
      </x:c>
      <x:c r="S287" s="57" t="inlineStr">
        <x:is>
          <x:t xml:space="preserve">test</x:t>
        </x:is>
      </x:c>
      <x:c r="T287" s="57" t="inlineStr">
        <x:is>
          <x:t xml:space="preserve"/>
        </x:is>
      </x:c>
    </x:row>
    <x:row r="288" s="37" customFormat="1" ht="29.850000381469727" customHeight="1">
      <x:c r="A288" s="55" t="inlineStr">
        <x:is>
          <x:t xml:space="preserve">NEG-0287</x:t>
        </x:is>
      </x:c>
      <x:c r="B288" s="55" t="inlineStr">
        <x:is>
          <x:t xml:space="preserve">v3</x:t>
        </x:is>
      </x:c>
      <x:c r="C288" s="56" t="inlineStr">
        <x:is>
          <x:t xml:space="preserve">九、假触发词（形似而非）</x:t>
        </x:is>
      </x:c>
      <x:c r="D288" s="56" t="inlineStr">
        <x:is>
          <x:t xml:space="preserve">9.5 组织与商业术语</x:t>
        </x:is>
      </x:c>
      <x:c r="E288" s="56" t="inlineStr">
        <x:is>
          <x:t xml:space="preserve">商业与产品</x:t>
        </x:is>
      </x:c>
      <x:c r="F288" s="56" t="inlineStr">
        <x:is>
          <x:t xml:space="preserve">音乐产业</x:t>
        </x:is>
      </x:c>
      <x:c r="G288" s="55" t="inlineStr">
        <x:is>
          <x:t xml:space="preserve">无</x:t>
        </x:is>
      </x:c>
      <x:c r="H288" s="55" t="str">
        <x:f>IF(LEN(I288)&lt;15,"短",IF(LEN(I288)&lt;=45,"中","长"))</x:f>
        <x:v>中</x:v>
      </x:c>
      <x:c r="I288" s="56" t="inlineStr">
        <x:is>
          <x:t xml:space="preserve">这张唱片的母带至今保存在伦敦的库房里。</x:t>
        </x:is>
      </x:c>
      <x:c r="J288" s="56" t="str">
        <x:f>I288</x:f>
        <x:v>这张唱片的母带至今保存在伦敦的库房里。</x:v>
      </x:c>
      <x:c r="K288" s="55" t="inlineStr">
        <x:is>
          <x:t xml:space="preserve">无需改写</x:t>
        </x:is>
      </x:c>
      <x:c r="L288" s="56" t="inlineStr">
        <x:is>
          <x:t xml:space="preserve">母带</x:t>
        </x:is>
      </x:c>
      <x:c r="M288" s="56" t="inlineStr">
        <x:is>
          <x:t xml:space="preserve">录音术语</x:t>
        </x:is>
      </x:c>
      <x:c r="N288" s="56" t="inlineStr">
        <x:is>
          <x:t xml:space="preserve">这张唱片的原始录音带至今保存在伦敦</x:t>
        </x:is>
      </x:c>
      <x:c r="O288" s="55" t="inlineStr">
        <x:is>
          <x:t xml:space="preserve">易</x:t>
        </x:is>
      </x:c>
      <x:c r="P288" s="55" t="inlineStr">
        <x:is>
          <x:t xml:space="preserve">否</x:t>
        </x:is>
      </x:c>
      <x:c r="Q288" s="56" t="n"/>
      <x:c r="R288" s="57" t="inlineStr">
        <x:is>
          <x:t xml:space="preserve">主集</x:t>
        </x:is>
      </x:c>
      <x:c r="S288" s="57" t="inlineStr">
        <x:is>
          <x:t xml:space="preserve">index</x:t>
        </x:is>
      </x:c>
      <x:c r="T288" s="57" t="inlineStr">
        <x:is>
          <x:t xml:space="preserve"/>
        </x:is>
      </x:c>
    </x:row>
    <x:row r="289" s="37" customFormat="1" ht="29.850000381469727" customHeight="1">
      <x:c r="A289" s="58" t="inlineStr">
        <x:is>
          <x:t xml:space="preserve">NEG-0288</x:t>
        </x:is>
      </x:c>
      <x:c r="B289" s="58" t="inlineStr">
        <x:is>
          <x:t xml:space="preserve">v3</x:t>
        </x:is>
      </x:c>
      <x:c r="C289" s="59" t="inlineStr">
        <x:is>
          <x:t xml:space="preserve">九、假触发词（形似而非）</x:t>
        </x:is>
      </x:c>
      <x:c r="D289" s="59" t="inlineStr">
        <x:is>
          <x:t xml:space="preserve">9.5 组织与商业术语</x:t>
        </x:is>
      </x:c>
      <x:c r="E289" s="59" t="inlineStr">
        <x:is>
          <x:t xml:space="preserve">商业与产品</x:t>
        </x:is>
      </x:c>
      <x:c r="F289" s="59" t="inlineStr">
        <x:is>
          <x:t xml:space="preserve">品牌策略</x:t>
        </x:is>
      </x:c>
      <x:c r="G289" s="58" t="inlineStr">
        <x:is>
          <x:t xml:space="preserve">无</x:t>
        </x:is>
      </x:c>
      <x:c r="H289" s="58" t="str">
        <x:f>IF(LEN(I289)&lt;15,"短",IF(LEN(I289)&lt;=45,"中","长"))</x:f>
        <x:v>中</x:v>
      </x:c>
      <x:c r="I289" s="59" t="inlineStr">
        <x:is>
          <x:t xml:space="preserve">子品牌的定位必须与主品牌形成区隔。</x:t>
        </x:is>
      </x:c>
      <x:c r="J289" s="59" t="str">
        <x:f>I289</x:f>
        <x:v>子品牌的定位必须与主品牌形成区隔。</x:v>
      </x:c>
      <x:c r="K289" s="58" t="inlineStr">
        <x:is>
          <x:t xml:space="preserve">无需改写</x:t>
        </x:is>
      </x:c>
      <x:c r="L289" s="59" t="inlineStr">
        <x:is>
          <x:t xml:space="preserve">子品牌</x:t>
        </x:is>
      </x:c>
      <x:c r="M289" s="59" t="inlineStr">
        <x:is>
          <x:t xml:space="preserve">商业术语</x:t>
        </x:is>
      </x:c>
      <x:c r="N289" s="59" t="inlineStr">
        <x:is>
          <x:t xml:space="preserve">副品牌的定位必须与主品牌形成区隔</x:t>
        </x:is>
      </x:c>
      <x:c r="O289" s="58" t="inlineStr">
        <x:is>
          <x:t xml:space="preserve">易</x:t>
        </x:is>
      </x:c>
      <x:c r="P289" s="58" t="inlineStr">
        <x:is>
          <x:t xml:space="preserve">否</x:t>
        </x:is>
      </x:c>
      <x:c r="Q289" s="59" t="n"/>
      <x:c r="R289" s="60" t="inlineStr">
        <x:is>
          <x:t xml:space="preserve">隔离·待确认</x:t>
        </x:is>
      </x:c>
      <x:c r="S289" s="60" t="inlineStr">
        <x:is>
          <x:t xml:space="preserve"/>
        </x:is>
      </x:c>
      <x:c r="T289" s="60" t="inlineStr">
        <x:is>
          <x:t xml:space="preserve">触发词不含性别编码——判断可能依赖世界知识而非句内信息</x:t>
        </x:is>
      </x:c>
    </x:row>
    <x:row r="290" s="37" customFormat="1" ht="29.850000381469727" customHeight="1">
      <x:c r="A290" s="55" t="inlineStr">
        <x:is>
          <x:t xml:space="preserve">NEG-0289</x:t>
        </x:is>
      </x:c>
      <x:c r="B290" s="55" t="inlineStr">
        <x:is>
          <x:t xml:space="preserve">v3</x:t>
        </x:is>
      </x:c>
      <x:c r="C290" s="56" t="inlineStr">
        <x:is>
          <x:t xml:space="preserve">九、假触发词（形似而非）</x:t>
        </x:is>
      </x:c>
      <x:c r="D290" s="56" t="inlineStr">
        <x:is>
          <x:t xml:space="preserve">9.5 组织与商业术语</x:t>
        </x:is>
      </x:c>
      <x:c r="E290" s="56" t="inlineStr">
        <x:is>
          <x:t xml:space="preserve">口语与私人交流</x:t>
        </x:is>
      </x:c>
      <x:c r="F290" s="56" t="inlineStr">
        <x:is>
          <x:t xml:space="preserve">办公口语</x:t>
        </x:is>
      </x:c>
      <x:c r="G290" s="55" t="inlineStr">
        <x:is>
          <x:t xml:space="preserve">无</x:t>
        </x:is>
      </x:c>
      <x:c r="H290" s="55" t="str">
        <x:f>IF(LEN(I290)&lt;15,"短",IF(LEN(I290)&lt;=45,"中","长"))</x:f>
        <x:v>中</x:v>
      </x:c>
      <x:c r="I290" s="56" t="inlineStr">
        <x:is>
          <x:t xml:space="preserve">这个是母版文件，改之前记得先另存一份。</x:t>
        </x:is>
      </x:c>
      <x:c r="J290" s="56" t="str">
        <x:f>I290</x:f>
        <x:v>这个是母版文件，改之前记得先另存一份。</x:v>
      </x:c>
      <x:c r="K290" s="55" t="inlineStr">
        <x:is>
          <x:t xml:space="preserve">无需改写</x:t>
        </x:is>
      </x:c>
      <x:c r="L290" s="56" t="inlineStr">
        <x:is>
          <x:t xml:space="preserve">母版</x:t>
        </x:is>
      </x:c>
      <x:c r="M290" s="56" t="inlineStr">
        <x:is>
          <x:t xml:space="preserve">文档管理术语</x:t>
        </x:is>
      </x:c>
      <x:c r="N290" s="56" t="inlineStr">
        <x:is>
          <x:t xml:space="preserve">这个是原始文件，改之前记得先另存</x:t>
        </x:is>
      </x:c>
      <x:c r="O290" s="55" t="inlineStr">
        <x:is>
          <x:t xml:space="preserve">易</x:t>
        </x:is>
      </x:c>
      <x:c r="P290" s="55" t="inlineStr">
        <x:is>
          <x:t xml:space="preserve">否</x:t>
        </x:is>
      </x:c>
      <x:c r="Q290" s="56" t="n"/>
      <x:c r="R290" s="57" t="inlineStr">
        <x:is>
          <x:t xml:space="preserve">主集</x:t>
        </x:is>
      </x:c>
      <x:c r="S290" s="57" t="inlineStr">
        <x:is>
          <x:t xml:space="preserve">index</x:t>
        </x:is>
      </x:c>
      <x:c r="T290" s="57" t="inlineStr">
        <x:is>
          <x:t xml:space="preserve"/>
        </x:is>
      </x:c>
    </x:row>
    <x:row r="291" s="37" customFormat="1" ht="29.850000381469727" customHeight="1">
      <x:c r="A291" s="55" t="inlineStr">
        <x:is>
          <x:t xml:space="preserve">NEG-0290</x:t>
        </x:is>
      </x:c>
      <x:c r="B291" s="55" t="inlineStr">
        <x:is>
          <x:t xml:space="preserve">v3</x:t>
        </x:is>
      </x:c>
      <x:c r="C291" s="56" t="inlineStr">
        <x:is>
          <x:t xml:space="preserve">九、假触发词（形似而非）</x:t>
        </x:is>
      </x:c>
      <x:c r="D291" s="56" t="inlineStr">
        <x:is>
          <x:t xml:space="preserve">9.5 组织与商业术语</x:t>
        </x:is>
      </x:c>
      <x:c r="E291" s="56" t="inlineStr">
        <x:is>
          <x:t xml:space="preserve">新闻报道</x:t>
        </x:is>
      </x:c>
      <x:c r="F291" s="56" t="inlineStr">
        <x:is>
          <x:t xml:space="preserve">军事新闻</x:t>
        </x:is>
      </x:c>
      <x:c r="G291" s="55" t="inlineStr">
        <x:is>
          <x:t xml:space="preserve">无</x:t>
        </x:is>
      </x:c>
      <x:c r="H291" s="55" t="str">
        <x:f>IF(LEN(I291)&lt;15,"短",IF(LEN(I291)&lt;=45,"中","长"))</x:f>
        <x:v>中</x:v>
      </x:c>
      <x:c r="I291" s="56" t="inlineStr">
        <x:is>
          <x:t xml:space="preserve">该航母编队已完成首次远海训练任务。</x:t>
        </x:is>
      </x:c>
      <x:c r="J291" s="56" t="str">
        <x:f>I291</x:f>
        <x:v>该航母编队已完成首次远海训练任务。</x:v>
      </x:c>
      <x:c r="K291" s="55" t="inlineStr">
        <x:is>
          <x:t xml:space="preserve">无需改写</x:t>
        </x:is>
      </x:c>
      <x:c r="L291" s="56" t="inlineStr">
        <x:is>
          <x:t xml:space="preserve">航母</x:t>
        </x:is>
      </x:c>
      <x:c r="M291" s="56" t="inlineStr">
        <x:is>
          <x:t xml:space="preserve">装备名称</x:t>
        </x:is>
      </x:c>
      <x:c r="N291" s="56" t="inlineStr">
        <x:is>
          <x:t xml:space="preserve">该舰艇编队已完成首次远海训练</x:t>
        </x:is>
      </x:c>
      <x:c r="O291" s="55" t="inlineStr">
        <x:is>
          <x:t xml:space="preserve">易</x:t>
        </x:is>
      </x:c>
      <x:c r="P291" s="55" t="inlineStr">
        <x:is>
          <x:t xml:space="preserve">否</x:t>
        </x:is>
      </x:c>
      <x:c r="Q291" s="56" t="n"/>
      <x:c r="R291" s="57" t="inlineStr">
        <x:is>
          <x:t xml:space="preserve">主集</x:t>
        </x:is>
      </x:c>
      <x:c r="S291" s="57" t="inlineStr">
        <x:is>
          <x:t xml:space="preserve">index</x:t>
        </x:is>
      </x:c>
      <x:c r="T291" s="57" t="inlineStr">
        <x:is>
          <x:t xml:space="preserve"/>
        </x:is>
      </x:c>
    </x:row>
    <x:row r="292" s="37" customFormat="1" ht="29.850000381469727" customHeight="1">
      <x:c r="A292" s="55" t="inlineStr">
        <x:is>
          <x:t xml:space="preserve">NEG-0291</x:t>
        </x:is>
      </x:c>
      <x:c r="B292" s="55" t="inlineStr">
        <x:is>
          <x:t xml:space="preserve">v3</x:t>
        </x:is>
      </x:c>
      <x:c r="C292" s="56" t="inlineStr">
        <x:is>
          <x:t xml:space="preserve">九、假触发词（形似而非）</x:t>
        </x:is>
      </x:c>
      <x:c r="D292" s="56" t="inlineStr">
        <x:is>
          <x:t xml:space="preserve">9.5 组织与商业术语</x:t>
        </x:is>
      </x:c>
      <x:c r="E292" s="56" t="inlineStr">
        <x:is>
          <x:t xml:space="preserve">商业与产品</x:t>
        </x:is>
      </x:c>
      <x:c r="F292" s="56" t="inlineStr">
        <x:is>
          <x:t xml:space="preserve">投资简报</x:t>
        </x:is>
      </x:c>
      <x:c r="G292" s="55" t="inlineStr">
        <x:is>
          <x:t xml:space="preserve">无</x:t>
        </x:is>
      </x:c>
      <x:c r="H292" s="55" t="str">
        <x:f>IF(LEN(I292)&lt;15,"短",IF(LEN(I292)&lt;=45,"中","长"))</x:f>
        <x:v>中</x:v>
      </x:c>
      <x:c r="I292" s="56" t="inlineStr">
        <x:is>
          <x:t xml:space="preserve">这只母基金主要投向早期科技项目。</x:t>
        </x:is>
      </x:c>
      <x:c r="J292" s="56" t="str">
        <x:f>I292</x:f>
        <x:v>这只母基金主要投向早期科技项目。</x:v>
      </x:c>
      <x:c r="K292" s="55" t="inlineStr">
        <x:is>
          <x:t xml:space="preserve">无需改写</x:t>
        </x:is>
      </x:c>
      <x:c r="L292" s="56" t="inlineStr">
        <x:is>
          <x:t xml:space="preserve">母基金</x:t>
        </x:is>
      </x:c>
      <x:c r="M292" s="56" t="inlineStr">
        <x:is>
          <x:t xml:space="preserve">金融术语</x:t>
        </x:is>
      </x:c>
      <x:c r="N292" s="56" t="inlineStr">
        <x:is>
          <x:t xml:space="preserve">这只组合基金主要投向早期科技项目</x:t>
        </x:is>
      </x:c>
      <x:c r="O292" s="55" t="inlineStr">
        <x:is>
          <x:t xml:space="preserve">易</x:t>
        </x:is>
      </x:c>
      <x:c r="P292" s="55" t="inlineStr">
        <x:is>
          <x:t xml:space="preserve">否</x:t>
        </x:is>
      </x:c>
      <x:c r="Q292" s="56" t="n"/>
      <x:c r="R292" s="57" t="inlineStr">
        <x:is>
          <x:t xml:space="preserve">主集</x:t>
        </x:is>
      </x:c>
      <x:c r="S292" s="57" t="inlineStr">
        <x:is>
          <x:t xml:space="preserve">test</x:t>
        </x:is>
      </x:c>
      <x:c r="T292" s="57" t="inlineStr">
        <x:is>
          <x:t xml:space="preserve"/>
        </x:is>
      </x:c>
    </x:row>
    <x:row r="293" s="37" customFormat="1" ht="29.850000381469727" customHeight="1">
      <x:c r="A293" s="58" t="inlineStr">
        <x:is>
          <x:t xml:space="preserve">NEG-0292</x:t>
        </x:is>
      </x:c>
      <x:c r="B293" s="58" t="inlineStr">
        <x:is>
          <x:t xml:space="preserve">v3</x:t>
        </x:is>
      </x:c>
      <x:c r="C293" s="59" t="inlineStr">
        <x:is>
          <x:t xml:space="preserve">九、假触发词（形似而非）</x:t>
        </x:is>
      </x:c>
      <x:c r="D293" s="59" t="inlineStr">
        <x:is>
          <x:t xml:space="preserve">9.5 组织与商业术语</x:t>
        </x:is>
      </x:c>
      <x:c r="E293" s="59" t="inlineStr">
        <x:is>
          <x:t xml:space="preserve">商业与产品</x:t>
        </x:is>
      </x:c>
      <x:c r="F293" s="59" t="inlineStr">
        <x:is>
          <x:t xml:space="preserve">财报附注</x:t>
        </x:is>
      </x:c>
      <x:c r="G293" s="58" t="inlineStr">
        <x:is>
          <x:t xml:space="preserve">无</x:t>
        </x:is>
      </x:c>
      <x:c r="H293" s="58" t="str">
        <x:f>IF(LEN(I293)&lt;15,"短",IF(LEN(I293)&lt;=45,"中","长"))</x:f>
        <x:v>中</x:v>
      </x:c>
      <x:c r="I293" s="59" t="inlineStr">
        <x:is>
          <x:t xml:space="preserve">本期子公司并表范围新增两家，减少一家。</x:t>
        </x:is>
      </x:c>
      <x:c r="J293" s="59" t="str">
        <x:f>I293</x:f>
        <x:v>本期子公司并表范围新增两家，减少一家。</x:v>
      </x:c>
      <x:c r="K293" s="58" t="inlineStr">
        <x:is>
          <x:t xml:space="preserve">无需改写</x:t>
        </x:is>
      </x:c>
      <x:c r="L293" s="59" t="inlineStr">
        <x:is>
          <x:t xml:space="preserve">子公司</x:t>
        </x:is>
      </x:c>
      <x:c r="M293" s="59" t="inlineStr">
        <x:is>
          <x:t xml:space="preserve">会计术语</x:t>
        </x:is>
      </x:c>
      <x:c r="N293" s="59" t="inlineStr">
        <x:is>
          <x:t xml:space="preserve">本期下属公司并表范围新增两家</x:t>
        </x:is>
      </x:c>
      <x:c r="O293" s="58" t="inlineStr">
        <x:is>
          <x:t xml:space="preserve">易</x:t>
        </x:is>
      </x:c>
      <x:c r="P293" s="58" t="inlineStr">
        <x:is>
          <x:t xml:space="preserve">否</x:t>
        </x:is>
      </x:c>
      <x:c r="Q293" s="59" t="n"/>
      <x:c r="R293" s="60" t="inlineStr">
        <x:is>
          <x:t xml:space="preserve">隔离·待确认</x:t>
        </x:is>
      </x:c>
      <x:c r="S293" s="60" t="inlineStr">
        <x:is>
          <x:t xml:space="preserve"/>
        </x:is>
      </x:c>
      <x:c r="T293" s="60" t="inlineStr">
        <x:is>
          <x:t xml:space="preserve">触发词不含性别编码——判断可能依赖世界知识而非句内信息</x:t>
        </x:is>
      </x:c>
    </x:row>
    <x:row r="294" s="37" customFormat="1" ht="29.850000381469727" customHeight="1">
      <x:c r="A294" s="55" t="inlineStr">
        <x:is>
          <x:t xml:space="preserve">NEG-0293</x:t>
        </x:is>
      </x:c>
      <x:c r="B294" s="55" t="inlineStr">
        <x:is>
          <x:t xml:space="preserve">v3</x:t>
        </x:is>
      </x:c>
      <x:c r="C294" s="56" t="inlineStr">
        <x:is>
          <x:t xml:space="preserve">九、假触发词（形似而非）</x:t>
        </x:is>
      </x:c>
      <x:c r="D294" s="56" t="inlineStr">
        <x:is>
          <x:t xml:space="preserve">9.5 组织与商业术语</x:t>
        </x:is>
      </x:c>
      <x:c r="E294" s="56" t="inlineStr">
        <x:is>
          <x:t xml:space="preserve">新闻报道</x:t>
        </x:is>
      </x:c>
      <x:c r="F294" s="56" t="inlineStr">
        <x:is>
          <x:t xml:space="preserve">港口新闻</x:t>
        </x:is>
      </x:c>
      <x:c r="G294" s="55" t="inlineStr">
        <x:is>
          <x:t xml:space="preserve">无</x:t>
        </x:is>
      </x:c>
      <x:c r="H294" s="55" t="str">
        <x:f>IF(LEN(I294)&lt;15,"短",IF(LEN(I294)&lt;=45,"中","长"))</x:f>
        <x:v>中</x:v>
      </x:c>
      <x:c r="I294" s="56" t="inlineStr">
        <x:is>
          <x:t xml:space="preserve">该邮轮母港二期工程总投资超过二十亿元。</x:t>
        </x:is>
      </x:c>
      <x:c r="J294" s="56" t="str">
        <x:f>I294</x:f>
        <x:v>该邮轮母港二期工程总投资超过二十亿元。</x:v>
      </x:c>
      <x:c r="K294" s="55" t="inlineStr">
        <x:is>
          <x:t xml:space="preserve">无需改写</x:t>
        </x:is>
      </x:c>
      <x:c r="L294" s="56" t="inlineStr">
        <x:is>
          <x:t xml:space="preserve">母港</x:t>
        </x:is>
      </x:c>
      <x:c r="M294" s="56" t="inlineStr">
        <x:is>
          <x:t xml:space="preserve">港口术语</x:t>
        </x:is>
      </x:c>
      <x:c r="N294" s="56" t="inlineStr">
        <x:is>
          <x:t xml:space="preserve">该邮轮基地二期工程总投资超过二十亿</x:t>
        </x:is>
      </x:c>
      <x:c r="O294" s="55" t="inlineStr">
        <x:is>
          <x:t xml:space="preserve">易</x:t>
        </x:is>
      </x:c>
      <x:c r="P294" s="55" t="inlineStr">
        <x:is>
          <x:t xml:space="preserve">否</x:t>
        </x:is>
      </x:c>
      <x:c r="Q294" s="56" t="n"/>
      <x:c r="R294" s="57" t="inlineStr">
        <x:is>
          <x:t xml:space="preserve">主集</x:t>
        </x:is>
      </x:c>
      <x:c r="S294" s="57" t="inlineStr">
        <x:is>
          <x:t xml:space="preserve">test</x:t>
        </x:is>
      </x:c>
      <x:c r="T294" s="57" t="inlineStr">
        <x:is>
          <x:t xml:space="preserve"/>
        </x:is>
      </x:c>
    </x:row>
    <x:row r="295" s="37" customFormat="1" ht="29.850000381469727" customHeight="1">
      <x:c r="A295" s="55" t="inlineStr">
        <x:is>
          <x:t xml:space="preserve">NEG-0294</x:t>
        </x:is>
      </x:c>
      <x:c r="B295" s="55" t="inlineStr">
        <x:is>
          <x:t xml:space="preserve">v3</x:t>
        </x:is>
      </x:c>
      <x:c r="C295" s="56" t="inlineStr">
        <x:is>
          <x:t xml:space="preserve">九、假触发词（形似而非）</x:t>
        </x:is>
      </x:c>
      <x:c r="D295" s="56" t="inlineStr">
        <x:is>
          <x:t xml:space="preserve">9.6 固定词与成语</x:t>
        </x:is>
      </x:c>
      <x:c r="E295" s="56" t="inlineStr">
        <x:is>
          <x:t xml:space="preserve">文艺创作与评论</x:t>
        </x:is>
      </x:c>
      <x:c r="F295" s="56" t="inlineStr">
        <x:is>
          <x:t xml:space="preserve">影评</x:t>
        </x:is>
      </x:c>
      <x:c r="G295" s="55" t="inlineStr">
        <x:is>
          <x:t xml:space="preserve">无</x:t>
        </x:is>
      </x:c>
      <x:c r="H295" s="55" t="str">
        <x:f>IF(LEN(I295)&lt;15,"短",IF(LEN(I295)&lt;=45,"中","长"))</x:f>
        <x:v>中</x:v>
      </x:c>
      <x:c r="I295" s="56" t="inlineStr">
        <x:is>
          <x:t xml:space="preserve">这是导演的处女作，成本只有三百万。</x:t>
        </x:is>
      </x:c>
      <x:c r="J295" s="56" t="str">
        <x:f>I295</x:f>
        <x:v>这是导演的处女作，成本只有三百万。</x:v>
      </x:c>
      <x:c r="K295" s="55" t="inlineStr">
        <x:is>
          <x:t xml:space="preserve">无需改写</x:t>
        </x:is>
      </x:c>
      <x:c r="L295" s="56" t="inlineStr">
        <x:is>
          <x:t xml:space="preserve">处女作</x:t>
        </x:is>
      </x:c>
      <x:c r="M295" s="56" t="inlineStr">
        <x:is>
          <x:t xml:space="preserve">固定词，语义已完全引申</x:t>
        </x:is>
      </x:c>
      <x:c r="N295" s="56" t="inlineStr">
        <x:is>
          <x:t xml:space="preserve">这是导演的首部作品，成本只有三百万</x:t>
        </x:is>
      </x:c>
      <x:c r="O295" s="55" t="inlineStr">
        <x:is>
          <x:t xml:space="preserve">中</x:t>
        </x:is>
      </x:c>
      <x:c r="P295" s="55" t="inlineStr">
        <x:is>
          <x:t xml:space="preserve">是</x:t>
        </x:is>
      </x:c>
      <x:c r="Q295" s="56" t="inlineStr">
        <x:is>
          <x:t xml:space="preserve">部分媒体已倡导改用首部作品，但仍属通行词汇</x:t>
        </x:is>
      </x:c>
      <x:c r="R295" s="57" t="inlineStr">
        <x:is>
          <x:t xml:space="preserve">主集</x:t>
        </x:is>
      </x:c>
      <x:c r="S295" s="57" t="inlineStr">
        <x:is>
          <x:t xml:space="preserve">index</x:t>
        </x:is>
      </x:c>
      <x:c r="T295" s="57" t="inlineStr">
        <x:is>
          <x:t xml:space="preserve"/>
        </x:is>
      </x:c>
    </x:row>
    <x:row r="296" s="37" customFormat="1" ht="29.850000381469727" customHeight="1">
      <x:c r="A296" s="55" t="inlineStr">
        <x:is>
          <x:t xml:space="preserve">NEG-0295</x:t>
        </x:is>
      </x:c>
      <x:c r="B296" s="55" t="inlineStr">
        <x:is>
          <x:t xml:space="preserve">v3</x:t>
        </x:is>
      </x:c>
      <x:c r="C296" s="56" t="inlineStr">
        <x:is>
          <x:t xml:space="preserve">九、假触发词（形似而非）</x:t>
        </x:is>
      </x:c>
      <x:c r="D296" s="56" t="inlineStr">
        <x:is>
          <x:t xml:space="preserve">9.6 固定词与成语</x:t>
        </x:is>
      </x:c>
      <x:c r="E296" s="56" t="inlineStr">
        <x:is>
          <x:t xml:space="preserve">新闻报道</x:t>
        </x:is>
      </x:c>
      <x:c r="F296" s="56" t="inlineStr">
        <x:is>
          <x:t xml:space="preserve">航空新闻</x:t>
        </x:is>
      </x:c>
      <x:c r="G296" s="55" t="inlineStr">
        <x:is>
          <x:t xml:space="preserve">无</x:t>
        </x:is>
      </x:c>
      <x:c r="H296" s="55" t="str">
        <x:f>IF(LEN(I296)&lt;15,"短",IF(LEN(I296)&lt;=45,"中","长"))</x:f>
        <x:v>中</x:v>
      </x:c>
      <x:c r="I296" s="56" t="inlineStr">
        <x:is>
          <x:t xml:space="preserve">这架国产客机于上月完成处女航。</x:t>
        </x:is>
      </x:c>
      <x:c r="J296" s="56" t="str">
        <x:f>I296</x:f>
        <x:v>这架国产客机于上月完成处女航。</x:v>
      </x:c>
      <x:c r="K296" s="55" t="inlineStr">
        <x:is>
          <x:t xml:space="preserve">无需改写</x:t>
        </x:is>
      </x:c>
      <x:c r="L296" s="56" t="inlineStr">
        <x:is>
          <x:t xml:space="preserve">处女航</x:t>
        </x:is>
      </x:c>
      <x:c r="M296" s="56" t="inlineStr">
        <x:is>
          <x:t xml:space="preserve">固定词</x:t>
        </x:is>
      </x:c>
      <x:c r="N296" s="56" t="inlineStr">
        <x:is>
          <x:t xml:space="preserve">这架国产客机于上月完成首航</x:t>
        </x:is>
      </x:c>
      <x:c r="O296" s="55" t="inlineStr">
        <x:is>
          <x:t xml:space="preserve">中</x:t>
        </x:is>
      </x:c>
      <x:c r="P296" s="55" t="inlineStr">
        <x:is>
          <x:t xml:space="preserve">是</x:t>
        </x:is>
      </x:c>
      <x:c r="Q296" s="56" t="n"/>
      <x:c r="R296" s="57" t="inlineStr">
        <x:is>
          <x:t xml:space="preserve">主集</x:t>
        </x:is>
      </x:c>
      <x:c r="S296" s="57" t="inlineStr">
        <x:is>
          <x:t xml:space="preserve">test</x:t>
        </x:is>
      </x:c>
      <x:c r="T296" s="57" t="inlineStr">
        <x:is>
          <x:t xml:space="preserve"/>
        </x:is>
      </x:c>
    </x:row>
    <x:row r="297" s="37" customFormat="1" ht="29.850000381469727" customHeight="1">
      <x:c r="A297" s="55" t="inlineStr">
        <x:is>
          <x:t xml:space="preserve">NEG-0296</x:t>
        </x:is>
      </x:c>
      <x:c r="B297" s="55" t="inlineStr">
        <x:is>
          <x:t xml:space="preserve">v3</x:t>
        </x:is>
      </x:c>
      <x:c r="C297" s="56" t="inlineStr">
        <x:is>
          <x:t xml:space="preserve">九、假触发词（形似而非）</x:t>
        </x:is>
      </x:c>
      <x:c r="D297" s="56" t="inlineStr">
        <x:is>
          <x:t xml:space="preserve">9.6 固定词与成语</x:t>
        </x:is>
      </x:c>
      <x:c r="E297" s="56" t="inlineStr">
        <x:is>
          <x:t xml:space="preserve">学术与调研</x:t>
        </x:is>
      </x:c>
      <x:c r="F297" s="56" t="inlineStr">
        <x:is>
          <x:t xml:space="preserve">出版推荐</x:t>
        </x:is>
      </x:c>
      <x:c r="G297" s="55" t="inlineStr">
        <x:is>
          <x:t xml:space="preserve">无</x:t>
        </x:is>
      </x:c>
      <x:c r="H297" s="55" t="str">
        <x:f>IF(LEN(I297)&lt;15,"短",IF(LEN(I297)&lt;=45,"中","长"))</x:f>
        <x:v>中</x:v>
      </x:c>
      <x:c r="I297" s="56" t="inlineStr">
        <x:is>
          <x:t xml:space="preserve">两本书是姊妹篇，建议按出版顺序阅读。</x:t>
        </x:is>
      </x:c>
      <x:c r="J297" s="56" t="str">
        <x:f>I297</x:f>
        <x:v>两本书是姊妹篇，建议按出版顺序阅读。</x:v>
      </x:c>
      <x:c r="K297" s="55" t="inlineStr">
        <x:is>
          <x:t xml:space="preserve">无需改写</x:t>
        </x:is>
      </x:c>
      <x:c r="L297" s="56" t="inlineStr">
        <x:is>
          <x:t xml:space="preserve">姊妹篇</x:t>
        </x:is>
      </x:c>
      <x:c r="M297" s="56" t="inlineStr">
        <x:is>
          <x:t xml:space="preserve">固定词</x:t>
        </x:is>
      </x:c>
      <x:c r="N297" s="56" t="inlineStr">
        <x:is>
          <x:t xml:space="preserve">两本书是系列作品，建议按顺序阅读</x:t>
        </x:is>
      </x:c>
      <x:c r="O297" s="55" t="inlineStr">
        <x:is>
          <x:t xml:space="preserve">中</x:t>
        </x:is>
      </x:c>
      <x:c r="P297" s="55" t="inlineStr">
        <x:is>
          <x:t xml:space="preserve">否</x:t>
        </x:is>
      </x:c>
      <x:c r="Q297" s="56" t="n"/>
      <x:c r="R297" s="57" t="inlineStr">
        <x:is>
          <x:t xml:space="preserve">主集</x:t>
        </x:is>
      </x:c>
      <x:c r="S297" s="57" t="inlineStr">
        <x:is>
          <x:t xml:space="preserve">dev</x:t>
        </x:is>
      </x:c>
      <x:c r="T297" s="57" t="inlineStr">
        <x:is>
          <x:t xml:space="preserve"/>
        </x:is>
      </x:c>
    </x:row>
    <x:row r="298" s="37" customFormat="1" ht="29.850000381469727" customHeight="1">
      <x:c r="A298" s="55" t="inlineStr">
        <x:is>
          <x:t xml:space="preserve">NEG-0297</x:t>
        </x:is>
      </x:c>
      <x:c r="B298" s="55" t="inlineStr">
        <x:is>
          <x:t xml:space="preserve">v3</x:t>
        </x:is>
      </x:c>
      <x:c r="C298" s="56" t="inlineStr">
        <x:is>
          <x:t xml:space="preserve">九、假触发词（形似而非）</x:t>
        </x:is>
      </x:c>
      <x:c r="D298" s="56" t="inlineStr">
        <x:is>
          <x:t xml:space="preserve">9.6 固定词与成语</x:t>
        </x:is>
      </x:c>
      <x:c r="E298" s="56" t="inlineStr">
        <x:is>
          <x:t xml:space="preserve">新闻报道</x:t>
        </x:is>
      </x:c>
      <x:c r="F298" s="56" t="inlineStr">
        <x:is>
          <x:t xml:space="preserve">城市新闻</x:t>
        </x:is>
      </x:c>
      <x:c r="G298" s="55" t="inlineStr">
        <x:is>
          <x:t xml:space="preserve">无</x:t>
        </x:is>
      </x:c>
      <x:c r="H298" s="55" t="str">
        <x:f>IF(LEN(I298)&lt;15,"短",IF(LEN(I298)&lt;=45,"中","长"))</x:f>
        <x:v>中</x:v>
      </x:c>
      <x:c r="I298" s="56" t="inlineStr">
        <x:is>
          <x:t xml:space="preserve">成都与蒙彼利埃结为姊妹城市已有四十年。</x:t>
        </x:is>
      </x:c>
      <x:c r="J298" s="56" t="str">
        <x:f>I298</x:f>
        <x:v>成都与蒙彼利埃结为姊妹城市已有四十年。</x:v>
      </x:c>
      <x:c r="K298" s="55" t="inlineStr">
        <x:is>
          <x:t xml:space="preserve">无需改写</x:t>
        </x:is>
      </x:c>
      <x:c r="L298" s="56" t="inlineStr">
        <x:is>
          <x:t xml:space="preserve">姊妹城市</x:t>
        </x:is>
      </x:c>
      <x:c r="M298" s="56" t="inlineStr">
        <x:is>
          <x:t xml:space="preserve">外事固定用语</x:t>
        </x:is>
      </x:c>
      <x:c r="N298" s="56" t="inlineStr">
        <x:is>
          <x:t xml:space="preserve">成都与蒙彼利埃结为友好城市已有四十年</x:t>
        </x:is>
      </x:c>
      <x:c r="O298" s="55" t="inlineStr">
        <x:is>
          <x:t xml:space="preserve">中</x:t>
        </x:is>
      </x:c>
      <x:c r="P298" s="55" t="inlineStr">
        <x:is>
          <x:t xml:space="preserve">是</x:t>
        </x:is>
      </x:c>
      <x:c r="Q298" s="56" t="inlineStr">
        <x:is>
          <x:t xml:space="preserve">外交场合中友好城市与姊妹城市并用</x:t>
        </x:is>
      </x:c>
      <x:c r="R298" s="57" t="inlineStr">
        <x:is>
          <x:t xml:space="preserve">主集</x:t>
        </x:is>
      </x:c>
      <x:c r="S298" s="57" t="inlineStr">
        <x:is>
          <x:t xml:space="preserve">test</x:t>
        </x:is>
      </x:c>
      <x:c r="T298" s="57" t="inlineStr">
        <x:is>
          <x:t xml:space="preserve"/>
        </x:is>
      </x:c>
    </x:row>
    <x:row r="299" s="37" customFormat="1" ht="29.850000381469727" customHeight="1">
      <x:c r="A299" s="55" t="inlineStr">
        <x:is>
          <x:t xml:space="preserve">NEG-0298</x:t>
        </x:is>
      </x:c>
      <x:c r="B299" s="55" t="inlineStr">
        <x:is>
          <x:t xml:space="preserve">v3</x:t>
        </x:is>
      </x:c>
      <x:c r="C299" s="56" t="inlineStr">
        <x:is>
          <x:t xml:space="preserve">九、假触发词（形似而非）</x:t>
        </x:is>
      </x:c>
      <x:c r="D299" s="56" t="inlineStr">
        <x:is>
          <x:t xml:space="preserve">9.6 固定词与成语</x:t>
        </x:is>
      </x:c>
      <x:c r="E299" s="56" t="inlineStr">
        <x:is>
          <x:t xml:space="preserve">新闻报道</x:t>
        </x:is>
      </x:c>
      <x:c r="F299" s="56" t="inlineStr">
        <x:is>
          <x:t xml:space="preserve">影视资讯</x:t>
        </x:is>
      </x:c>
      <x:c r="G299" s="55" t="inlineStr">
        <x:is>
          <x:t xml:space="preserve">无</x:t>
        </x:is>
      </x:c>
      <x:c r="H299" s="55" t="str">
        <x:f>IF(LEN(I299)&lt;15,"短",IF(LEN(I299)&lt;=45,"中","长"))</x:f>
        <x:v>中</x:v>
      </x:c>
      <x:c r="I299" s="56" t="inlineStr">
        <x:is>
          <x:t xml:space="preserve">《兄弟连》是一部以二战为背景的美剧。</x:t>
        </x:is>
      </x:c>
      <x:c r="J299" s="56" t="str">
        <x:f>I299</x:f>
        <x:v>《兄弟连》是一部以二战为背景的美剧。</x:v>
      </x:c>
      <x:c r="K299" s="55" t="inlineStr">
        <x:is>
          <x:t xml:space="preserve">无需改写</x:t>
        </x:is>
      </x:c>
      <x:c r="L299" s="56" t="inlineStr">
        <x:is>
          <x:t xml:space="preserve">兄弟连</x:t>
        </x:is>
      </x:c>
      <x:c r="M299" s="56" t="inlineStr">
        <x:is>
          <x:t xml:space="preserve">作品名</x:t>
        </x:is>
      </x:c>
      <x:c r="N299" s="56" t="inlineStr">
        <x:is>
          <x:t xml:space="preserve">《战友连》是一部以二战为背景的美剧</x:t>
        </x:is>
      </x:c>
      <x:c r="O299" s="55" t="inlineStr">
        <x:is>
          <x:t xml:space="preserve">易</x:t>
        </x:is>
      </x:c>
      <x:c r="P299" s="55" t="inlineStr">
        <x:is>
          <x:t xml:space="preserve">否</x:t>
        </x:is>
      </x:c>
      <x:c r="Q299" s="56" t="n"/>
      <x:c r="R299" s="57" t="inlineStr">
        <x:is>
          <x:t xml:space="preserve">主集</x:t>
        </x:is>
      </x:c>
      <x:c r="S299" s="57" t="inlineStr">
        <x:is>
          <x:t xml:space="preserve">test</x:t>
        </x:is>
      </x:c>
      <x:c r="T299" s="57" t="inlineStr">
        <x:is>
          <x:t xml:space="preserve"/>
        </x:is>
      </x:c>
    </x:row>
    <x:row r="300" s="37" customFormat="1" ht="29.850000381469727" customHeight="1">
      <x:c r="A300" s="55" t="inlineStr">
        <x:is>
          <x:t xml:space="preserve">NEG-0299</x:t>
        </x:is>
      </x:c>
      <x:c r="B300" s="55" t="inlineStr">
        <x:is>
          <x:t xml:space="preserve">v3</x:t>
        </x:is>
      </x:c>
      <x:c r="C300" s="56" t="inlineStr">
        <x:is>
          <x:t xml:space="preserve">九、假触发词（形似而非）</x:t>
        </x:is>
      </x:c>
      <x:c r="D300" s="56" t="inlineStr">
        <x:is>
          <x:t xml:space="preserve">9.6 固定词与成语</x:t>
        </x:is>
      </x:c>
      <x:c r="E300" s="56" t="inlineStr">
        <x:is>
          <x:t xml:space="preserve">工程与技术</x:t>
        </x:is>
      </x:c>
      <x:c r="F300" s="56" t="inlineStr">
        <x:is>
          <x:t xml:space="preserve">生物教材</x:t>
        </x:is>
      </x:c>
      <x:c r="G300" s="55" t="inlineStr">
        <x:is>
          <x:t xml:space="preserve">无</x:t>
        </x:is>
      </x:c>
      <x:c r="H300" s="55" t="str">
        <x:f>IF(LEN(I300)&lt;15,"短",IF(LEN(I300)&lt;=45,"中","长"))</x:f>
        <x:v>中</x:v>
      </x:c>
      <x:c r="I300" s="56" t="inlineStr">
        <x:is>
          <x:t xml:space="preserve">姊妹染色单体在有丝分裂后期分离。</x:t>
        </x:is>
      </x:c>
      <x:c r="J300" s="56" t="str">
        <x:f>I300</x:f>
        <x:v>姊妹染色单体在有丝分裂后期分离。</x:v>
      </x:c>
      <x:c r="K300" s="55" t="inlineStr">
        <x:is>
          <x:t xml:space="preserve">无需改写</x:t>
        </x:is>
      </x:c>
      <x:c r="L300" s="56" t="inlineStr">
        <x:is>
          <x:t xml:space="preserve">姊妹染色单体</x:t>
        </x:is>
      </x:c>
      <x:c r="M300" s="56" t="inlineStr">
        <x:is>
          <x:t xml:space="preserve">细胞学术语</x:t>
        </x:is>
      </x:c>
      <x:c r="N300" s="56" t="inlineStr">
        <x:is>
          <x:t xml:space="preserve">同源染色单体在有丝分裂后期分离</x:t>
        </x:is>
      </x:c>
      <x:c r="O300" s="55" t="inlineStr">
        <x:is>
          <x:t xml:space="preserve">易</x:t>
        </x:is>
      </x:c>
      <x:c r="P300" s="55" t="inlineStr">
        <x:is>
          <x:t xml:space="preserve">否</x:t>
        </x:is>
      </x:c>
      <x:c r="Q300" s="56" t="inlineStr">
        <x:is>
          <x:t xml:space="preserve">改写会造成概念错误：同源与姊妹是两个概念</x:t>
        </x:is>
      </x:c>
      <x:c r="R300" s="57" t="inlineStr">
        <x:is>
          <x:t xml:space="preserve">主集</x:t>
        </x:is>
      </x:c>
      <x:c r="S300" s="57" t="inlineStr">
        <x:is>
          <x:t xml:space="preserve">index</x:t>
        </x:is>
      </x:c>
      <x:c r="T300" s="57" t="inlineStr">
        <x:is>
          <x:t xml:space="preserve"/>
        </x:is>
      </x:c>
    </x:row>
    <x:row r="301" s="37" customFormat="1" ht="29.850000381469727" customHeight="1">
      <x:c r="A301" s="55" t="inlineStr">
        <x:is>
          <x:t xml:space="preserve">NEG-0300</x:t>
        </x:is>
      </x:c>
      <x:c r="B301" s="55" t="inlineStr">
        <x:is>
          <x:t xml:space="preserve">v3</x:t>
        </x:is>
      </x:c>
      <x:c r="C301" s="56" t="inlineStr">
        <x:is>
          <x:t xml:space="preserve">九、假触发词（形似而非）</x:t>
        </x:is>
      </x:c>
      <x:c r="D301" s="56" t="inlineStr">
        <x:is>
          <x:t xml:space="preserve">9.6 固定词与成语</x:t>
        </x:is>
      </x:c>
      <x:c r="E301" s="56" t="inlineStr">
        <x:is>
          <x:t xml:space="preserve">商业与产品</x:t>
        </x:is>
      </x:c>
      <x:c r="F301" s="56" t="inlineStr">
        <x:is>
          <x:t xml:space="preserve">餐饮介绍</x:t>
        </x:is>
      </x:c>
      <x:c r="G301" s="55" t="inlineStr">
        <x:is>
          <x:t xml:space="preserve">无</x:t>
        </x:is>
      </x:c>
      <x:c r="H301" s="55" t="str">
        <x:f>IF(LEN(I301)&lt;15,"短",IF(LEN(I301)&lt;=45,"中","长"))</x:f>
        <x:v>中</x:v>
      </x:c>
      <x:c r="I301" s="56" t="inlineStr">
        <x:is>
          <x:t xml:space="preserve">夫妻肺片是川菜里的经典凉菜，和夫妻其实没关系。</x:t>
        </x:is>
      </x:c>
      <x:c r="J301" s="56" t="str">
        <x:f>I301</x:f>
        <x:v>夫妻肺片是川菜里的经典凉菜，和夫妻其实没关系。</x:v>
      </x:c>
      <x:c r="K301" s="55" t="inlineStr">
        <x:is>
          <x:t xml:space="preserve">无需改写</x:t>
        </x:is>
      </x:c>
      <x:c r="L301" s="56" t="inlineStr">
        <x:is>
          <x:t xml:space="preserve">夫妻肺片</x:t>
        </x:is>
      </x:c>
      <x:c r="M301" s="56" t="inlineStr">
        <x:is>
          <x:t xml:space="preserve">菜品专名，句子本身已说明</x:t>
        </x:is>
      </x:c>
      <x:c r="N301" s="56" t="inlineStr">
        <x:is>
          <x:t xml:space="preserve">这道经典凉菜和夫妻其实没关系</x:t>
        </x:is>
      </x:c>
      <x:c r="O301" s="55" t="inlineStr">
        <x:is>
          <x:t xml:space="preserve">易</x:t>
        </x:is>
      </x:c>
      <x:c r="P301" s="55" t="inlineStr">
        <x:is>
          <x:t xml:space="preserve">否</x:t>
        </x:is>
      </x:c>
      <x:c r="Q301" s="56" t="n"/>
      <x:c r="R301" s="57" t="inlineStr">
        <x:is>
          <x:t xml:space="preserve">主集</x:t>
        </x:is>
      </x:c>
      <x:c r="S301" s="57" t="inlineStr">
        <x:is>
          <x:t xml:space="preserve">index</x:t>
        </x:is>
      </x:c>
      <x:c r="T301" s="57" t="inlineStr">
        <x:is>
          <x:t xml:space="preserve"/>
        </x:is>
      </x:c>
    </x:row>
    <x:row r="302" s="37" customFormat="1" ht="29.850000381469727" customHeight="1">
      <x:c r="A302" s="55" t="inlineStr">
        <x:is>
          <x:t xml:space="preserve">NEG-0301</x:t>
        </x:is>
      </x:c>
      <x:c r="B302" s="55" t="inlineStr">
        <x:is>
          <x:t xml:space="preserve">v3</x:t>
        </x:is>
      </x:c>
      <x:c r="C302" s="56" t="inlineStr">
        <x:is>
          <x:t xml:space="preserve">九、假触发词（形似而非）</x:t>
        </x:is>
      </x:c>
      <x:c r="D302" s="56" t="inlineStr">
        <x:is>
          <x:t xml:space="preserve">9.6 固定词与成语</x:t>
        </x:is>
      </x:c>
      <x:c r="E302" s="56" t="inlineStr">
        <x:is>
          <x:t xml:space="preserve">医疗健康</x:t>
        </x:is>
      </x:c>
      <x:c r="F302" s="56" t="inlineStr">
        <x:is>
          <x:t xml:space="preserve">酒类科普</x:t>
        </x:is>
      </x:c>
      <x:c r="G302" s="55" t="inlineStr">
        <x:is>
          <x:t xml:space="preserve">无</x:t>
        </x:is>
      </x:c>
      <x:c r="H302" s="55" t="str">
        <x:f>IF(LEN(I302)&lt;15,"短",IF(LEN(I302)&lt;=45,"中","长"))</x:f>
        <x:v>中</x:v>
      </x:c>
      <x:c r="I302" s="56" t="inlineStr">
        <x:is>
          <x:t xml:space="preserve">女儿红属于黄酒，绍兴一带旧时用于嫁女时启封。</x:t>
        </x:is>
      </x:c>
      <x:c r="J302" s="56" t="str">
        <x:f>I302</x:f>
        <x:v>女儿红属于黄酒，绍兴一带旧时用于嫁女时启封。</x:v>
      </x:c>
      <x:c r="K302" s="55" t="inlineStr">
        <x:is>
          <x:t xml:space="preserve">无需改写</x:t>
        </x:is>
      </x:c>
      <x:c r="L302" s="56" t="inlineStr">
        <x:is>
          <x:t xml:space="preserve">女儿红</x:t>
        </x:is>
      </x:c>
      <x:c r="M302" s="56" t="inlineStr">
        <x:is>
          <x:t xml:space="preserve">酒名与民俗由来</x:t>
        </x:is>
      </x:c>
      <x:c r="N302" s="56" t="inlineStr">
        <x:is>
          <x:t xml:space="preserve">这种黄酒在绍兴一带旧时用于嫁女时启封</x:t>
        </x:is>
      </x:c>
      <x:c r="O302" s="55" t="inlineStr">
        <x:is>
          <x:t xml:space="preserve">易</x:t>
        </x:is>
      </x:c>
      <x:c r="P302" s="55" t="inlineStr">
        <x:is>
          <x:t xml:space="preserve">否</x:t>
        </x:is>
      </x:c>
      <x:c r="Q302" s="56" t="n"/>
      <x:c r="R302" s="57" t="inlineStr">
        <x:is>
          <x:t xml:space="preserve">主集</x:t>
        </x:is>
      </x:c>
      <x:c r="S302" s="57" t="inlineStr">
        <x:is>
          <x:t xml:space="preserve">index</x:t>
        </x:is>
      </x:c>
      <x:c r="T302" s="57" t="inlineStr">
        <x:is>
          <x:t xml:space="preserve"/>
        </x:is>
      </x:c>
    </x:row>
    <x:row r="303" s="37" customFormat="1" ht="29.850000381469727" customHeight="1">
      <x:c r="A303" s="55" t="inlineStr">
        <x:is>
          <x:t xml:space="preserve">NEG-0302</x:t>
        </x:is>
      </x:c>
      <x:c r="B303" s="55" t="inlineStr">
        <x:is>
          <x:t xml:space="preserve">v3</x:t>
        </x:is>
      </x:c>
      <x:c r="C303" s="56" t="inlineStr">
        <x:is>
          <x:t xml:space="preserve">九、假触发词（形似而非）</x:t>
        </x:is>
      </x:c>
      <x:c r="D303" s="56" t="inlineStr">
        <x:is>
          <x:t xml:space="preserve">9.6 固定词与成语</x:t>
        </x:is>
      </x:c>
      <x:c r="E303" s="56" t="inlineStr">
        <x:is>
          <x:t xml:space="preserve">工程与技术</x:t>
        </x:is>
      </x:c>
      <x:c r="F303" s="56" t="inlineStr">
        <x:is>
          <x:t xml:space="preserve">电力工程</x:t>
        </x:is>
      </x:c>
      <x:c r="G303" s="55" t="inlineStr">
        <x:is>
          <x:t xml:space="preserve">无</x:t>
        </x:is>
      </x:c>
      <x:c r="H303" s="55" t="str">
        <x:f>IF(LEN(I303)&lt;15,"短",IF(LEN(I303)&lt;=45,"中","长"))</x:f>
        <x:v>中</x:v>
      </x:c>
      <x:c r="I303" s="56" t="inlineStr">
        <x:is>
          <x:t xml:space="preserve">两条线路互为姊妹线，一条检修时另一条带全部负荷。</x:t>
        </x:is>
      </x:c>
      <x:c r="J303" s="56" t="str">
        <x:f>I303</x:f>
        <x:v>两条线路互为姊妹线，一条检修时另一条带全部负荷。</x:v>
      </x:c>
      <x:c r="K303" s="55" t="inlineStr">
        <x:is>
          <x:t xml:space="preserve">无需改写</x:t>
        </x:is>
      </x:c>
      <x:c r="L303" s="56" t="inlineStr">
        <x:is>
          <x:t xml:space="preserve">姊妹线</x:t>
        </x:is>
      </x:c>
      <x:c r="M303" s="56" t="inlineStr">
        <x:is>
          <x:t xml:space="preserve">电力术语</x:t>
        </x:is>
      </x:c>
      <x:c r="N303" s="56" t="inlineStr">
        <x:is>
          <x:t xml:space="preserve">两条线路互为备用线路</x:t>
        </x:is>
      </x:c>
      <x:c r="O303" s="55" t="inlineStr">
        <x:is>
          <x:t xml:space="preserve">易</x:t>
        </x:is>
      </x:c>
      <x:c r="P303" s="55" t="inlineStr">
        <x:is>
          <x:t xml:space="preserve">否</x:t>
        </x:is>
      </x:c>
      <x:c r="Q303" s="56" t="n"/>
      <x:c r="R303" s="57" t="inlineStr">
        <x:is>
          <x:t xml:space="preserve">主集</x:t>
        </x:is>
      </x:c>
      <x:c r="S303" s="57" t="inlineStr">
        <x:is>
          <x:t xml:space="preserve">dev</x:t>
        </x:is>
      </x:c>
      <x:c r="T303" s="57" t="inlineStr">
        <x:is>
          <x:t xml:space="preserve"/>
        </x:is>
      </x:c>
    </x:row>
    <x:row r="304" s="37" customFormat="1" ht="29.850000381469727" customHeight="1">
      <x:c r="A304" s="55" t="inlineStr">
        <x:is>
          <x:t xml:space="preserve">NEG-0303</x:t>
        </x:is>
      </x:c>
      <x:c r="B304" s="55" t="inlineStr">
        <x:is>
          <x:t xml:space="preserve">v3</x:t>
        </x:is>
      </x:c>
      <x:c r="C304" s="56" t="inlineStr">
        <x:is>
          <x:t xml:space="preserve">九、假触发词（形似而非）</x:t>
        </x:is>
      </x:c>
      <x:c r="D304" s="56" t="inlineStr">
        <x:is>
          <x:t xml:space="preserve">9.6 固定词与成语</x:t>
        </x:is>
      </x:c>
      <x:c r="E304" s="56" t="inlineStr">
        <x:is>
          <x:t xml:space="preserve">工程与技术</x:t>
        </x:is>
      </x:c>
      <x:c r="F304" s="56" t="inlineStr">
        <x:is>
          <x:t xml:space="preserve">产线介绍</x:t>
        </x:is>
      </x:c>
      <x:c r="G304" s="55" t="inlineStr">
        <x:is>
          <x:t xml:space="preserve">无</x:t>
        </x:is>
      </x:c>
      <x:c r="H304" s="55" t="str">
        <x:f>IF(LEN(I304)&lt;15,"短",IF(LEN(I304)&lt;=45,"中","长"))</x:f>
        <x:v>中</x:v>
      </x:c>
      <x:c r="I304" s="56" t="inlineStr">
        <x:is>
          <x:t xml:space="preserve">子母车是这条产线上的核心转运设备。</x:t>
        </x:is>
      </x:c>
      <x:c r="J304" s="56" t="str">
        <x:f>I304</x:f>
        <x:v>子母车是这条产线上的核心转运设备。</x:v>
      </x:c>
      <x:c r="K304" s="55" t="inlineStr">
        <x:is>
          <x:t xml:space="preserve">无需改写</x:t>
        </x:is>
      </x:c>
      <x:c r="L304" s="56" t="inlineStr">
        <x:is>
          <x:t xml:space="preserve">子母车</x:t>
        </x:is>
      </x:c>
      <x:c r="M304" s="56" t="inlineStr">
        <x:is>
          <x:t xml:space="preserve">设备名称</x:t>
        </x:is>
      </x:c>
      <x:c r="N304" s="56" t="inlineStr">
        <x:is>
          <x:t xml:space="preserve">转运车是这条产线上的核心设备</x:t>
        </x:is>
      </x:c>
      <x:c r="O304" s="55" t="inlineStr">
        <x:is>
          <x:t xml:space="preserve">易</x:t>
        </x:is>
      </x:c>
      <x:c r="P304" s="55" t="inlineStr">
        <x:is>
          <x:t xml:space="preserve">否</x:t>
        </x:is>
      </x:c>
      <x:c r="Q304" s="56" t="n"/>
      <x:c r="R304" s="57" t="inlineStr">
        <x:is>
          <x:t xml:space="preserve">主集</x:t>
        </x:is>
      </x:c>
      <x:c r="S304" s="57" t="inlineStr">
        <x:is>
          <x:t xml:space="preserve">dev</x:t>
        </x:is>
      </x:c>
      <x:c r="T304" s="57" t="inlineStr">
        <x:is>
          <x:t xml:space="preserve"/>
        </x:is>
      </x:c>
    </x:row>
    <x:row r="305" s="37" customFormat="1" ht="29.850000381469727" customHeight="1">
      <x:c r="A305" s="55" t="inlineStr">
        <x:is>
          <x:t xml:space="preserve">NEG-0304</x:t>
        </x:is>
      </x:c>
      <x:c r="B305" s="55" t="inlineStr">
        <x:is>
          <x:t xml:space="preserve">v3</x:t>
        </x:is>
      </x:c>
      <x:c r="C305" s="56" t="inlineStr">
        <x:is>
          <x:t xml:space="preserve">九、假触发词（形似而非）</x:t>
        </x:is>
      </x:c>
      <x:c r="D305" s="56" t="inlineStr">
        <x:is>
          <x:t xml:space="preserve">9.7 专名、地名与商标</x:t>
        </x:is>
      </x:c>
      <x:c r="E305" s="56" t="inlineStr">
        <x:is>
          <x:t xml:space="preserve">商业与产品</x:t>
        </x:is>
      </x:c>
      <x:c r="F305" s="56" t="inlineStr">
        <x:is>
          <x:t xml:space="preserve">旅游介绍</x:t>
        </x:is>
      </x:c>
      <x:c r="G305" s="55" t="inlineStr">
        <x:is>
          <x:t xml:space="preserve">无</x:t>
        </x:is>
      </x:c>
      <x:c r="H305" s="55" t="str">
        <x:f>IF(LEN(I305)&lt;15,"短",IF(LEN(I305)&lt;=45,"中","长"))</x:f>
        <x:v>中</x:v>
      </x:c>
      <x:c r="I305" s="56" t="inlineStr">
        <x:is>
          <x:t xml:space="preserve">娘子关是山西东部的重要关隘，历来为兵家必争之地。</x:t>
        </x:is>
      </x:c>
      <x:c r="J305" s="56" t="str">
        <x:f>I305</x:f>
        <x:v>娘子关是山西东部的重要关隘，历来为兵家必争之地。</x:v>
      </x:c>
      <x:c r="K305" s="55" t="inlineStr">
        <x:is>
          <x:t xml:space="preserve">无需改写</x:t>
        </x:is>
      </x:c>
      <x:c r="L305" s="56" t="inlineStr">
        <x:is>
          <x:t xml:space="preserve">娘子关</x:t>
        </x:is>
      </x:c>
      <x:c r="M305" s="56" t="inlineStr">
        <x:is>
          <x:t xml:space="preserve">地名专名</x:t>
        </x:is>
      </x:c>
      <x:c r="N305" s="56" t="inlineStr">
        <x:is>
          <x:t xml:space="preserve">这处关隘是山西东部的军事要地</x:t>
        </x:is>
      </x:c>
      <x:c r="O305" s="55" t="inlineStr">
        <x:is>
          <x:t xml:space="preserve">易</x:t>
        </x:is>
      </x:c>
      <x:c r="P305" s="55" t="inlineStr">
        <x:is>
          <x:t xml:space="preserve">否</x:t>
        </x:is>
      </x:c>
      <x:c r="Q305" s="56" t="n"/>
      <x:c r="R305" s="57" t="inlineStr">
        <x:is>
          <x:t xml:space="preserve">主集</x:t>
        </x:is>
      </x:c>
      <x:c r="S305" s="57" t="inlineStr">
        <x:is>
          <x:t xml:space="preserve">dev</x:t>
        </x:is>
      </x:c>
      <x:c r="T305" s="57" t="inlineStr">
        <x:is>
          <x:t xml:space="preserve"/>
        </x:is>
      </x:c>
    </x:row>
    <x:row r="306" s="37" customFormat="1" ht="29.850000381469727" customHeight="1">
      <x:c r="A306" s="55" t="inlineStr">
        <x:is>
          <x:t xml:space="preserve">NEG-0305</x:t>
        </x:is>
      </x:c>
      <x:c r="B306" s="55" t="inlineStr">
        <x:is>
          <x:t xml:space="preserve">v3</x:t>
        </x:is>
      </x:c>
      <x:c r="C306" s="56" t="inlineStr">
        <x:is>
          <x:t xml:space="preserve">九、假触发词（形似而非）</x:t>
        </x:is>
      </x:c>
      <x:c r="D306" s="56" t="inlineStr">
        <x:is>
          <x:t xml:space="preserve">9.7 专名、地名与商标</x:t>
        </x:is>
      </x:c>
      <x:c r="E306" s="56" t="inlineStr">
        <x:is>
          <x:t xml:space="preserve">医疗健康</x:t>
        </x:is>
      </x:c>
      <x:c r="F306" s="56" t="inlineStr">
        <x:is>
          <x:t xml:space="preserve">地理科普</x:t>
        </x:is>
      </x:c>
      <x:c r="G306" s="55" t="inlineStr">
        <x:is>
          <x:t xml:space="preserve">无</x:t>
        </x:is>
      </x:c>
      <x:c r="H306" s="55" t="str">
        <x:f>IF(LEN(I306)&lt;15,"短",IF(LEN(I306)&lt;=45,"中","长"))</x:f>
        <x:v>中</x:v>
      </x:c>
      <x:c r="I306" s="56" t="inlineStr">
        <x:is>
          <x:t xml:space="preserve">婆罗洲是世界第三大岛，由三个国家分治。</x:t>
        </x:is>
      </x:c>
      <x:c r="J306" s="56" t="str">
        <x:f>I306</x:f>
        <x:v>婆罗洲是世界第三大岛，由三个国家分治。</x:v>
      </x:c>
      <x:c r="K306" s="55" t="inlineStr">
        <x:is>
          <x:t xml:space="preserve">无需改写</x:t>
        </x:is>
      </x:c>
      <x:c r="L306" s="56" t="inlineStr">
        <x:is>
          <x:t xml:space="preserve">婆罗洲</x:t>
        </x:is>
      </x:c>
      <x:c r="M306" s="56" t="inlineStr">
        <x:is>
          <x:t xml:space="preserve">地名专名</x:t>
        </x:is>
      </x:c>
      <x:c r="N306" s="56" t="inlineStr">
        <x:is>
          <x:t xml:space="preserve">这座大岛是世界第三大岛</x:t>
        </x:is>
      </x:c>
      <x:c r="O306" s="55" t="inlineStr">
        <x:is>
          <x:t xml:space="preserve">易</x:t>
        </x:is>
      </x:c>
      <x:c r="P306" s="55" t="inlineStr">
        <x:is>
          <x:t xml:space="preserve">否</x:t>
        </x:is>
      </x:c>
      <x:c r="Q306" s="56" t="n"/>
      <x:c r="R306" s="57" t="inlineStr">
        <x:is>
          <x:t xml:space="preserve">主集</x:t>
        </x:is>
      </x:c>
      <x:c r="S306" s="57" t="inlineStr">
        <x:is>
          <x:t xml:space="preserve">index</x:t>
        </x:is>
      </x:c>
      <x:c r="T306" s="57" t="inlineStr">
        <x:is>
          <x:t xml:space="preserve"/>
        </x:is>
      </x:c>
    </x:row>
    <x:row r="307" s="37" customFormat="1" ht="29.850000381469727" customHeight="1">
      <x:c r="A307" s="55" t="inlineStr">
        <x:is>
          <x:t xml:space="preserve">NEG-0306</x:t>
        </x:is>
      </x:c>
      <x:c r="B307" s="55" t="inlineStr">
        <x:is>
          <x:t xml:space="preserve">v3</x:t>
        </x:is>
      </x:c>
      <x:c r="C307" s="56" t="inlineStr">
        <x:is>
          <x:t xml:space="preserve">九、假触发词（形似而非）</x:t>
        </x:is>
      </x:c>
      <x:c r="D307" s="56" t="inlineStr">
        <x:is>
          <x:t xml:space="preserve">9.7 专名、地名与商标</x:t>
        </x:is>
      </x:c>
      <x:c r="E307" s="56" t="inlineStr">
        <x:is>
          <x:t xml:space="preserve">商业与产品</x:t>
        </x:is>
      </x:c>
      <x:c r="F307" s="56" t="inlineStr">
        <x:is>
          <x:t xml:space="preserve">旅行攻略</x:t>
        </x:is>
      </x:c>
      <x:c r="G307" s="55" t="inlineStr">
        <x:is>
          <x:t xml:space="preserve">无</x:t>
        </x:is>
      </x:c>
      <x:c r="H307" s="55" t="str">
        <x:f>IF(LEN(I307)&lt;15,"短",IF(LEN(I307)&lt;=45,"中","长"))</x:f>
        <x:v>中</x:v>
      </x:c>
      <x:c r="I307" s="56" t="inlineStr">
        <x:is>
          <x:t xml:space="preserve">少女峰铁路是欧洲海拔最高的齿轨铁路。</x:t>
        </x:is>
      </x:c>
      <x:c r="J307" s="56" t="str">
        <x:f>I307</x:f>
        <x:v>少女峰铁路是欧洲海拔最高的齿轨铁路。</x:v>
      </x:c>
      <x:c r="K307" s="55" t="inlineStr">
        <x:is>
          <x:t xml:space="preserve">无需改写</x:t>
        </x:is>
      </x:c>
      <x:c r="L307" s="56" t="inlineStr">
        <x:is>
          <x:t xml:space="preserve">少女峰</x:t>
        </x:is>
      </x:c>
      <x:c r="M307" s="56" t="inlineStr">
        <x:is>
          <x:t xml:space="preserve">地名专名</x:t>
        </x:is>
      </x:c>
      <x:c r="N307" s="56" t="inlineStr">
        <x:is>
          <x:t xml:space="preserve">这条铁路是欧洲海拔最高的齿轨铁路</x:t>
        </x:is>
      </x:c>
      <x:c r="O307" s="55" t="inlineStr">
        <x:is>
          <x:t xml:space="preserve">易</x:t>
        </x:is>
      </x:c>
      <x:c r="P307" s="55" t="inlineStr">
        <x:is>
          <x:t xml:space="preserve">否</x:t>
        </x:is>
      </x:c>
      <x:c r="Q307" s="56" t="n"/>
      <x:c r="R307" s="57" t="inlineStr">
        <x:is>
          <x:t xml:space="preserve">主集</x:t>
        </x:is>
      </x:c>
      <x:c r="S307" s="57" t="inlineStr">
        <x:is>
          <x:t xml:space="preserve">index</x:t>
        </x:is>
      </x:c>
      <x:c r="T307" s="57" t="inlineStr">
        <x:is>
          <x:t xml:space="preserve"/>
        </x:is>
      </x:c>
    </x:row>
    <x:row r="308" s="37" customFormat="1" ht="29.850000381469727" customHeight="1">
      <x:c r="A308" s="55" t="inlineStr">
        <x:is>
          <x:t xml:space="preserve">NEG-0307</x:t>
        </x:is>
      </x:c>
      <x:c r="B308" s="55" t="inlineStr">
        <x:is>
          <x:t xml:space="preserve">v3</x:t>
        </x:is>
      </x:c>
      <x:c r="C308" s="56" t="inlineStr">
        <x:is>
          <x:t xml:space="preserve">九、假触发词（形似而非）</x:t>
        </x:is>
      </x:c>
      <x:c r="D308" s="56" t="inlineStr">
        <x:is>
          <x:t xml:space="preserve">9.7 专名、地名与商标</x:t>
        </x:is>
      </x:c>
      <x:c r="E308" s="56" t="inlineStr">
        <x:is>
          <x:t xml:space="preserve">商业与产品</x:t>
        </x:is>
      </x:c>
      <x:c r="F308" s="56" t="inlineStr">
        <x:is>
          <x:t xml:space="preserve">商品页</x:t>
        </x:is>
      </x:c>
      <x:c r="G308" s="55" t="inlineStr">
        <x:is>
          <x:t xml:space="preserve">无</x:t>
        </x:is>
      </x:c>
      <x:c r="H308" s="55" t="str">
        <x:f>IF(LEN(I308)&lt;15,"短",IF(LEN(I308)&lt;=45,"中","长"))</x:f>
        <x:v>中</x:v>
      </x:c>
      <x:c r="I308" s="56" t="inlineStr">
        <x:is>
          <x:t xml:space="preserve">老干妈风味豆豉 280 克，玻璃瓶装。</x:t>
        </x:is>
      </x:c>
      <x:c r="J308" s="56" t="str">
        <x:f>I308</x:f>
        <x:v>老干妈风味豆豉 280 克，玻璃瓶装。</x:v>
      </x:c>
      <x:c r="K308" s="55" t="inlineStr">
        <x:is>
          <x:t xml:space="preserve">无需改写</x:t>
        </x:is>
      </x:c>
      <x:c r="L308" s="56" t="inlineStr">
        <x:is>
          <x:t xml:space="preserve">老干妈</x:t>
        </x:is>
      </x:c>
      <x:c r="M308" s="56" t="inlineStr">
        <x:is>
          <x:t xml:space="preserve">注册商标</x:t>
        </x:is>
      </x:c>
      <x:c r="N308" s="56" t="inlineStr">
        <x:is>
          <x:t xml:space="preserve">风味豆豉 280 克，玻璃瓶装</x:t>
        </x:is>
      </x:c>
      <x:c r="O308" s="55" t="inlineStr">
        <x:is>
          <x:t xml:space="preserve">易</x:t>
        </x:is>
      </x:c>
      <x:c r="P308" s="55" t="inlineStr">
        <x:is>
          <x:t xml:space="preserve">否</x:t>
        </x:is>
      </x:c>
      <x:c r="Q308" s="56" t="inlineStr">
        <x:is>
          <x:t xml:space="preserve">擅改商标名有法律风险</x:t>
        </x:is>
      </x:c>
      <x:c r="R308" s="57" t="inlineStr">
        <x:is>
          <x:t xml:space="preserve">主集</x:t>
        </x:is>
      </x:c>
      <x:c r="S308" s="57" t="inlineStr">
        <x:is>
          <x:t xml:space="preserve">dev</x:t>
        </x:is>
      </x:c>
      <x:c r="T308" s="57" t="inlineStr">
        <x:is>
          <x:t xml:space="preserve"/>
        </x:is>
      </x:c>
    </x:row>
    <x:row r="309" s="37" customFormat="1" ht="29.850000381469727" customHeight="1">
      <x:c r="A309" s="55" t="inlineStr">
        <x:is>
          <x:t xml:space="preserve">NEG-0308</x:t>
        </x:is>
      </x:c>
      <x:c r="B309" s="55" t="inlineStr">
        <x:is>
          <x:t xml:space="preserve">v3</x:t>
        </x:is>
      </x:c>
      <x:c r="C309" s="56" t="inlineStr">
        <x:is>
          <x:t xml:space="preserve">九、假触发词（形似而非）</x:t>
        </x:is>
      </x:c>
      <x:c r="D309" s="56" t="inlineStr">
        <x:is>
          <x:t xml:space="preserve">9.7 专名、地名与商标</x:t>
        </x:is>
      </x:c>
      <x:c r="E309" s="56" t="inlineStr">
        <x:is>
          <x:t xml:space="preserve">医疗健康</x:t>
        </x:is>
      </x:c>
      <x:c r="F309" s="56" t="inlineStr">
        <x:is>
          <x:t xml:space="preserve">药品目录</x:t>
        </x:is>
      </x:c>
      <x:c r="G309" s="55" t="inlineStr">
        <x:is>
          <x:t xml:space="preserve">无</x:t>
        </x:is>
      </x:c>
      <x:c r="H309" s="55" t="str">
        <x:f>IF(LEN(I309)&lt;15,"短",IF(LEN(I309)&lt;=45,"中","长"))</x:f>
        <x:v>中</x:v>
      </x:c>
      <x:c r="I309" s="56" t="inlineStr">
        <x:is>
          <x:t xml:space="preserve">妇科千金片属于处方药，须凭医师处方购买。</x:t>
        </x:is>
      </x:c>
      <x:c r="J309" s="56" t="str">
        <x:f>I309</x:f>
        <x:v>妇科千金片属于处方药，须凭医师处方购买。</x:v>
      </x:c>
      <x:c r="K309" s="55" t="inlineStr">
        <x:is>
          <x:t xml:space="preserve">无需改写</x:t>
        </x:is>
      </x:c>
      <x:c r="L309" s="56" t="inlineStr">
        <x:is>
          <x:t xml:space="preserve">妇科千金片</x:t>
        </x:is>
      </x:c>
      <x:c r="M309" s="56" t="inlineStr">
        <x:is>
          <x:t xml:space="preserve">药品通用名</x:t>
        </x:is>
      </x:c>
      <x:c r="N309" s="56" t="inlineStr">
        <x:is>
          <x:t xml:space="preserve">该中成药属于处方药</x:t>
        </x:is>
      </x:c>
      <x:c r="O309" s="55" t="inlineStr">
        <x:is>
          <x:t xml:space="preserve">易</x:t>
        </x:is>
      </x:c>
      <x:c r="P309" s="55" t="inlineStr">
        <x:is>
          <x:t xml:space="preserve">否</x:t>
        </x:is>
      </x:c>
      <x:c r="Q309" s="56" t="n"/>
      <x:c r="R309" s="57" t="inlineStr">
        <x:is>
          <x:t xml:space="preserve">主集</x:t>
        </x:is>
      </x:c>
      <x:c r="S309" s="57" t="inlineStr">
        <x:is>
          <x:t xml:space="preserve">index</x:t>
        </x:is>
      </x:c>
      <x:c r="T309" s="57" t="inlineStr">
        <x:is>
          <x:t xml:space="preserve"/>
        </x:is>
      </x:c>
    </x:row>
    <x:row r="310" s="37" customFormat="1" ht="29.850000381469727" customHeight="1">
      <x:c r="A310" s="55" t="inlineStr">
        <x:is>
          <x:t xml:space="preserve">NEG-0309</x:t>
        </x:is>
      </x:c>
      <x:c r="B310" s="55" t="inlineStr">
        <x:is>
          <x:t xml:space="preserve">v3</x:t>
        </x:is>
      </x:c>
      <x:c r="C310" s="56" t="inlineStr">
        <x:is>
          <x:t xml:space="preserve">九、假触发词（形似而非）</x:t>
        </x:is>
      </x:c>
      <x:c r="D310" s="56" t="inlineStr">
        <x:is>
          <x:t xml:space="preserve">9.7 专名、地名与商标</x:t>
        </x:is>
      </x:c>
      <x:c r="E310" s="56" t="inlineStr">
        <x:is>
          <x:t xml:space="preserve">医疗健康</x:t>
        </x:is>
      </x:c>
      <x:c r="F310" s="56" t="inlineStr">
        <x:is>
          <x:t xml:space="preserve">神话科普</x:t>
        </x:is>
      </x:c>
      <x:c r="G310" s="55" t="inlineStr">
        <x:is>
          <x:t xml:space="preserve">无</x:t>
        </x:is>
      </x:c>
      <x:c r="H310" s="55" t="str">
        <x:f>IF(LEN(I310)&lt;15,"短",IF(LEN(I310)&lt;=45,"中","长"))</x:f>
        <x:v>中</x:v>
      </x:c>
      <x:c r="I310" s="56" t="inlineStr">
        <x:is>
          <x:t xml:space="preserve">女娲补天的传说最早见于《淮南子》。</x:t>
        </x:is>
      </x:c>
      <x:c r="J310" s="56" t="str">
        <x:f>I310</x:f>
        <x:v>女娲补天的传说最早见于《淮南子》。</x:v>
      </x:c>
      <x:c r="K310" s="55" t="inlineStr">
        <x:is>
          <x:t xml:space="preserve">无需改写</x:t>
        </x:is>
      </x:c>
      <x:c r="L310" s="56" t="inlineStr">
        <x:is>
          <x:t xml:space="preserve">女娲</x:t>
        </x:is>
      </x:c>
      <x:c r="M310" s="56" t="inlineStr">
        <x:is>
          <x:t xml:space="preserve">神话人物专名</x:t>
        </x:is>
      </x:c>
      <x:c r="N310" s="56" t="inlineStr">
        <x:is>
          <x:t xml:space="preserve">补天的传说最早见于《淮南子》</x:t>
        </x:is>
      </x:c>
      <x:c r="O310" s="55" t="inlineStr">
        <x:is>
          <x:t xml:space="preserve">易</x:t>
        </x:is>
      </x:c>
      <x:c r="P310" s="55" t="inlineStr">
        <x:is>
          <x:t xml:space="preserve">否</x:t>
        </x:is>
      </x:c>
      <x:c r="Q310" s="56" t="n"/>
      <x:c r="R310" s="57" t="inlineStr">
        <x:is>
          <x:t xml:space="preserve">主集</x:t>
        </x:is>
      </x:c>
      <x:c r="S310" s="57" t="inlineStr">
        <x:is>
          <x:t xml:space="preserve">test</x:t>
        </x:is>
      </x:c>
      <x:c r="T310" s="57" t="inlineStr">
        <x:is>
          <x:t xml:space="preserve"/>
        </x:is>
      </x:c>
    </x:row>
    <x:row r="311" s="37" customFormat="1" ht="29.850000381469727" customHeight="1">
      <x:c r="A311" s="55" t="inlineStr">
        <x:is>
          <x:t xml:space="preserve">NEG-0310</x:t>
        </x:is>
      </x:c>
      <x:c r="B311" s="55" t="inlineStr">
        <x:is>
          <x:t xml:space="preserve">v3</x:t>
        </x:is>
      </x:c>
      <x:c r="C311" s="56" t="inlineStr">
        <x:is>
          <x:t xml:space="preserve">九、假触发词（形似而非）</x:t>
        </x:is>
      </x:c>
      <x:c r="D311" s="56" t="inlineStr">
        <x:is>
          <x:t xml:space="preserve">9.7 专名、地名与商标</x:t>
        </x:is>
      </x:c>
      <x:c r="E311" s="56" t="inlineStr">
        <x:is>
          <x:t xml:space="preserve">新闻报道</x:t>
        </x:is>
      </x:c>
      <x:c r="F311" s="56" t="inlineStr">
        <x:is>
          <x:t xml:space="preserve">水利新闻</x:t>
        </x:is>
      </x:c>
      <x:c r="G311" s="55" t="inlineStr">
        <x:is>
          <x:t xml:space="preserve">无</x:t>
        </x:is>
      </x:c>
      <x:c r="H311" s="55" t="str">
        <x:f>IF(LEN(I311)&lt;15,"短",IF(LEN(I311)&lt;=45,"中","长"))</x:f>
        <x:v>中</x:v>
      </x:c>
      <x:c r="I311" s="56" t="inlineStr">
        <x:is>
          <x:t xml:space="preserve">母亲河生态治理工程已进入第二阶段。</x:t>
        </x:is>
      </x:c>
      <x:c r="J311" s="56" t="str">
        <x:f>I311</x:f>
        <x:v>母亲河生态治理工程已进入第二阶段。</x:v>
      </x:c>
      <x:c r="K311" s="55" t="inlineStr">
        <x:is>
          <x:t xml:space="preserve">无需改写</x:t>
        </x:is>
      </x:c>
      <x:c r="L311" s="56" t="inlineStr">
        <x:is>
          <x:t xml:space="preserve">母亲河</x:t>
        </x:is>
      </x:c>
      <x:c r="M311" s="56" t="inlineStr">
        <x:is>
          <x:t xml:space="preserve">黄河的固定别称</x:t>
        </x:is>
      </x:c>
      <x:c r="N311" s="56" t="inlineStr">
        <x:is>
          <x:t xml:space="preserve">大河生态治理工程已进入第二阶段</x:t>
        </x:is>
      </x:c>
      <x:c r="O311" s="55" t="inlineStr">
        <x:is>
          <x:t xml:space="preserve">中</x:t>
        </x:is>
      </x:c>
      <x:c r="P311" s="55" t="inlineStr">
        <x:is>
          <x:t xml:space="preserve">否</x:t>
        </x:is>
      </x:c>
      <x:c r="Q311" s="56" t="n"/>
      <x:c r="R311" s="57" t="inlineStr">
        <x:is>
          <x:t xml:space="preserve">主集</x:t>
        </x:is>
      </x:c>
      <x:c r="S311" s="57" t="inlineStr">
        <x:is>
          <x:t xml:space="preserve">index</x:t>
        </x:is>
      </x:c>
      <x:c r="T311" s="57" t="inlineStr">
        <x:is>
          <x:t xml:space="preserve"/>
        </x:is>
      </x:c>
    </x:row>
    <x:row r="312" s="37" customFormat="1" ht="29.850000381469727" customHeight="1">
      <x:c r="A312" s="58" t="inlineStr">
        <x:is>
          <x:t xml:space="preserve">NEG-0311</x:t>
        </x:is>
      </x:c>
      <x:c r="B312" s="58" t="inlineStr">
        <x:is>
          <x:t xml:space="preserve">v3</x:t>
        </x:is>
      </x:c>
      <x:c r="C312" s="59" t="inlineStr">
        <x:is>
          <x:t xml:space="preserve">九、假触发词（形似而非）</x:t>
        </x:is>
      </x:c>
      <x:c r="D312" s="59" t="inlineStr">
        <x:is>
          <x:t xml:space="preserve">9.7 专名、地名与商标</x:t>
        </x:is>
      </x:c>
      <x:c r="E312" s="59" t="inlineStr">
        <x:is>
          <x:t xml:space="preserve">商业与产品</x:t>
        </x:is>
      </x:c>
      <x:c r="F312" s="59" t="inlineStr">
        <x:is>
          <x:t xml:space="preserve">旅游介绍</x:t>
        </x:is>
      </x:c>
      <x:c r="G312" s="58" t="inlineStr">
        <x:is>
          <x:t xml:space="preserve">无</x:t>
        </x:is>
      </x:c>
      <x:c r="H312" s="58" t="str">
        <x:f>IF(LEN(I312)&lt;15,"短",IF(LEN(I312)&lt;=45,"中","长"))</x:f>
        <x:v>中</x:v>
      </x:c>
      <x:c r="I312" s="59" t="inlineStr">
        <x:is>
          <x:t xml:space="preserve">哥本哈根的小美人鱼铜像常年游客不断。</x:t>
        </x:is>
      </x:c>
      <x:c r="J312" s="59" t="str">
        <x:f>I312</x:f>
        <x:v>哥本哈根的小美人鱼铜像常年游客不断。</x:v>
      </x:c>
      <x:c r="K312" s="58" t="inlineStr">
        <x:is>
          <x:t xml:space="preserve">无需改写</x:t>
        </x:is>
      </x:c>
      <x:c r="L312" s="59" t="inlineStr">
        <x:is>
          <x:t xml:space="preserve">小美人鱼</x:t>
        </x:is>
      </x:c>
      <x:c r="M312" s="59" t="inlineStr">
        <x:is>
          <x:t xml:space="preserve">雕塑专名</x:t>
        </x:is>
      </x:c>
      <x:c r="N312" s="59" t="inlineStr">
        <x:is>
          <x:t xml:space="preserve">哥本哈根的这座铜像常年游客不断</x:t>
        </x:is>
      </x:c>
      <x:c r="O312" s="58" t="inlineStr">
        <x:is>
          <x:t xml:space="preserve">易</x:t>
        </x:is>
      </x:c>
      <x:c r="P312" s="58" t="inlineStr">
        <x:is>
          <x:t xml:space="preserve">否</x:t>
        </x:is>
      </x:c>
      <x:c r="Q312" s="59" t="n"/>
      <x:c r="R312" s="60" t="inlineStr">
        <x:is>
          <x:t xml:space="preserve">隔离·待确认</x:t>
        </x:is>
      </x:c>
      <x:c r="S312" s="60" t="inlineStr">
        <x:is>
          <x:t xml:space="preserve"/>
        </x:is>
      </x:c>
      <x:c r="T312" s="60" t="inlineStr">
        <x:is>
          <x:t xml:space="preserve">触发词不含性别编码——判断可能依赖世界知识而非句内信息</x:t>
        </x:is>
      </x:c>
    </x:row>
    <x:row r="313" s="37" customFormat="1" ht="29.850000381469727" customHeight="1">
      <x:c r="A313" s="55" t="inlineStr">
        <x:is>
          <x:t xml:space="preserve">NEG-0312</x:t>
        </x:is>
      </x:c>
      <x:c r="B313" s="55" t="inlineStr">
        <x:is>
          <x:t xml:space="preserve">v3</x:t>
        </x:is>
      </x:c>
      <x:c r="C313" s="56" t="inlineStr">
        <x:is>
          <x:t xml:space="preserve">九、假触发词（形似而非）</x:t>
        </x:is>
      </x:c>
      <x:c r="D313" s="56" t="inlineStr">
        <x:is>
          <x:t xml:space="preserve">9.7 专名、地名与商标</x:t>
        </x:is>
      </x:c>
      <x:c r="E313" s="56" t="inlineStr">
        <x:is>
          <x:t xml:space="preserve">医疗健康</x:t>
        </x:is>
      </x:c>
      <x:c r="F313" s="56" t="inlineStr">
        <x:is>
          <x:t xml:space="preserve">天文科普</x:t>
        </x:is>
      </x:c>
      <x:c r="G313" s="55" t="inlineStr">
        <x:is>
          <x:t xml:space="preserve">无</x:t>
        </x:is>
      </x:c>
      <x:c r="H313" s="55" t="str">
        <x:f>IF(LEN(I313)&lt;15,"短",IF(LEN(I313)&lt;=45,"中","长"))</x:f>
        <x:v>中</x:v>
      </x:c>
      <x:c r="I313" s="56" t="inlineStr">
        <x:is>
          <x:t xml:space="preserve">处女座是黄道十二星座中面积最大的一个。</x:t>
        </x:is>
      </x:c>
      <x:c r="J313" s="56" t="str">
        <x:f>I313</x:f>
        <x:v>处女座是黄道十二星座中面积最大的一个。</x:v>
      </x:c>
      <x:c r="K313" s="55" t="inlineStr">
        <x:is>
          <x:t xml:space="preserve">无需改写</x:t>
        </x:is>
      </x:c>
      <x:c r="L313" s="56" t="inlineStr">
        <x:is>
          <x:t xml:space="preserve">处女座</x:t>
        </x:is>
      </x:c>
      <x:c r="M313" s="56" t="inlineStr">
        <x:is>
          <x:t xml:space="preserve">星座专名</x:t>
        </x:is>
      </x:c>
      <x:c r="N313" s="56" t="inlineStr">
        <x:is>
          <x:t xml:space="preserve">室女座是黄道十二星座中面积最大的一个</x:t>
        </x:is>
      </x:c>
      <x:c r="O313" s="55" t="inlineStr">
        <x:is>
          <x:t xml:space="preserve">中</x:t>
        </x:is>
      </x:c>
      <x:c r="P313" s="55" t="inlineStr">
        <x:is>
          <x:t xml:space="preserve">否</x:t>
        </x:is>
      </x:c>
      <x:c r="Q313" s="56" t="inlineStr">
        <x:is>
          <x:t xml:space="preserve">室女座虽为天文学正名，但通俗语境改写属超范围</x:t>
        </x:is>
      </x:c>
      <x:c r="R313" s="57" t="inlineStr">
        <x:is>
          <x:t xml:space="preserve">主集</x:t>
        </x:is>
      </x:c>
      <x:c r="S313" s="57" t="inlineStr">
        <x:is>
          <x:t xml:space="preserve">index</x:t>
        </x:is>
      </x:c>
      <x:c r="T313" s="57" t="inlineStr">
        <x:is>
          <x:t xml:space="preserve"/>
        </x:is>
      </x:c>
    </x:row>
    <x:row r="314" s="37" customFormat="1" ht="29.850000381469727" customHeight="1">
      <x:c r="A314" s="55" t="inlineStr">
        <x:is>
          <x:t xml:space="preserve">NEG-0313</x:t>
        </x:is>
      </x:c>
      <x:c r="B314" s="55" t="inlineStr">
        <x:is>
          <x:t xml:space="preserve">v3</x:t>
        </x:is>
      </x:c>
      <x:c r="C314" s="56" t="inlineStr">
        <x:is>
          <x:t xml:space="preserve">九、假触发词（形似而非）</x:t>
        </x:is>
      </x:c>
      <x:c r="D314" s="56" t="inlineStr">
        <x:is>
          <x:t xml:space="preserve">9.7 专名、地名与商标</x:t>
        </x:is>
      </x:c>
      <x:c r="E314" s="56" t="inlineStr">
        <x:is>
          <x:t xml:space="preserve">文艺创作与评论</x:t>
        </x:is>
      </x:c>
      <x:c r="F314" s="56" t="inlineStr">
        <x:is>
          <x:t xml:space="preserve">影史介绍</x:t>
        </x:is>
      </x:c>
      <x:c r="G314" s="55" t="inlineStr">
        <x:is>
          <x:t xml:space="preserve">无</x:t>
        </x:is>
      </x:c>
      <x:c r="H314" s="55" t="str">
        <x:f>IF(LEN(I314)&lt;15,"短",IF(LEN(I314)&lt;=45,"中","长"))</x:f>
        <x:v>中</x:v>
      </x:c>
      <x:c r="I314" s="56" t="inlineStr">
        <x:is>
          <x:t xml:space="preserve">《处女泉》为伯格曼赢得了首座奥斯卡最佳外语片。</x:t>
        </x:is>
      </x:c>
      <x:c r="J314" s="56" t="str">
        <x:f>I314</x:f>
        <x:v>《处女泉》为伯格曼赢得了首座奥斯卡最佳外语片。</x:v>
      </x:c>
      <x:c r="K314" s="55" t="inlineStr">
        <x:is>
          <x:t xml:space="preserve">无需改写</x:t>
        </x:is>
      </x:c>
      <x:c r="L314" s="56" t="inlineStr">
        <x:is>
          <x:t xml:space="preserve">处女泉</x:t>
        </x:is>
      </x:c>
      <x:c r="M314" s="56" t="inlineStr">
        <x:is>
          <x:t xml:space="preserve">影片名</x:t>
        </x:is>
      </x:c>
      <x:c r="N314" s="56" t="inlineStr">
        <x:is>
          <x:t xml:space="preserve">这部影片为伯格曼赢得了首座奥斯卡</x:t>
        </x:is>
      </x:c>
      <x:c r="O314" s="55" t="inlineStr">
        <x:is>
          <x:t xml:space="preserve">易</x:t>
        </x:is>
      </x:c>
      <x:c r="P314" s="55" t="inlineStr">
        <x:is>
          <x:t xml:space="preserve">否</x:t>
        </x:is>
      </x:c>
      <x:c r="Q314" s="56" t="n"/>
      <x:c r="R314" s="57" t="inlineStr">
        <x:is>
          <x:t xml:space="preserve">主集</x:t>
        </x:is>
      </x:c>
      <x:c r="S314" s="57" t="inlineStr">
        <x:is>
          <x:t xml:space="preserve">index</x:t>
        </x:is>
      </x:c>
      <x:c r="T314" s="57" t="inlineStr">
        <x:is>
          <x:t xml:space="preserve"/>
        </x:is>
      </x:c>
    </x:row>
    <x:row r="315" s="37" customFormat="1" ht="29.850000381469727" customHeight="1">
      <x:c r="A315" s="55" t="inlineStr">
        <x:is>
          <x:t xml:space="preserve">NEG-0314</x:t>
        </x:is>
      </x:c>
      <x:c r="B315" s="55" t="inlineStr">
        <x:is>
          <x:t xml:space="preserve">v3</x:t>
        </x:is>
      </x:c>
      <x:c r="C315" s="56" t="inlineStr">
        <x:is>
          <x:t xml:space="preserve">九、假触发词（形似而非）</x:t>
        </x:is>
      </x:c>
      <x:c r="D315" s="56" t="inlineStr">
        <x:is>
          <x:t xml:space="preserve">9.7 专名、地名与商标</x:t>
        </x:is>
      </x:c>
      <x:c r="E315" s="56" t="inlineStr">
        <x:is>
          <x:t xml:space="preserve">商业与产品</x:t>
        </x:is>
      </x:c>
      <x:c r="F315" s="56" t="inlineStr">
        <x:is>
          <x:t xml:space="preserve">调味品行业</x:t>
        </x:is>
      </x:c>
      <x:c r="G315" s="55" t="inlineStr">
        <x:is>
          <x:t xml:space="preserve">无</x:t>
        </x:is>
      </x:c>
      <x:c r="H315" s="55" t="str">
        <x:f>IF(LEN(I315)&lt;15,"短",IF(LEN(I315)&lt;=45,"中","长"))</x:f>
        <x:v>中</x:v>
      </x:c>
      <x:c r="I315" s="56" t="inlineStr">
        <x:is>
          <x:t xml:space="preserve">太太乐是国内鸡精市场份额较高的品牌之一。</x:t>
        </x:is>
      </x:c>
      <x:c r="J315" s="56" t="str">
        <x:f>I315</x:f>
        <x:v>太太乐是国内鸡精市场份额较高的品牌之一。</x:v>
      </x:c>
      <x:c r="K315" s="55" t="inlineStr">
        <x:is>
          <x:t xml:space="preserve">无需改写</x:t>
        </x:is>
      </x:c>
      <x:c r="L315" s="56" t="inlineStr">
        <x:is>
          <x:t xml:space="preserve">太太乐</x:t>
        </x:is>
      </x:c>
      <x:c r="M315" s="56" t="inlineStr">
        <x:is>
          <x:t xml:space="preserve">注册商标</x:t>
        </x:is>
      </x:c>
      <x:c r="N315" s="56" t="inlineStr">
        <x:is>
          <x:t xml:space="preserve">该品牌是国内鸡精市场份额较高的之一</x:t>
        </x:is>
      </x:c>
      <x:c r="O315" s="55" t="inlineStr">
        <x:is>
          <x:t xml:space="preserve">易</x:t>
        </x:is>
      </x:c>
      <x:c r="P315" s="55" t="inlineStr">
        <x:is>
          <x:t xml:space="preserve">否</x:t>
        </x:is>
      </x:c>
      <x:c r="Q315" s="56" t="n"/>
      <x:c r="R315" s="57" t="inlineStr">
        <x:is>
          <x:t xml:space="preserve">主集</x:t>
        </x:is>
      </x:c>
      <x:c r="S315" s="57" t="inlineStr">
        <x:is>
          <x:t xml:space="preserve">test</x:t>
        </x:is>
      </x:c>
      <x:c r="T315" s="57" t="inlineStr">
        <x:is>
          <x:t xml:space="preserve"/>
        </x:is>
      </x:c>
    </x:row>
    <x:row r="316" s="37" customFormat="1" ht="29.850000381469727" customHeight="1">
      <x:c r="A316" s="58" t="inlineStr">
        <x:is>
          <x:t xml:space="preserve">NEG-0315</x:t>
        </x:is>
      </x:c>
      <x:c r="B316" s="58" t="inlineStr">
        <x:is>
          <x:t xml:space="preserve">v3</x:t>
        </x:is>
      </x:c>
      <x:c r="C316" s="59" t="inlineStr">
        <x:is>
          <x:t xml:space="preserve">九、假触发词（形似而非）</x:t>
        </x:is>
      </x:c>
      <x:c r="D316" s="59" t="inlineStr">
        <x:is>
          <x:t xml:space="preserve">9.8 度量衡与其他引申</x:t>
        </x:is>
      </x:c>
      <x:c r="E316" s="59" t="inlineStr">
        <x:is>
          <x:t xml:space="preserve">工程与技术</x:t>
        </x:is>
      </x:c>
      <x:c r="F316" s="59" t="inlineStr">
        <x:is>
          <x:t xml:space="preserve">物流客服</x:t>
        </x:is>
      </x:c>
      <x:c r="G316" s="58" t="inlineStr">
        <x:is>
          <x:t xml:space="preserve">无</x:t>
        </x:is>
      </x:c>
      <x:c r="H316" s="58" t="str">
        <x:f>IF(LEN(I316)&lt;15,"短",IF(LEN(I316)&lt;=45,"中","长"))</x:f>
        <x:v>中</x:v>
      </x:c>
      <x:c r="I316" s="59" t="inlineStr">
        <x:is>
          <x:t xml:space="preserve">包裹实重两公斤，按公斤计费，一共十八元。</x:t>
        </x:is>
      </x:c>
      <x:c r="J316" s="59" t="str">
        <x:f>I316</x:f>
        <x:v>包裹实重两公斤，按公斤计费，一共十八元。</x:v>
      </x:c>
      <x:c r="K316" s="58" t="inlineStr">
        <x:is>
          <x:t xml:space="preserve">无需改写</x:t>
        </x:is>
      </x:c>
      <x:c r="L316" s="59" t="inlineStr">
        <x:is>
          <x:t xml:space="preserve">公斤</x:t>
        </x:is>
      </x:c>
      <x:c r="M316" s="59" t="inlineStr">
        <x:is>
          <x:t xml:space="preserve">法定计量单位</x:t>
        </x:is>
      </x:c>
      <x:c r="N316" s="59" t="inlineStr">
        <x:is>
          <x:t xml:space="preserve">包裹实重两千克，按千克计费</x:t>
        </x:is>
      </x:c>
      <x:c r="O316" s="58" t="inlineStr">
        <x:is>
          <x:t xml:space="preserve">易</x:t>
        </x:is>
      </x:c>
      <x:c r="P316" s="58" t="inlineStr">
        <x:is>
          <x:t xml:space="preserve">否</x:t>
        </x:is>
      </x:c>
      <x:c r="Q316" s="59" t="n"/>
      <x:c r="R316" s="60" t="inlineStr">
        <x:is>
          <x:t xml:space="preserve">隔离·待确认</x:t>
        </x:is>
      </x:c>
      <x:c r="S316" s="60" t="inlineStr">
        <x:is>
          <x:t xml:space="preserve"/>
        </x:is>
      </x:c>
      <x:c r="T316" s="60" t="inlineStr">
        <x:is>
          <x:t xml:space="preserve">触发词不含性别编码——判断可能依赖世界知识而非句内信息</x:t>
        </x:is>
      </x:c>
    </x:row>
    <x:row r="317" s="37" customFormat="1" ht="29.850000381469727" customHeight="1">
      <x:c r="A317" s="58" t="inlineStr">
        <x:is>
          <x:t xml:space="preserve">NEG-0316</x:t>
        </x:is>
      </x:c>
      <x:c r="B317" s="58" t="inlineStr">
        <x:is>
          <x:t xml:space="preserve">v3</x:t>
        </x:is>
      </x:c>
      <x:c r="C317" s="59" t="inlineStr">
        <x:is>
          <x:t xml:space="preserve">九、假触发词（形似而非）</x:t>
        </x:is>
      </x:c>
      <x:c r="D317" s="59" t="inlineStr">
        <x:is>
          <x:t xml:space="preserve">9.8 度量衡与其他引申</x:t>
        </x:is>
      </x:c>
      <x:c r="E317" s="59" t="inlineStr">
        <x:is>
          <x:t xml:space="preserve">工程与技术</x:t>
        </x:is>
      </x:c>
      <x:c r="F317" s="59" t="inlineStr">
        <x:is>
          <x:t xml:space="preserve">导航播报</x:t>
        </x:is>
      </x:c>
      <x:c r="G317" s="58" t="inlineStr">
        <x:is>
          <x:t xml:space="preserve">无</x:t>
        </x:is>
      </x:c>
      <x:c r="H317" s="58" t="str">
        <x:f>IF(LEN(I317)&lt;15,"短",IF(LEN(I317)&lt;=45,"中","长"))</x:f>
        <x:v>中</x:v>
      </x:c>
      <x:c r="I317" s="59" t="inlineStr">
        <x:is>
          <x:t xml:space="preserve">前方施工，请在三公里外提前变道。</x:t>
        </x:is>
      </x:c>
      <x:c r="J317" s="59" t="str">
        <x:f>I317</x:f>
        <x:v>前方施工，请在三公里外提前变道。</x:v>
      </x:c>
      <x:c r="K317" s="58" t="inlineStr">
        <x:is>
          <x:t xml:space="preserve">无需改写</x:t>
        </x:is>
      </x:c>
      <x:c r="L317" s="59" t="inlineStr">
        <x:is>
          <x:t xml:space="preserve">公里</x:t>
        </x:is>
      </x:c>
      <x:c r="M317" s="59" t="inlineStr">
        <x:is>
          <x:t xml:space="preserve">法定计量单位</x:t>
        </x:is>
      </x:c>
      <x:c r="N317" s="59" t="inlineStr">
        <x:is>
          <x:t xml:space="preserve">前方施工，请在三千米外提前变道</x:t>
        </x:is>
      </x:c>
      <x:c r="O317" s="58" t="inlineStr">
        <x:is>
          <x:t xml:space="preserve">易</x:t>
        </x:is>
      </x:c>
      <x:c r="P317" s="58" t="inlineStr">
        <x:is>
          <x:t xml:space="preserve">否</x:t>
        </x:is>
      </x:c>
      <x:c r="Q317" s="59" t="n"/>
      <x:c r="R317" s="60" t="inlineStr">
        <x:is>
          <x:t xml:space="preserve">隔离·待确认</x:t>
        </x:is>
      </x:c>
      <x:c r="S317" s="60" t="inlineStr">
        <x:is>
          <x:t xml:space="preserve"/>
        </x:is>
      </x:c>
      <x:c r="T317" s="60" t="inlineStr">
        <x:is>
          <x:t xml:space="preserve">触发词不含性别编码——判断可能依赖世界知识而非句内信息</x:t>
        </x:is>
      </x:c>
    </x:row>
    <x:row r="318" s="37" customFormat="1" ht="29.850000381469727" customHeight="1">
      <x:c r="A318" s="58" t="inlineStr">
        <x:is>
          <x:t xml:space="preserve">NEG-0317</x:t>
        </x:is>
      </x:c>
      <x:c r="B318" s="58" t="inlineStr">
        <x:is>
          <x:t xml:space="preserve">v3</x:t>
        </x:is>
      </x:c>
      <x:c r="C318" s="59" t="inlineStr">
        <x:is>
          <x:t xml:space="preserve">九、假触发词（形似而非）</x:t>
        </x:is>
      </x:c>
      <x:c r="D318" s="59" t="inlineStr">
        <x:is>
          <x:t xml:space="preserve">9.8 度量衡与其他引申</x:t>
        </x:is>
      </x:c>
      <x:c r="E318" s="59" t="inlineStr">
        <x:is>
          <x:t xml:space="preserve">学术与调研</x:t>
        </x:is>
      </x:c>
      <x:c r="F318" s="59" t="inlineStr">
        <x:is>
          <x:t xml:space="preserve">农业统计</x:t>
        </x:is>
      </x:c>
      <x:c r="G318" s="58" t="inlineStr">
        <x:is>
          <x:t xml:space="preserve">无</x:t>
        </x:is>
      </x:c>
      <x:c r="H318" s="58" t="str">
        <x:f>IF(LEN(I318)&lt;15,"短",IF(LEN(I318)&lt;=45,"中","长"))</x:f>
        <x:v>短</x:v>
      </x:c>
      <x:c r="I318" s="59" t="inlineStr">
        <x:is>
          <x:t xml:space="preserve">这片示范田共计四十二公顷。</x:t>
        </x:is>
      </x:c>
      <x:c r="J318" s="59" t="str">
        <x:f>I318</x:f>
        <x:v>这片示范田共计四十二公顷。</x:v>
      </x:c>
      <x:c r="K318" s="58" t="inlineStr">
        <x:is>
          <x:t xml:space="preserve">无需改写</x:t>
        </x:is>
      </x:c>
      <x:c r="L318" s="59" t="inlineStr">
        <x:is>
          <x:t xml:space="preserve">公顷</x:t>
        </x:is>
      </x:c>
      <x:c r="M318" s="59" t="inlineStr">
        <x:is>
          <x:t xml:space="preserve">面积单位</x:t>
        </x:is>
      </x:c>
      <x:c r="N318" s="59" t="inlineStr">
        <x:is>
          <x:t xml:space="preserve">这片示范田共计四百二十亩</x:t>
        </x:is>
      </x:c>
      <x:c r="O318" s="58" t="inlineStr">
        <x:is>
          <x:t xml:space="preserve">易</x:t>
        </x:is>
      </x:c>
      <x:c r="P318" s="58" t="inlineStr">
        <x:is>
          <x:t xml:space="preserve">否</x:t>
        </x:is>
      </x:c>
      <x:c r="Q318" s="59" t="n"/>
      <x:c r="R318" s="60" t="inlineStr">
        <x:is>
          <x:t xml:space="preserve">隔离·待确认</x:t>
        </x:is>
      </x:c>
      <x:c r="S318" s="60" t="inlineStr">
        <x:is>
          <x:t xml:space="preserve"/>
        </x:is>
      </x:c>
      <x:c r="T318" s="60" t="inlineStr">
        <x:is>
          <x:t xml:space="preserve">触发词不含性别编码——判断可能依赖世界知识而非句内信息</x:t>
        </x:is>
      </x:c>
    </x:row>
    <x:row r="319" s="37" customFormat="1" ht="29.850000381469727" customHeight="1">
      <x:c r="A319" s="58" t="inlineStr">
        <x:is>
          <x:t xml:space="preserve">NEG-0318</x:t>
        </x:is>
      </x:c>
      <x:c r="B319" s="58" t="inlineStr">
        <x:is>
          <x:t xml:space="preserve">v3</x:t>
        </x:is>
      </x:c>
      <x:c r="C319" s="59" t="inlineStr">
        <x:is>
          <x:t xml:space="preserve">九、假触发词（形似而非）</x:t>
        </x:is>
      </x:c>
      <x:c r="D319" s="59" t="inlineStr">
        <x:is>
          <x:t xml:space="preserve">9.8 度量衡与其他引申</x:t>
        </x:is>
      </x:c>
      <x:c r="E319" s="59" t="inlineStr">
        <x:is>
          <x:t xml:space="preserve">公文与规章</x:t>
        </x:is>
      </x:c>
      <x:c r="F319" s="59" t="inlineStr">
        <x:is>
          <x:t xml:space="preserve">购房咨询</x:t>
        </x:is>
      </x:c>
      <x:c r="G319" s="58" t="inlineStr">
        <x:is>
          <x:t xml:space="preserve">无</x:t>
        </x:is>
      </x:c>
      <x:c r="H319" s="58" t="str">
        <x:f>IF(LEN(I319)&lt;15,"短",IF(LEN(I319)&lt;=45,"中","长"))</x:f>
        <x:v>中</x:v>
      </x:c>
      <x:c r="I319" s="59" t="inlineStr">
        <x:is>
          <x:t xml:space="preserve">公摊面积在购房合同附件里有明确标注。</x:t>
        </x:is>
      </x:c>
      <x:c r="J319" s="59" t="str">
        <x:f>I319</x:f>
        <x:v>公摊面积在购房合同附件里有明确标注。</x:v>
      </x:c>
      <x:c r="K319" s="58" t="inlineStr">
        <x:is>
          <x:t xml:space="preserve">无需改写</x:t>
        </x:is>
      </x:c>
      <x:c r="L319" s="59" t="inlineStr">
        <x:is>
          <x:t xml:space="preserve">公摊</x:t>
        </x:is>
      </x:c>
      <x:c r="M319" s="59" t="inlineStr">
        <x:is>
          <x:t xml:space="preserve">房产术语</x:t>
        </x:is>
      </x:c>
      <x:c r="N319" s="59" t="inlineStr">
        <x:is>
          <x:t xml:space="preserve">分摊面积在购房合同附件里有明确标注</x:t>
        </x:is>
      </x:c>
      <x:c r="O319" s="58" t="inlineStr">
        <x:is>
          <x:t xml:space="preserve">易</x:t>
        </x:is>
      </x:c>
      <x:c r="P319" s="58" t="inlineStr">
        <x:is>
          <x:t xml:space="preserve">否</x:t>
        </x:is>
      </x:c>
      <x:c r="Q319" s="59" t="n"/>
      <x:c r="R319" s="60" t="inlineStr">
        <x:is>
          <x:t xml:space="preserve">隔离·待确认</x:t>
        </x:is>
      </x:c>
      <x:c r="S319" s="60" t="inlineStr">
        <x:is>
          <x:t xml:space="preserve"/>
        </x:is>
      </x:c>
      <x:c r="T319" s="60" t="inlineStr">
        <x:is>
          <x:t xml:space="preserve">触发词不含性别编码——判断可能依赖世界知识而非句内信息</x:t>
        </x:is>
      </x:c>
    </x:row>
    <x:row r="320" s="37" customFormat="1" ht="29.850000381469727" customHeight="1">
      <x:c r="A320" s="58" t="inlineStr">
        <x:is>
          <x:t xml:space="preserve">NEG-0319</x:t>
        </x:is>
      </x:c>
      <x:c r="B320" s="58" t="inlineStr">
        <x:is>
          <x:t xml:space="preserve">v3</x:t>
        </x:is>
      </x:c>
      <x:c r="C320" s="59" t="inlineStr">
        <x:is>
          <x:t xml:space="preserve">九、假触发词（形似而非）</x:t>
        </x:is>
      </x:c>
      <x:c r="D320" s="59" t="inlineStr">
        <x:is>
          <x:t xml:space="preserve">9.8 度量衡与其他引申</x:t>
        </x:is>
      </x:c>
      <x:c r="E320" s="59" t="inlineStr">
        <x:is>
          <x:t xml:space="preserve">工程与技术</x:t>
        </x:is>
      </x:c>
      <x:c r="F320" s="59" t="inlineStr">
        <x:is>
          <x:t xml:space="preserve">数学教辅</x:t>
        </x:is>
      </x:c>
      <x:c r="G320" s="58" t="inlineStr">
        <x:is>
          <x:t xml:space="preserve">无</x:t>
        </x:is>
      </x:c>
      <x:c r="H320" s="58" t="str">
        <x:f>IF(LEN(I320)&lt;15,"短",IF(LEN(I320)&lt;=45,"中","长"))</x:f>
        <x:v>中</x:v>
      </x:c>
      <x:c r="I320" s="59" t="inlineStr">
        <x:is>
          <x:t xml:space="preserve">求两个数的公因数和公倍数是小学高年级内容。</x:t>
        </x:is>
      </x:c>
      <x:c r="J320" s="59" t="str">
        <x:f>I320</x:f>
        <x:v>求两个数的公因数和公倍数是小学高年级内容。</x:v>
      </x:c>
      <x:c r="K320" s="58" t="inlineStr">
        <x:is>
          <x:t xml:space="preserve">无需改写</x:t>
        </x:is>
      </x:c>
      <x:c r="L320" s="59" t="inlineStr">
        <x:is>
          <x:t xml:space="preserve">公因数/公倍数</x:t>
        </x:is>
      </x:c>
      <x:c r="M320" s="59" t="inlineStr">
        <x:is>
          <x:t xml:space="preserve">数学术语</x:t>
        </x:is>
      </x:c>
      <x:c r="N320" s="59" t="inlineStr">
        <x:is>
          <x:t xml:space="preserve">求两个数的共同因数是小学高年级内容</x:t>
        </x:is>
      </x:c>
      <x:c r="O320" s="58" t="inlineStr">
        <x:is>
          <x:t xml:space="preserve">易</x:t>
        </x:is>
      </x:c>
      <x:c r="P320" s="58" t="inlineStr">
        <x:is>
          <x:t xml:space="preserve">否</x:t>
        </x:is>
      </x:c>
      <x:c r="Q320" s="59" t="n"/>
      <x:c r="R320" s="60" t="inlineStr">
        <x:is>
          <x:t xml:space="preserve">隔离·待确认</x:t>
        </x:is>
      </x:c>
      <x:c r="S320" s="60" t="inlineStr">
        <x:is>
          <x:t xml:space="preserve"/>
        </x:is>
      </x:c>
      <x:c r="T320" s="60" t="inlineStr">
        <x:is>
          <x:t xml:space="preserve">触发词不含性别编码——判断可能依赖世界知识而非句内信息</x:t>
        </x:is>
      </x:c>
    </x:row>
    <x:row r="321" s="37" customFormat="1" ht="29.850000381469727" customHeight="1">
      <x:c r="A321" s="58" t="inlineStr">
        <x:is>
          <x:t xml:space="preserve">NEG-0320</x:t>
        </x:is>
      </x:c>
      <x:c r="B321" s="58" t="inlineStr">
        <x:is>
          <x:t xml:space="preserve">v3</x:t>
        </x:is>
      </x:c>
      <x:c r="C321" s="59" t="inlineStr">
        <x:is>
          <x:t xml:space="preserve">九、假触发词（形似而非）</x:t>
        </x:is>
      </x:c>
      <x:c r="D321" s="59" t="inlineStr">
        <x:is>
          <x:t xml:space="preserve">9.8 度量衡与其他引申</x:t>
        </x:is>
      </x:c>
      <x:c r="E321" s="59" t="inlineStr">
        <x:is>
          <x:t xml:space="preserve">新闻报道</x:t>
        </x:is>
      </x:c>
      <x:c r="F321" s="59" t="inlineStr">
        <x:is>
          <x:t xml:space="preserve">法治报道</x:t>
        </x:is>
      </x:c>
      <x:c r="G321" s="58" t="inlineStr">
        <x:is>
          <x:t xml:space="preserve">无</x:t>
        </x:is>
      </x:c>
      <x:c r="H321" s="58" t="str">
        <x:f>IF(LEN(I321)&lt;15,"短",IF(LEN(I321)&lt;=45,"中","长"))</x:f>
        <x:v>中</x:v>
      </x:c>
      <x:c r="I321" s="59" t="inlineStr">
        <x:is>
          <x:t xml:space="preserve">公诉机关认为现有证据确实、充分。</x:t>
        </x:is>
      </x:c>
      <x:c r="J321" s="59" t="str">
        <x:f>I321</x:f>
        <x:v>公诉机关认为现有证据确实、充分。</x:v>
      </x:c>
      <x:c r="K321" s="58" t="inlineStr">
        <x:is>
          <x:t xml:space="preserve">无需改写</x:t>
        </x:is>
      </x:c>
      <x:c r="L321" s="59" t="inlineStr">
        <x:is>
          <x:t xml:space="preserve">公诉</x:t>
        </x:is>
      </x:c>
      <x:c r="M321" s="59" t="inlineStr">
        <x:is>
          <x:t xml:space="preserve">法律术语</x:t>
        </x:is>
      </x:c>
      <x:c r="N321" s="59" t="inlineStr">
        <x:is>
          <x:t xml:space="preserve">检察机关认为现有证据确实、充分</x:t>
        </x:is>
      </x:c>
      <x:c r="O321" s="58" t="inlineStr">
        <x:is>
          <x:t xml:space="preserve">易</x:t>
        </x:is>
      </x:c>
      <x:c r="P321" s="58" t="inlineStr">
        <x:is>
          <x:t xml:space="preserve">否</x:t>
        </x:is>
      </x:c>
      <x:c r="Q321" s="59" t="n"/>
      <x:c r="R321" s="60" t="inlineStr">
        <x:is>
          <x:t xml:space="preserve">隔离·待确认</x:t>
        </x:is>
      </x:c>
      <x:c r="S321" s="60" t="inlineStr">
        <x:is>
          <x:t xml:space="preserve"/>
        </x:is>
      </x:c>
      <x:c r="T321" s="60" t="inlineStr">
        <x:is>
          <x:t xml:space="preserve">触发词不含性别编码——判断可能依赖世界知识而非句内信息</x:t>
        </x:is>
      </x:c>
    </x:row>
    <x:row r="322" s="37" customFormat="1" ht="29.850000381469727" customHeight="1">
      <x:c r="A322" s="58" t="inlineStr">
        <x:is>
          <x:t xml:space="preserve">NEG-0321</x:t>
        </x:is>
      </x:c>
      <x:c r="B322" s="58" t="inlineStr">
        <x:is>
          <x:t xml:space="preserve">v3</x:t>
        </x:is>
      </x:c>
      <x:c r="C322" s="59" t="inlineStr">
        <x:is>
          <x:t xml:space="preserve">九、假触发词（形似而非）</x:t>
        </x:is>
      </x:c>
      <x:c r="D322" s="59" t="inlineStr">
        <x:is>
          <x:t xml:space="preserve">9.8 度量衡与其他引申</x:t>
        </x:is>
      </x:c>
      <x:c r="E322" s="59" t="inlineStr">
        <x:is>
          <x:t xml:space="preserve">医疗健康</x:t>
        </x:is>
      </x:c>
      <x:c r="F322" s="59" t="inlineStr">
        <x:is>
          <x:t xml:space="preserve">民俗科普</x:t>
        </x:is>
      </x:c>
      <x:c r="G322" s="58" t="inlineStr">
        <x:is>
          <x:t xml:space="preserve">无</x:t>
        </x:is>
      </x:c>
      <x:c r="H322" s="58" t="str">
        <x:f>IF(LEN(I322)&lt;15,"短",IF(LEN(I322)&lt;=45,"中","长"))</x:f>
        <x:v>中</x:v>
      </x:c>
      <x:c r="I322" s="59" t="inlineStr">
        <x:is>
          <x:t xml:space="preserve">阴历八月十五是中秋，阳历日期每年不同。</x:t>
        </x:is>
      </x:c>
      <x:c r="J322" s="59" t="str">
        <x:f>I322</x:f>
        <x:v>阴历八月十五是中秋，阳历日期每年不同。</x:v>
      </x:c>
      <x:c r="K322" s="58" t="inlineStr">
        <x:is>
          <x:t xml:space="preserve">无需改写</x:t>
        </x:is>
      </x:c>
      <x:c r="L322" s="59" t="inlineStr">
        <x:is>
          <x:t xml:space="preserve">阴历/阳历</x:t>
        </x:is>
      </x:c>
      <x:c r="M322" s="59" t="inlineStr">
        <x:is>
          <x:t xml:space="preserve">历法名称</x:t>
        </x:is>
      </x:c>
      <x:c r="N322" s="59" t="inlineStr">
        <x:is>
          <x:t xml:space="preserve">农历八月十五是中秋，公历日期每年不同</x:t>
        </x:is>
      </x:c>
      <x:c r="O322" s="58" t="inlineStr">
        <x:is>
          <x:t xml:space="preserve">中</x:t>
        </x:is>
      </x:c>
      <x:c r="P322" s="58" t="inlineStr">
        <x:is>
          <x:t xml:space="preserve">否</x:t>
        </x:is>
      </x:c>
      <x:c r="Q322" s="59" t="n"/>
      <x:c r="R322" s="60" t="inlineStr">
        <x:is>
          <x:t xml:space="preserve">隔离·待确认</x:t>
        </x:is>
      </x:c>
      <x:c r="S322" s="60" t="inlineStr">
        <x:is>
          <x:t xml:space="preserve"/>
        </x:is>
      </x:c>
      <x:c r="T322" s="60" t="inlineStr">
        <x:is>
          <x:t xml:space="preserve">触发词不含性别编码——判断可能依赖世界知识而非句内信息</x:t>
        </x:is>
      </x:c>
    </x:row>
    <x:row r="323" s="37" customFormat="1" ht="29.850000381469727" customHeight="1">
      <x:c r="A323" s="58" t="inlineStr">
        <x:is>
          <x:t xml:space="preserve">NEG-0322</x:t>
        </x:is>
      </x:c>
      <x:c r="B323" s="58" t="inlineStr">
        <x:is>
          <x:t xml:space="preserve">v3</x:t>
        </x:is>
      </x:c>
      <x:c r="C323" s="59" t="inlineStr">
        <x:is>
          <x:t xml:space="preserve">九、假触发词（形似而非）</x:t>
        </x:is>
      </x:c>
      <x:c r="D323" s="59" t="inlineStr">
        <x:is>
          <x:t xml:space="preserve">9.8 度量衡与其他引申</x:t>
        </x:is>
      </x:c>
      <x:c r="E323" s="59" t="inlineStr">
        <x:is>
          <x:t xml:space="preserve">口语与私人交流</x:t>
        </x:is>
      </x:c>
      <x:c r="F323" s="59" t="inlineStr">
        <x:is>
          <x:t xml:space="preserve">生活口语</x:t>
        </x:is>
      </x:c>
      <x:c r="G323" s="58" t="inlineStr">
        <x:is>
          <x:t xml:space="preserve">无</x:t>
        </x:is>
      </x:c>
      <x:c r="H323" s="58" t="str">
        <x:f>IF(LEN(I323)&lt;15,"短",IF(LEN(I323)&lt;=45,"中","长"))</x:f>
        <x:v>短</x:v>
      </x:c>
      <x:c r="I323" s="59" t="inlineStr">
        <x:is>
          <x:t xml:space="preserve">今天阴天，被子先别晾了。</x:t>
        </x:is>
      </x:c>
      <x:c r="J323" s="59" t="str">
        <x:f>I323</x:f>
        <x:v>今天阴天，被子先别晾了。</x:v>
      </x:c>
      <x:c r="K323" s="58" t="inlineStr">
        <x:is>
          <x:t xml:space="preserve">无需改写</x:t>
        </x:is>
      </x:c>
      <x:c r="L323" s="59" t="inlineStr">
        <x:is>
          <x:t xml:space="preserve">阴天</x:t>
        </x:is>
      </x:c>
      <x:c r="M323" s="59" t="inlineStr">
        <x:is>
          <x:t xml:space="preserve">气象用词</x:t>
        </x:is>
      </x:c>
      <x:c r="N323" s="59" t="inlineStr">
        <x:is>
          <x:t xml:space="preserve">今天多云，被子先别晾了</x:t>
        </x:is>
      </x:c>
      <x:c r="O323" s="58" t="inlineStr">
        <x:is>
          <x:t xml:space="preserve">易</x:t>
        </x:is>
      </x:c>
      <x:c r="P323" s="58" t="inlineStr">
        <x:is>
          <x:t xml:space="preserve">否</x:t>
        </x:is>
      </x:c>
      <x:c r="Q323" s="59" t="n"/>
      <x:c r="R323" s="60" t="inlineStr">
        <x:is>
          <x:t xml:space="preserve">隔离·待确认</x:t>
        </x:is>
      </x:c>
      <x:c r="S323" s="60" t="inlineStr">
        <x:is>
          <x:t xml:space="preserve"/>
        </x:is>
      </x:c>
      <x:c r="T323" s="60" t="inlineStr">
        <x:is>
          <x:t xml:space="preserve">触发词不含性别编码——判断可能依赖世界知识而非句内信息</x:t>
        </x:is>
      </x:c>
    </x:row>
    <x:row r="324" s="37" customFormat="1" ht="29.850000381469727" customHeight="1">
      <x:c r="A324" s="58" t="inlineStr">
        <x:is>
          <x:t xml:space="preserve">NEG-0323</x:t>
        </x:is>
      </x:c>
      <x:c r="B324" s="58" t="inlineStr">
        <x:is>
          <x:t xml:space="preserve">v3</x:t>
        </x:is>
      </x:c>
      <x:c r="C324" s="59" t="inlineStr">
        <x:is>
          <x:t xml:space="preserve">九、假触发词（形似而非）</x:t>
        </x:is>
      </x:c>
      <x:c r="D324" s="59" t="inlineStr">
        <x:is>
          <x:t xml:space="preserve">9.8 度量衡与其他引申</x:t>
        </x:is>
      </x:c>
      <x:c r="E324" s="59" t="inlineStr">
        <x:is>
          <x:t xml:space="preserve">公文与规章</x:t>
        </x:is>
      </x:c>
      <x:c r="F324" s="59" t="inlineStr">
        <x:is>
          <x:t xml:space="preserve">房产描述</x:t>
        </x:is>
      </x:c>
      <x:c r="G324" s="58" t="inlineStr">
        <x:is>
          <x:t xml:space="preserve">无</x:t>
        </x:is>
      </x:c>
      <x:c r="H324" s="58" t="str">
        <x:f>IF(LEN(I324)&lt;15,"短",IF(LEN(I324)&lt;=45,"中","长"))</x:f>
        <x:v>短</x:v>
      </x:c>
      <x:c r="I324" s="59" t="inlineStr">
        <x:is>
          <x:t xml:space="preserve">南向阳台采光好，全天有日照。</x:t>
        </x:is>
      </x:c>
      <x:c r="J324" s="59" t="str">
        <x:f>I324</x:f>
        <x:v>南向阳台采光好，全天有日照。</x:v>
      </x:c>
      <x:c r="K324" s="58" t="inlineStr">
        <x:is>
          <x:t xml:space="preserve">无需改写</x:t>
        </x:is>
      </x:c>
      <x:c r="L324" s="59" t="inlineStr">
        <x:is>
          <x:t xml:space="preserve">阳台</x:t>
        </x:is>
      </x:c>
      <x:c r="M324" s="59" t="inlineStr">
        <x:is>
          <x:t xml:space="preserve">建筑空间名称</x:t>
        </x:is>
      </x:c>
      <x:c r="N324" s="59" t="inlineStr">
        <x:is>
          <x:t xml:space="preserve">南向露台采光好</x:t>
        </x:is>
      </x:c>
      <x:c r="O324" s="58" t="inlineStr">
        <x:is>
          <x:t xml:space="preserve">易</x:t>
        </x:is>
      </x:c>
      <x:c r="P324" s="58" t="inlineStr">
        <x:is>
          <x:t xml:space="preserve">否</x:t>
        </x:is>
      </x:c>
      <x:c r="Q324" s="59" t="n"/>
      <x:c r="R324" s="60" t="inlineStr">
        <x:is>
          <x:t xml:space="preserve">隔离·待确认</x:t>
        </x:is>
      </x:c>
      <x:c r="S324" s="60" t="inlineStr">
        <x:is>
          <x:t xml:space="preserve"/>
        </x:is>
      </x:c>
      <x:c r="T324" s="60" t="inlineStr">
        <x:is>
          <x:t xml:space="preserve">触发词不含性别编码——判断可能依赖世界知识而非句内信息</x:t>
        </x:is>
      </x:c>
    </x:row>
    <x:row r="325" s="37" customFormat="1" ht="29.850000381469727" customHeight="1">
      <x:c r="A325" s="58" t="inlineStr">
        <x:is>
          <x:t xml:space="preserve">NEG-0324</x:t>
        </x:is>
      </x:c>
      <x:c r="B325" s="58" t="inlineStr">
        <x:is>
          <x:t xml:space="preserve">v3</x:t>
        </x:is>
      </x:c>
      <x:c r="C325" s="59" t="inlineStr">
        <x:is>
          <x:t xml:space="preserve">九、假触发词（形似而非）</x:t>
        </x:is>
      </x:c>
      <x:c r="D325" s="59" t="inlineStr">
        <x:is>
          <x:t xml:space="preserve">9.8 度量衡与其他引申</x:t>
        </x:is>
      </x:c>
      <x:c r="E325" s="59" t="inlineStr">
        <x:is>
          <x:t xml:space="preserve">工程与技术</x:t>
        </x:is>
      </x:c>
      <x:c r="F325" s="59" t="inlineStr">
        <x:is>
          <x:t xml:space="preserve">工程说明</x:t>
        </x:is>
      </x:c>
      <x:c r="G325" s="58" t="inlineStr">
        <x:is>
          <x:t xml:space="preserve">无</x:t>
        </x:is>
      </x:c>
      <x:c r="H325" s="58" t="str">
        <x:f>IF(LEN(I325)&lt;15,"短",IF(LEN(I325)&lt;=45,"中","长"))</x:f>
        <x:v>中</x:v>
      </x:c>
      <x:c r="I325" s="59" t="inlineStr">
        <x:is>
          <x:t xml:space="preserve">光伏板需安装在朝阳面，倾角按当地纬度确定。</x:t>
        </x:is>
      </x:c>
      <x:c r="J325" s="59" t="str">
        <x:f>I325</x:f>
        <x:v>光伏板需安装在朝阳面，倾角按当地纬度确定。</x:v>
      </x:c>
      <x:c r="K325" s="58" t="inlineStr">
        <x:is>
          <x:t xml:space="preserve">无需改写</x:t>
        </x:is>
      </x:c>
      <x:c r="L325" s="59" t="inlineStr">
        <x:is>
          <x:t xml:space="preserve">朝阳面</x:t>
        </x:is>
      </x:c>
      <x:c r="M325" s="59" t="inlineStr">
        <x:is>
          <x:t xml:space="preserve">方位术语</x:t>
        </x:is>
      </x:c>
      <x:c r="N325" s="59" t="inlineStr">
        <x:is>
          <x:t xml:space="preserve">光伏板需安装在向光面</x:t>
        </x:is>
      </x:c>
      <x:c r="O325" s="58" t="inlineStr">
        <x:is>
          <x:t xml:space="preserve">易</x:t>
        </x:is>
      </x:c>
      <x:c r="P325" s="58" t="inlineStr">
        <x:is>
          <x:t xml:space="preserve">否</x:t>
        </x:is>
      </x:c>
      <x:c r="Q325" s="59" t="n"/>
      <x:c r="R325" s="60" t="inlineStr">
        <x:is>
          <x:t xml:space="preserve">隔离·待确认</x:t>
        </x:is>
      </x:c>
      <x:c r="S325" s="60" t="inlineStr">
        <x:is>
          <x:t xml:space="preserve"/>
        </x:is>
      </x:c>
      <x:c r="T325" s="60" t="inlineStr">
        <x:is>
          <x:t xml:space="preserve">触发词不含性别编码——判断可能依赖世界知识而非句内信息</x:t>
        </x:is>
      </x:c>
    </x:row>
    <x:row r="326" s="37" customFormat="1" ht="29.850000381469727" customHeight="1">
      <x:c r="A326" s="55" t="inlineStr">
        <x:is>
          <x:t xml:space="preserve">NEG-0325</x:t>
        </x:is>
      </x:c>
      <x:c r="B326" s="55" t="inlineStr">
        <x:is>
          <x:t xml:space="preserve">v3</x:t>
        </x:is>
      </x:c>
      <x:c r="C326" s="56" t="inlineStr">
        <x:is>
          <x:t xml:space="preserve">一、指称已知性别的具体个人</x:t>
        </x:is>
      </x:c>
      <x:c r="D326" s="56" t="inlineStr">
        <x:is>
          <x:t xml:space="preserve">1.1 姓名与社会称谓</x:t>
        </x:is>
      </x:c>
      <x:c r="E326" s="56" t="inlineStr">
        <x:is>
          <x:t xml:space="preserve">公文与规章</x:t>
        </x:is>
      </x:c>
      <x:c r="F326" s="56" t="inlineStr">
        <x:is>
          <x:t xml:space="preserve">安装客服</x:t>
        </x:is>
      </x:c>
      <x:c r="G326" s="55" t="inlineStr">
        <x:is>
          <x:t xml:space="preserve">无</x:t>
        </x:is>
      </x:c>
      <x:c r="H326" s="55" t="str">
        <x:f>IF(LEN(I326)&lt;15,"短",IF(LEN(I326)&lt;=45,"中","长"))</x:f>
        <x:v>中</x:v>
      </x:c>
      <x:c r="I326" s="56" t="inlineStr">
        <x:is>
          <x:t xml:space="preserve">张女士您好，您预约的上门安装时间是周六上午 9 点到 11 点。</x:t>
        </x:is>
      </x:c>
      <x:c r="J326" s="56" t="str">
        <x:f>I326</x:f>
        <x:v>张女士您好，您预约的上门安装时间是周六上午 9 点到 11 点。</x:v>
      </x:c>
      <x:c r="K326" s="55" t="inlineStr">
        <x:is>
          <x:t xml:space="preserve">无需改写</x:t>
        </x:is>
      </x:c>
      <x:c r="L326" s="56" t="inlineStr">
        <x:is>
          <x:t xml:space="preserve">张女士</x:t>
        </x:is>
      </x:c>
      <x:c r="M326" s="56" t="inlineStr">
        <x:is>
          <x:t xml:space="preserve">客户称谓，须与订单信息一致</x:t>
        </x:is>
      </x:c>
      <x:c r="N326" s="56" t="inlineStr">
        <x:is>
          <x:t xml:space="preserve">尊敬的客户您好，您预约的上门安装时间是……</x:t>
        </x:is>
      </x:c>
      <x:c r="O326" s="55" t="inlineStr">
        <x:is>
          <x:t xml:space="preserve">中</x:t>
        </x:is>
      </x:c>
      <x:c r="P326" s="55" t="inlineStr">
        <x:is>
          <x:t xml:space="preserve">否</x:t>
        </x:is>
      </x:c>
      <x:c r="Q326" s="56" t="n"/>
      <x:c r="R326" s="57" t="inlineStr">
        <x:is>
          <x:t xml:space="preserve">主集</x:t>
        </x:is>
      </x:c>
      <x:c r="S326" s="57" t="inlineStr">
        <x:is>
          <x:t xml:space="preserve">test</x:t>
        </x:is>
      </x:c>
      <x:c r="T326" s="57" t="inlineStr">
        <x:is>
          <x:t xml:space="preserve"/>
        </x:is>
      </x:c>
    </x:row>
    <x:row r="327" s="37" customFormat="1" ht="29.850000381469727" customHeight="1">
      <x:c r="A327" s="55" t="inlineStr">
        <x:is>
          <x:t xml:space="preserve">NEG-0326</x:t>
        </x:is>
      </x:c>
      <x:c r="B327" s="55" t="inlineStr">
        <x:is>
          <x:t xml:space="preserve">v3</x:t>
        </x:is>
      </x:c>
      <x:c r="C327" s="56" t="inlineStr">
        <x:is>
          <x:t xml:space="preserve">一、指称已知性别的具体个人</x:t>
        </x:is>
      </x:c>
      <x:c r="D327" s="56" t="inlineStr">
        <x:is>
          <x:t xml:space="preserve">1.1 姓名与社会称谓</x:t>
        </x:is>
      </x:c>
      <x:c r="E327" s="56" t="inlineStr">
        <x:is>
          <x:t xml:space="preserve">社交与社区</x:t>
        </x:is>
      </x:c>
      <x:c r="F327" s="56" t="inlineStr">
        <x:is>
          <x:t xml:space="preserve">职场吐槽</x:t>
        </x:is>
      </x:c>
      <x:c r="G327" s="55" t="inlineStr">
        <x:is>
          <x:t xml:space="preserve">无</x:t>
        </x:is>
      </x:c>
      <x:c r="H327" s="55" t="str">
        <x:f>IF(LEN(I327)&lt;15,"短",IF(LEN(I327)&lt;=45,"中","长"))</x:f>
        <x:v>中</x:v>
      </x:c>
      <x:c r="I327" s="56" t="inlineStr">
        <x:is>
          <x:t xml:space="preserve">我们组长姓周，人特别好，她昨天还陪我改稿改到十点。</x:t>
        </x:is>
      </x:c>
      <x:c r="J327" s="56" t="str">
        <x:f>I327</x:f>
        <x:v>我们组长姓周，人特别好，她昨天还陪我改稿改到十点。</x:v>
      </x:c>
      <x:c r="K327" s="55" t="inlineStr">
        <x:is>
          <x:t xml:space="preserve">无需改写</x:t>
        </x:is>
      </x:c>
      <x:c r="L327" s="56" t="inlineStr">
        <x:is>
          <x:t xml:space="preserve">她</x:t>
        </x:is>
      </x:c>
      <x:c r="M327" s="56" t="inlineStr">
        <x:is>
          <x:t xml:space="preserve">指称具体某人</x:t>
        </x:is>
      </x:c>
      <x:c r="N327" s="56" t="inlineStr">
        <x:is>
          <x:t xml:space="preserve">我们组长姓周，人特别好，TA昨天还陪我改稿</x:t>
        </x:is>
      </x:c>
      <x:c r="O327" s="55" t="inlineStr">
        <x:is>
          <x:t xml:space="preserve">难</x:t>
        </x:is>
      </x:c>
      <x:c r="P327" s="55" t="inlineStr">
        <x:is>
          <x:t xml:space="preserve">否</x:t>
        </x:is>
      </x:c>
      <x:c r="Q327" s="56" t="n"/>
      <x:c r="R327" s="57" t="inlineStr">
        <x:is>
          <x:t xml:space="preserve">主集</x:t>
        </x:is>
      </x:c>
      <x:c r="S327" s="57" t="inlineStr">
        <x:is>
          <x:t xml:space="preserve">index</x:t>
        </x:is>
      </x:c>
      <x:c r="T327" s="57" t="inlineStr">
        <x:is>
          <x:t xml:space="preserve"/>
        </x:is>
      </x:c>
    </x:row>
    <x:row r="328" s="37" customFormat="1" ht="29.850000381469727" customHeight="1">
      <x:c r="A328" s="55" t="inlineStr">
        <x:is>
          <x:t xml:space="preserve">NEG-0327</x:t>
        </x:is>
      </x:c>
      <x:c r="B328" s="55" t="inlineStr">
        <x:is>
          <x:t xml:space="preserve">v3</x:t>
        </x:is>
      </x:c>
      <x:c r="C328" s="56" t="inlineStr">
        <x:is>
          <x:t xml:space="preserve">一、指称已知性别的具体个人</x:t>
        </x:is>
      </x:c>
      <x:c r="D328" s="56" t="inlineStr">
        <x:is>
          <x:t xml:space="preserve">1.1 姓名与社会称谓</x:t>
        </x:is>
      </x:c>
      <x:c r="E328" s="56" t="inlineStr">
        <x:is>
          <x:t xml:space="preserve">法律与司法</x:t>
        </x:is>
      </x:c>
      <x:c r="F328" s="56" t="inlineStr">
        <x:is>
          <x:t xml:space="preserve">诉讼文书</x:t>
        </x:is>
      </x:c>
      <x:c r="G328" s="55" t="inlineStr">
        <x:is>
          <x:t xml:space="preserve">无</x:t>
        </x:is>
      </x:c>
      <x:c r="H328" s="55" t="str">
        <x:f>IF(LEN(I328)&lt;15,"短",IF(LEN(I328)&lt;=45,"中","长"))</x:f>
        <x:v>中</x:v>
      </x:c>
      <x:c r="I328" s="56" t="inlineStr">
        <x:is>
          <x:t xml:space="preserve">第三人王某某（女，1985 年生）与本案处理结果有利害关系。</x:t>
        </x:is>
      </x:c>
      <x:c r="J328" s="56" t="str">
        <x:f>I328</x:f>
        <x:v>第三人王某某（女，1985 年生）与本案处理结果有利害关系。</x:v>
      </x:c>
      <x:c r="K328" s="55" t="inlineStr">
        <x:is>
          <x:t xml:space="preserve">无需改写</x:t>
        </x:is>
      </x:c>
      <x:c r="L328" s="56" t="inlineStr">
        <x:is>
          <x:t xml:space="preserve">女</x:t>
        </x:is>
      </x:c>
      <x:c r="M328" s="56" t="inlineStr">
        <x:is>
          <x:t xml:space="preserve">诉讼参加人身份信息</x:t>
        </x:is>
      </x:c>
      <x:c r="N328" s="56" t="inlineStr">
        <x:is>
          <x:t xml:space="preserve">第三人王某某（1985 年生）与本案有利害关系</x:t>
        </x:is>
      </x:c>
      <x:c r="O328" s="55" t="inlineStr">
        <x:is>
          <x:t xml:space="preserve">易</x:t>
        </x:is>
      </x:c>
      <x:c r="P328" s="55" t="inlineStr">
        <x:is>
          <x:t xml:space="preserve">否</x:t>
        </x:is>
      </x:c>
      <x:c r="Q328" s="56" t="n"/>
      <x:c r="R328" s="57" t="inlineStr">
        <x:is>
          <x:t xml:space="preserve">主集</x:t>
        </x:is>
      </x:c>
      <x:c r="S328" s="57" t="inlineStr">
        <x:is>
          <x:t xml:space="preserve">dev</x:t>
        </x:is>
      </x:c>
      <x:c r="T328" s="57" t="inlineStr">
        <x:is>
          <x:t xml:space="preserve"/>
        </x:is>
      </x:c>
    </x:row>
    <x:row r="329" s="37" customFormat="1" ht="29.850000381469727" customHeight="1">
      <x:c r="A329" s="55" t="inlineStr">
        <x:is>
          <x:t xml:space="preserve">NEG-0328</x:t>
        </x:is>
      </x:c>
      <x:c r="B329" s="55" t="inlineStr">
        <x:is>
          <x:t xml:space="preserve">v3</x:t>
        </x:is>
      </x:c>
      <x:c r="C329" s="56" t="inlineStr">
        <x:is>
          <x:t xml:space="preserve">一、指称已知性别的具体个人</x:t>
        </x:is>
      </x:c>
      <x:c r="D329" s="56" t="inlineStr">
        <x:is>
          <x:t xml:space="preserve">1.2 人称代词</x:t>
        </x:is>
      </x:c>
      <x:c r="E329" s="56" t="inlineStr">
        <x:is>
          <x:t xml:space="preserve">口语与私人交流</x:t>
        </x:is>
      </x:c>
      <x:c r="F329" s="56" t="inlineStr">
        <x:is>
          <x:t xml:space="preserve">家常闲聊</x:t>
        </x:is>
      </x:c>
      <x:c r="G329" s="55" t="inlineStr">
        <x:is>
          <x:t xml:space="preserve">无</x:t>
        </x:is>
      </x:c>
      <x:c r="H329" s="55" t="str">
        <x:f>IF(LEN(I329)&lt;15,"短",IF(LEN(I329)&lt;=45,"中","长"))</x:f>
        <x:v>中</x:v>
      </x:c>
      <x:c r="I329" s="56" t="inlineStr">
        <x:is>
          <x:t xml:space="preserve">我表弟今年高考，他压力大到失眠，家里人都不敢多问。</x:t>
        </x:is>
      </x:c>
      <x:c r="J329" s="56" t="str">
        <x:f>I329</x:f>
        <x:v>我表弟今年高考，他压力大到失眠，家里人都不敢多问。</x:v>
      </x:c>
      <x:c r="K329" s="55" t="inlineStr">
        <x:is>
          <x:t xml:space="preserve">无需改写</x:t>
        </x:is>
      </x:c>
      <x:c r="L329" s="56" t="inlineStr">
        <x:is>
          <x:t xml:space="preserve">表弟/他</x:t>
        </x:is>
      </x:c>
      <x:c r="M329" s="56" t="inlineStr">
        <x:is>
          <x:t xml:space="preserve">亲属与代词均指具体个人</x:t>
        </x:is>
      </x:c>
      <x:c r="N329" s="56" t="inlineStr">
        <x:is>
          <x:t xml:space="preserve">我家亲戚今年高考，TA压力大到失眠</x:t>
        </x:is>
      </x:c>
      <x:c r="O329" s="55" t="inlineStr">
        <x:is>
          <x:t xml:space="preserve">难</x:t>
        </x:is>
      </x:c>
      <x:c r="P329" s="55" t="inlineStr">
        <x:is>
          <x:t xml:space="preserve">否</x:t>
        </x:is>
      </x:c>
      <x:c r="Q329" s="56" t="n"/>
      <x:c r="R329" s="57" t="inlineStr">
        <x:is>
          <x:t xml:space="preserve">主集</x:t>
        </x:is>
      </x:c>
      <x:c r="S329" s="57" t="inlineStr">
        <x:is>
          <x:t xml:space="preserve">index</x:t>
        </x:is>
      </x:c>
      <x:c r="T329" s="57" t="inlineStr">
        <x:is>
          <x:t xml:space="preserve"/>
        </x:is>
      </x:c>
    </x:row>
    <x:row r="330" s="37" customFormat="1" ht="29.850000381469727" customHeight="1">
      <x:c r="A330" s="55" t="inlineStr">
        <x:is>
          <x:t xml:space="preserve">NEG-0329</x:t>
        </x:is>
      </x:c>
      <x:c r="B330" s="55" t="inlineStr">
        <x:is>
          <x:t xml:space="preserve">v3</x:t>
        </x:is>
      </x:c>
      <x:c r="C330" s="56" t="inlineStr">
        <x:is>
          <x:t xml:space="preserve">一、指称已知性别的具体个人</x:t>
        </x:is>
      </x:c>
      <x:c r="D330" s="56" t="inlineStr">
        <x:is>
          <x:t xml:space="preserve">1.2 人称代词</x:t>
        </x:is>
      </x:c>
      <x:c r="E330" s="56" t="inlineStr">
        <x:is>
          <x:t xml:space="preserve">工程与技术</x:t>
        </x:is>
      </x:c>
      <x:c r="F330" s="56" t="inlineStr">
        <x:is>
          <x:t xml:space="preserve">售后工单</x:t>
        </x:is>
      </x:c>
      <x:c r="G330" s="55" t="inlineStr">
        <x:is>
          <x:t xml:space="preserve">无</x:t>
        </x:is>
      </x:c>
      <x:c r="H330" s="55" t="str">
        <x:f>IF(LEN(I330)&lt;15,"短",IF(LEN(I330)&lt;=45,"中","长"))</x:f>
        <x:v>中</x:v>
      </x:c>
      <x:c r="I330" s="56" t="inlineStr">
        <x:is>
          <x:t xml:space="preserve">该用户反馈她收到的商品与描述不符，已为她申请退款。</x:t>
        </x:is>
      </x:c>
      <x:c r="J330" s="56" t="str">
        <x:f>I330</x:f>
        <x:v>该用户反馈她收到的商品与描述不符，已为她申请退款。</x:v>
      </x:c>
      <x:c r="K330" s="55" t="inlineStr">
        <x:is>
          <x:t xml:space="preserve">无需改写</x:t>
        </x:is>
      </x:c>
      <x:c r="L330" s="56" t="inlineStr">
        <x:is>
          <x:t xml:space="preserve">她</x:t>
        </x:is>
      </x:c>
      <x:c r="M330" s="56" t="inlineStr">
        <x:is>
          <x:t xml:space="preserve">工单中对具体用户的指称</x:t>
        </x:is>
      </x:c>
      <x:c r="N330" s="56" t="inlineStr">
        <x:is>
          <x:t xml:space="preserve">该用户反馈其收到的商品与描述不符</x:t>
        </x:is>
      </x:c>
      <x:c r="O330" s="55" t="inlineStr">
        <x:is>
          <x:t xml:space="preserve">中</x:t>
        </x:is>
      </x:c>
      <x:c r="P330" s="55" t="inlineStr">
        <x:is>
          <x:t xml:space="preserve">否</x:t>
        </x:is>
      </x:c>
      <x:c r="Q330" s="56" t="n"/>
      <x:c r="R330" s="57" t="inlineStr">
        <x:is>
          <x:t xml:space="preserve">主集</x:t>
        </x:is>
      </x:c>
      <x:c r="S330" s="57" t="inlineStr">
        <x:is>
          <x:t xml:space="preserve">index</x:t>
        </x:is>
      </x:c>
      <x:c r="T330" s="57" t="inlineStr">
        <x:is>
          <x:t xml:space="preserve"/>
        </x:is>
      </x:c>
    </x:row>
    <x:row r="331" s="37" customFormat="1" ht="29.850000381469727" customHeight="1">
      <x:c r="A331" s="55" t="inlineStr">
        <x:is>
          <x:t xml:space="preserve">NEG-0330</x:t>
        </x:is>
      </x:c>
      <x:c r="B331" s="55" t="inlineStr">
        <x:is>
          <x:t xml:space="preserve">v3</x:t>
        </x:is>
      </x:c>
      <x:c r="C331" s="56" t="inlineStr">
        <x:is>
          <x:t xml:space="preserve">一、指称已知性别的具体个人</x:t>
        </x:is>
      </x:c>
      <x:c r="D331" s="56" t="inlineStr">
        <x:is>
          <x:t xml:space="preserve">1.2 人称代词</x:t>
        </x:is>
      </x:c>
      <x:c r="E331" s="56" t="inlineStr">
        <x:is>
          <x:t xml:space="preserve">公文与规章</x:t>
        </x:is>
      </x:c>
      <x:c r="F331" s="56" t="inlineStr">
        <x:is>
          <x:t xml:space="preserve">订单备注</x:t>
        </x:is>
      </x:c>
      <x:c r="G331" s="55" t="inlineStr">
        <x:is>
          <x:t xml:space="preserve">无</x:t>
        </x:is>
      </x:c>
      <x:c r="H331" s="55" t="str">
        <x:f>IF(LEN(I331)&lt;15,"短",IF(LEN(I331)&lt;=45,"中","长"))</x:f>
        <x:v>中</x:v>
      </x:c>
      <x:c r="I331" s="56" t="inlineStr">
        <x:is>
          <x:t xml:space="preserve">这位买家备注说她对花粉过敏，请不要搭配干花。</x:t>
        </x:is>
      </x:c>
      <x:c r="J331" s="56" t="str">
        <x:f>I331</x:f>
        <x:v>这位买家备注说她对花粉过敏，请不要搭配干花。</x:v>
      </x:c>
      <x:c r="K331" s="55" t="inlineStr">
        <x:is>
          <x:t xml:space="preserve">无需改写</x:t>
        </x:is>
      </x:c>
      <x:c r="L331" s="56" t="inlineStr">
        <x:is>
          <x:t xml:space="preserve">她</x:t>
        </x:is>
      </x:c>
      <x:c r="M331" s="56" t="inlineStr">
        <x:is>
          <x:t xml:space="preserve">买家的具体情况说明</x:t>
        </x:is>
      </x:c>
      <x:c r="N331" s="56" t="inlineStr">
        <x:is>
          <x:t xml:space="preserve">这位买家备注对花粉过敏</x:t>
        </x:is>
      </x:c>
      <x:c r="O331" s="55" t="inlineStr">
        <x:is>
          <x:t xml:space="preserve">中</x:t>
        </x:is>
      </x:c>
      <x:c r="P331" s="55" t="inlineStr">
        <x:is>
          <x:t xml:space="preserve">否</x:t>
        </x:is>
      </x:c>
      <x:c r="Q331" s="56" t="n"/>
      <x:c r="R331" s="57" t="inlineStr">
        <x:is>
          <x:t xml:space="preserve">主集</x:t>
        </x:is>
      </x:c>
      <x:c r="S331" s="57" t="inlineStr">
        <x:is>
          <x:t xml:space="preserve">index</x:t>
        </x:is>
      </x:c>
      <x:c r="T331" s="57" t="inlineStr">
        <x:is>
          <x:t xml:space="preserve"/>
        </x:is>
      </x:c>
    </x:row>
    <x:row r="332" s="37" customFormat="1" ht="29.850000381469727" customHeight="1">
      <x:c r="A332" s="55" t="inlineStr">
        <x:is>
          <x:t xml:space="preserve">NEG-0331</x:t>
        </x:is>
      </x:c>
      <x:c r="B332" s="55" t="inlineStr">
        <x:is>
          <x:t xml:space="preserve">v3</x:t>
        </x:is>
      </x:c>
      <x:c r="C332" s="56" t="inlineStr">
        <x:is>
          <x:t xml:space="preserve">一、指称已知性别的具体个人</x:t>
        </x:is>
      </x:c>
      <x:c r="D332" s="56" t="inlineStr">
        <x:is>
          <x:t xml:space="preserve">1.3 血亲与姻亲称谓</x:t>
        </x:is>
      </x:c>
      <x:c r="E332" s="56" t="inlineStr">
        <x:is>
          <x:t xml:space="preserve">口语与私人交流</x:t>
        </x:is>
      </x:c>
      <x:c r="F332" s="56" t="inlineStr">
        <x:is>
          <x:t xml:space="preserve">生活分享</x:t>
        </x:is>
      </x:c>
      <x:c r="G332" s="55" t="inlineStr">
        <x:is>
          <x:t xml:space="preserve">无</x:t>
        </x:is>
      </x:c>
      <x:c r="H332" s="55" t="str">
        <x:f>IF(LEN(I332)&lt;15,"短",IF(LEN(I332)&lt;=45,"中","长"))</x:f>
        <x:v>中</x:v>
      </x:c>
      <x:c r="I332" s="56" t="inlineStr">
        <x:is>
          <x:t xml:space="preserve">我奶奶九十了，还天天自己下楼买菜，谁劝都不听。</x:t>
        </x:is>
      </x:c>
      <x:c r="J332" s="56" t="str">
        <x:f>I332</x:f>
        <x:v>我奶奶九十了，还天天自己下楼买菜，谁劝都不听。</x:v>
      </x:c>
      <x:c r="K332" s="55" t="inlineStr">
        <x:is>
          <x:t xml:space="preserve">无需改写</x:t>
        </x:is>
      </x:c>
      <x:c r="L332" s="56" t="inlineStr">
        <x:is>
          <x:t xml:space="preserve">奶奶</x:t>
        </x:is>
      </x:c>
      <x:c r="M332" s="56" t="inlineStr">
        <x:is>
          <x:t xml:space="preserve">亲属称谓指具体某人</x:t>
        </x:is>
      </x:c>
      <x:c r="N332" s="56" t="inlineStr">
        <x:is>
          <x:t xml:space="preserve">我家长辈九十了，还天天自己下楼买菜</x:t>
        </x:is>
      </x:c>
      <x:c r="O332" s="55" t="inlineStr">
        <x:is>
          <x:t xml:space="preserve">中</x:t>
        </x:is>
      </x:c>
      <x:c r="P332" s="55" t="inlineStr">
        <x:is>
          <x:t xml:space="preserve">否</x:t>
        </x:is>
      </x:c>
      <x:c r="Q332" s="56" t="n"/>
      <x:c r="R332" s="57" t="inlineStr">
        <x:is>
          <x:t xml:space="preserve">主集</x:t>
        </x:is>
      </x:c>
      <x:c r="S332" s="57" t="inlineStr">
        <x:is>
          <x:t xml:space="preserve">index</x:t>
        </x:is>
      </x:c>
      <x:c r="T332" s="57" t="inlineStr">
        <x:is>
          <x:t xml:space="preserve"/>
        </x:is>
      </x:c>
    </x:row>
    <x:row r="333" s="37" customFormat="1" ht="29.850000381469727" customHeight="1">
      <x:c r="A333" s="55" t="inlineStr">
        <x:is>
          <x:t xml:space="preserve">NEG-0332</x:t>
        </x:is>
      </x:c>
      <x:c r="B333" s="55" t="inlineStr">
        <x:is>
          <x:t xml:space="preserve">v3</x:t>
        </x:is>
      </x:c>
      <x:c r="C333" s="56" t="inlineStr">
        <x:is>
          <x:t xml:space="preserve">一、指称已知性别的具体个人</x:t>
        </x:is>
      </x:c>
      <x:c r="D333" s="56" t="inlineStr">
        <x:is>
          <x:t xml:space="preserve">1.3 血亲与姻亲称谓</x:t>
        </x:is>
      </x:c>
      <x:c r="E333" s="56" t="inlineStr">
        <x:is>
          <x:t xml:space="preserve">社交与社区</x:t>
        </x:is>
      </x:c>
      <x:c r="F333" s="56" t="inlineStr">
        <x:is>
          <x:t xml:space="preserve">商品评价</x:t>
        </x:is>
      </x:c>
      <x:c r="G333" s="55" t="inlineStr">
        <x:is>
          <x:t xml:space="preserve">无</x:t>
        </x:is>
      </x:c>
      <x:c r="H333" s="55" t="str">
        <x:f>IF(LEN(I333)&lt;15,"短",IF(LEN(I333)&lt;=45,"中","长"))</x:f>
        <x:v>中</x:v>
      </x:c>
      <x:c r="I333" s="56" t="inlineStr">
        <x:is>
          <x:t xml:space="preserve">这款按摩仪我买给我爸的，他说比之前那个好用多了。</x:t>
        </x:is>
      </x:c>
      <x:c r="J333" s="56" t="str">
        <x:f>I333</x:f>
        <x:v>这款按摩仪我买给我爸的，他说比之前那个好用多了。</x:v>
      </x:c>
      <x:c r="K333" s="55" t="inlineStr">
        <x:is>
          <x:t xml:space="preserve">无需改写</x:t>
        </x:is>
      </x:c>
      <x:c r="L333" s="56" t="inlineStr">
        <x:is>
          <x:t xml:space="preserve">我爸/他</x:t>
        </x:is>
      </x:c>
      <x:c r="M333" s="56" t="inlineStr">
        <x:is>
          <x:t xml:space="preserve">购买场景的真实描述</x:t>
        </x:is>
      </x:c>
      <x:c r="N333" s="56" t="inlineStr">
        <x:is>
          <x:t xml:space="preserve">这款按摩仪我买给家里长辈的</x:t>
        </x:is>
      </x:c>
      <x:c r="O333" s="55" t="inlineStr">
        <x:is>
          <x:t xml:space="preserve">中</x:t>
        </x:is>
      </x:c>
      <x:c r="P333" s="55" t="inlineStr">
        <x:is>
          <x:t xml:space="preserve">否</x:t>
        </x:is>
      </x:c>
      <x:c r="Q333" s="56" t="n"/>
      <x:c r="R333" s="57" t="inlineStr">
        <x:is>
          <x:t xml:space="preserve">主集</x:t>
        </x:is>
      </x:c>
      <x:c r="S333" s="57" t="inlineStr">
        <x:is>
          <x:t xml:space="preserve">test</x:t>
        </x:is>
      </x:c>
      <x:c r="T333" s="57" t="inlineStr">
        <x:is>
          <x:t xml:space="preserve"/>
        </x:is>
      </x:c>
    </x:row>
    <x:row r="334" s="37" customFormat="1" ht="29.850000381469727" customHeight="1">
      <x:c r="A334" s="55" t="inlineStr">
        <x:is>
          <x:t xml:space="preserve">NEG-0333</x:t>
        </x:is>
      </x:c>
      <x:c r="B334" s="55" t="inlineStr">
        <x:is>
          <x:t xml:space="preserve">v3</x:t>
        </x:is>
      </x:c>
      <x:c r="C334" s="56" t="inlineStr">
        <x:is>
          <x:t xml:space="preserve">一、指称已知性别的具体个人</x:t>
        </x:is>
      </x:c>
      <x:c r="D334" s="56" t="inlineStr">
        <x:is>
          <x:t xml:space="preserve">1.3 血亲与姻亲称谓</x:t>
        </x:is>
      </x:c>
      <x:c r="E334" s="56" t="inlineStr">
        <x:is>
          <x:t xml:space="preserve">法律与司法</x:t>
        </x:is>
      </x:c>
      <x:c r="F334" s="56" t="inlineStr">
        <x:is>
          <x:t xml:space="preserve">庭审记录</x:t>
        </x:is>
      </x:c>
      <x:c r="G334" s="55" t="inlineStr">
        <x:is>
          <x:t xml:space="preserve">无</x:t>
        </x:is>
      </x:c>
      <x:c r="H334" s="55" t="str">
        <x:f>IF(LEN(I334)&lt;15,"短",IF(LEN(I334)&lt;=45,"中","长"))</x:f>
        <x:v>中</x:v>
      </x:c>
      <x:c r="I334" s="56" t="inlineStr">
        <x:is>
          <x:t xml:space="preserve">死者之妻及两名子女均已到庭参加诉讼。</x:t>
        </x:is>
      </x:c>
      <x:c r="J334" s="56" t="str">
        <x:f>I334</x:f>
        <x:v>死者之妻及两名子女均已到庭参加诉讼。</x:v>
      </x:c>
      <x:c r="K334" s="55" t="inlineStr">
        <x:is>
          <x:t xml:space="preserve">无需改写</x:t>
        </x:is>
      </x:c>
      <x:c r="L334" s="56" t="inlineStr">
        <x:is>
          <x:t xml:space="preserve">之妻</x:t>
        </x:is>
      </x:c>
      <x:c r="M334" s="56" t="inlineStr">
        <x:is>
          <x:t xml:space="preserve">诉讼主体身份</x:t>
        </x:is>
      </x:c>
      <x:c r="N334" s="56" t="inlineStr">
        <x:is>
          <x:t xml:space="preserve">死者配偶及两名子女均已到庭</x:t>
        </x:is>
      </x:c>
      <x:c r="O334" s="55" t="inlineStr">
        <x:is>
          <x:t xml:space="preserve">中</x:t>
        </x:is>
      </x:c>
      <x:c r="P334" s="55" t="inlineStr">
        <x:is>
          <x:t xml:space="preserve">否</x:t>
        </x:is>
      </x:c>
      <x:c r="Q334" s="56" t="n"/>
      <x:c r="R334" s="57" t="inlineStr">
        <x:is>
          <x:t xml:space="preserve">主集</x:t>
        </x:is>
      </x:c>
      <x:c r="S334" s="57" t="inlineStr">
        <x:is>
          <x:t xml:space="preserve">dev</x:t>
        </x:is>
      </x:c>
      <x:c r="T334" s="57" t="inlineStr">
        <x:is>
          <x:t xml:space="preserve"/>
        </x:is>
      </x:c>
    </x:row>
    <x:row r="335" s="37" customFormat="1" ht="29.850000381469727" customHeight="1">
      <x:c r="A335" s="55" t="inlineStr">
        <x:is>
          <x:t xml:space="preserve">NEG-0334</x:t>
        </x:is>
      </x:c>
      <x:c r="B335" s="55" t="inlineStr">
        <x:is>
          <x:t xml:space="preserve">v3</x:t>
        </x:is>
      </x:c>
      <x:c r="C335" s="56" t="inlineStr">
        <x:is>
          <x:t xml:space="preserve">一、指称已知性别的具体个人</x:t>
        </x:is>
      </x:c>
      <x:c r="D335" s="56" t="inlineStr">
        <x:is>
          <x:t xml:space="preserve">1.4 伴侣与恋爱关系</x:t>
        </x:is>
      </x:c>
      <x:c r="E335" s="56" t="inlineStr">
        <x:is>
          <x:t xml:space="preserve">社交与社区</x:t>
        </x:is>
      </x:c>
      <x:c r="F335" s="56" t="inlineStr">
        <x:is>
          <x:t xml:space="preserve">情感分享</x:t>
        </x:is>
      </x:c>
      <x:c r="G335" s="55" t="inlineStr">
        <x:is>
          <x:t xml:space="preserve">无</x:t>
        </x:is>
      </x:c>
      <x:c r="H335" s="55" t="str">
        <x:f>IF(LEN(I335)&lt;15,"短",IF(LEN(I335)&lt;=45,"中","长"))</x:f>
        <x:v>中</x:v>
      </x:c>
      <x:c r="I335" s="56" t="inlineStr">
        <x:is>
          <x:t xml:space="preserve">和我老婆认识十年了，从大学到现在，吵过但没红过脸。</x:t>
        </x:is>
      </x:c>
      <x:c r="J335" s="56" t="str">
        <x:f>I335</x:f>
        <x:v>和我老婆认识十年了，从大学到现在，吵过但没红过脸。</x:v>
      </x:c>
      <x:c r="K335" s="55" t="inlineStr">
        <x:is>
          <x:t xml:space="preserve">无需改写</x:t>
        </x:is>
      </x:c>
      <x:c r="L335" s="56" t="inlineStr">
        <x:is>
          <x:t xml:space="preserve">老婆</x:t>
        </x:is>
      </x:c>
      <x:c r="M335" s="56" t="inlineStr">
        <x:is>
          <x:t xml:space="preserve">当事人对自身关系的描述</x:t>
        </x:is>
      </x:c>
      <x:c r="N335" s="56" t="inlineStr">
        <x:is>
          <x:t xml:space="preserve">和我伴侣认识十年了</x:t>
        </x:is>
      </x:c>
      <x:c r="O335" s="55" t="inlineStr">
        <x:is>
          <x:t xml:space="preserve">难</x:t>
        </x:is>
      </x:c>
      <x:c r="P335" s="55" t="inlineStr">
        <x:is>
          <x:t xml:space="preserve">否</x:t>
        </x:is>
      </x:c>
      <x:c r="Q335" s="56" t="n"/>
      <x:c r="R335" s="57" t="inlineStr">
        <x:is>
          <x:t xml:space="preserve">主集</x:t>
        </x:is>
      </x:c>
      <x:c r="S335" s="57" t="inlineStr">
        <x:is>
          <x:t xml:space="preserve">test</x:t>
        </x:is>
      </x:c>
      <x:c r="T335" s="57" t="inlineStr">
        <x:is>
          <x:t xml:space="preserve"/>
        </x:is>
      </x:c>
    </x:row>
    <x:row r="336" s="37" customFormat="1" ht="29.850000381469727" customHeight="1">
      <x:c r="A336" s="55" t="inlineStr">
        <x:is>
          <x:t xml:space="preserve">NEG-0335</x:t>
        </x:is>
      </x:c>
      <x:c r="B336" s="55" t="inlineStr">
        <x:is>
          <x:t xml:space="preserve">v3</x:t>
        </x:is>
      </x:c>
      <x:c r="C336" s="56" t="inlineStr">
        <x:is>
          <x:t xml:space="preserve">一、指称已知性别的具体个人</x:t>
        </x:is>
      </x:c>
      <x:c r="D336" s="56" t="inlineStr">
        <x:is>
          <x:t xml:space="preserve">1.4 伴侣与恋爱关系</x:t>
        </x:is>
      </x:c>
      <x:c r="E336" s="56" t="inlineStr">
        <x:is>
          <x:t xml:space="preserve">公文与规章</x:t>
        </x:is>
      </x:c>
      <x:c r="F336" s="56" t="inlineStr">
        <x:is>
          <x:t xml:space="preserve">客服对话</x:t>
        </x:is>
      </x:c>
      <x:c r="G336" s="55" t="inlineStr">
        <x:is>
          <x:t xml:space="preserve">无</x:t>
        </x:is>
      </x:c>
      <x:c r="H336" s="55" t="str">
        <x:f>IF(LEN(I336)&lt;15,"短",IF(LEN(I336)&lt;=45,"中","长"))</x:f>
        <x:v>中</x:v>
      </x:c>
      <x:c r="I336" s="56" t="inlineStr">
        <x:is>
          <x:t xml:space="preserve">订单是我男朋友下的，他现在不在，我能帮他改地址吗？</x:t>
        </x:is>
      </x:c>
      <x:c r="J336" s="56" t="str">
        <x:f>I336</x:f>
        <x:v>订单是我男朋友下的，他现在不在，我能帮他改地址吗？</x:v>
      </x:c>
      <x:c r="K336" s="55" t="inlineStr">
        <x:is>
          <x:t xml:space="preserve">无需改写</x:t>
        </x:is>
      </x:c>
      <x:c r="L336" s="56" t="inlineStr">
        <x:is>
          <x:t xml:space="preserve">男朋友/他</x:t>
        </x:is>
      </x:c>
      <x:c r="M336" s="56" t="inlineStr">
        <x:is>
          <x:t xml:space="preserve">下单人身份说明</x:t>
        </x:is>
      </x:c>
      <x:c r="N336" s="56" t="inlineStr">
        <x:is>
          <x:t xml:space="preserve">订单是我伴侣下的，TA现在不在</x:t>
        </x:is>
      </x:c>
      <x:c r="O336" s="55" t="inlineStr">
        <x:is>
          <x:t xml:space="preserve">难</x:t>
        </x:is>
      </x:c>
      <x:c r="P336" s="55" t="inlineStr">
        <x:is>
          <x:t xml:space="preserve">否</x:t>
        </x:is>
      </x:c>
      <x:c r="Q336" s="56" t="n"/>
      <x:c r="R336" s="57" t="inlineStr">
        <x:is>
          <x:t xml:space="preserve">主集</x:t>
        </x:is>
      </x:c>
      <x:c r="S336" s="57" t="inlineStr">
        <x:is>
          <x:t xml:space="preserve">test</x:t>
        </x:is>
      </x:c>
      <x:c r="T336" s="57" t="inlineStr">
        <x:is>
          <x:t xml:space="preserve"/>
        </x:is>
      </x:c>
    </x:row>
    <x:row r="337" s="37" customFormat="1" ht="29.850000381469727" customHeight="1">
      <x:c r="A337" s="55" t="inlineStr">
        <x:is>
          <x:t xml:space="preserve">NEG-0336</x:t>
        </x:is>
      </x:c>
      <x:c r="B337" s="55" t="inlineStr">
        <x:is>
          <x:t xml:space="preserve">v3</x:t>
        </x:is>
      </x:c>
      <x:c r="C337" s="56" t="inlineStr">
        <x:is>
          <x:t xml:space="preserve">一、指称已知性别的具体个人</x:t>
        </x:is>
      </x:c>
      <x:c r="D337" s="56" t="inlineStr">
        <x:is>
          <x:t xml:space="preserve">1.4 伴侣与恋爱关系</x:t>
        </x:is>
      </x:c>
      <x:c r="E337" s="56" t="inlineStr">
        <x:is>
          <x:t xml:space="preserve">公文与规章</x:t>
        </x:is>
      </x:c>
      <x:c r="F337" s="56" t="inlineStr">
        <x:is>
          <x:t xml:space="preserve">申请书</x:t>
        </x:is>
      </x:c>
      <x:c r="G337" s="55" t="inlineStr">
        <x:is>
          <x:t xml:space="preserve">无</x:t>
        </x:is>
      </x:c>
      <x:c r="H337" s="55" t="str">
        <x:f>IF(LEN(I337)&lt;15,"短",IF(LEN(I337)&lt;=45,"中","长"))</x:f>
        <x:v>中</x:v>
      </x:c>
      <x:c r="I337" s="56" t="inlineStr">
        <x:is>
          <x:t xml:space="preserve">申请人与被申请人系夫妻关系，现因家庭暴力申请人身安全保护令。</x:t>
        </x:is>
      </x:c>
      <x:c r="J337" s="56" t="str">
        <x:f>I337</x:f>
        <x:v>申请人与被申请人系夫妻关系，现因家庭暴力申请人身安全保护令。</x:v>
      </x:c>
      <x:c r="K337" s="55" t="inlineStr">
        <x:is>
          <x:t xml:space="preserve">无需改写</x:t>
        </x:is>
      </x:c>
      <x:c r="L337" s="56" t="inlineStr">
        <x:is>
          <x:t xml:space="preserve">夫妻关系</x:t>
        </x:is>
      </x:c>
      <x:c r="M337" s="56" t="inlineStr">
        <x:is>
          <x:t xml:space="preserve">法律关系认定，是管辖与适用的前提</x:t>
        </x:is>
      </x:c>
      <x:c r="N337" s="56" t="inlineStr">
        <x:is>
          <x:t xml:space="preserve">双方系伴侣关系，现申请人身安全保护令</x:t>
        </x:is>
      </x:c>
      <x:c r="O337" s="55" t="inlineStr">
        <x:is>
          <x:t xml:space="preserve">易</x:t>
        </x:is>
      </x:c>
      <x:c r="P337" s="55" t="inlineStr">
        <x:is>
          <x:t xml:space="preserve">否</x:t>
        </x:is>
      </x:c>
      <x:c r="Q337" s="56" t="n"/>
      <x:c r="R337" s="57" t="inlineStr">
        <x:is>
          <x:t xml:space="preserve">主集</x:t>
        </x:is>
      </x:c>
      <x:c r="S337" s="57" t="inlineStr">
        <x:is>
          <x:t xml:space="preserve">test</x:t>
        </x:is>
      </x:c>
      <x:c r="T337" s="57" t="inlineStr">
        <x:is>
          <x:t xml:space="preserve"/>
        </x:is>
      </x:c>
    </x:row>
    <x:row r="338" s="37" customFormat="1" ht="29.850000381469727" customHeight="1">
      <x:c r="A338" s="55" t="inlineStr">
        <x:is>
          <x:t xml:space="preserve">NEG-0337</x:t>
        </x:is>
      </x:c>
      <x:c r="B338" s="55" t="inlineStr">
        <x:is>
          <x:t xml:space="preserve">v3</x:t>
        </x:is>
      </x:c>
      <x:c r="C338" s="56" t="inlineStr">
        <x:is>
          <x:t xml:space="preserve">一、指称已知性别的具体个人</x:t>
        </x:is>
      </x:c>
      <x:c r="D338" s="56" t="inlineStr">
        <x:is>
          <x:t xml:space="preserve">1.5 社会角色中的具体个人</x:t>
        </x:is>
      </x:c>
      <x:c r="E338" s="56" t="inlineStr">
        <x:is>
          <x:t xml:space="preserve">新闻报道</x:t>
        </x:is>
      </x:c>
      <x:c r="F338" s="56" t="inlineStr">
        <x:is>
          <x:t xml:space="preserve">深度报道</x:t>
        </x:is>
      </x:c>
      <x:c r="G338" s="55" t="inlineStr">
        <x:is>
          <x:t xml:space="preserve">无</x:t>
        </x:is>
      </x:c>
      <x:c r="H338" s="55" t="str">
        <x:f>IF(LEN(I338)&lt;15,"短",IF(LEN(I338)&lt;=45,"中","长"))</x:f>
        <x:v>中</x:v>
      </x:c>
      <x:c r="I338" s="56" t="inlineStr">
        <x:is>
          <x:t xml:space="preserve">这家小厂只有十一个人，九个是女工，最年轻的三十二岁。</x:t>
        </x:is>
      </x:c>
      <x:c r="J338" s="56" t="str">
        <x:f>I338</x:f>
        <x:v>这家小厂只有十一个人，九个是女工，最年轻的三十二岁。</x:v>
      </x:c>
      <x:c r="K338" s="55" t="inlineStr">
        <x:is>
          <x:t xml:space="preserve">无需改写</x:t>
        </x:is>
      </x:c>
      <x:c r="L338" s="56" t="inlineStr">
        <x:is>
          <x:t xml:space="preserve">女工</x:t>
        </x:is>
      </x:c>
      <x:c r="M338" s="56" t="inlineStr">
        <x:is>
          <x:t xml:space="preserve">工厂用工结构的事实</x:t>
        </x:is>
      </x:c>
      <x:c r="N338" s="56" t="inlineStr">
        <x:is>
          <x:t xml:space="preserve">这家小厂只有十一个人，最年轻的三十二岁</x:t>
        </x:is>
      </x:c>
      <x:c r="O338" s="55" t="inlineStr">
        <x:is>
          <x:t xml:space="preserve">中</x:t>
        </x:is>
      </x:c>
      <x:c r="P338" s="55" t="inlineStr">
        <x:is>
          <x:t xml:space="preserve">否</x:t>
        </x:is>
      </x:c>
      <x:c r="Q338" s="56" t="n"/>
      <x:c r="R338" s="57" t="inlineStr">
        <x:is>
          <x:t xml:space="preserve">主集</x:t>
        </x:is>
      </x:c>
      <x:c r="S338" s="57" t="inlineStr">
        <x:is>
          <x:t xml:space="preserve">index</x:t>
        </x:is>
      </x:c>
      <x:c r="T338" s="57" t="inlineStr">
        <x:is>
          <x:t xml:space="preserve"/>
        </x:is>
      </x:c>
    </x:row>
    <x:row r="339" s="37" customFormat="1" ht="29.850000381469727" customHeight="1">
      <x:c r="A339" s="58" t="inlineStr">
        <x:is>
          <x:t xml:space="preserve">NEG-0338</x:t>
        </x:is>
      </x:c>
      <x:c r="B339" s="58" t="inlineStr">
        <x:is>
          <x:t xml:space="preserve">v3</x:t>
        </x:is>
      </x:c>
      <x:c r="C339" s="59" t="inlineStr">
        <x:is>
          <x:t xml:space="preserve">一、指称已知性别的具体个人</x:t>
        </x:is>
      </x:c>
      <x:c r="D339" s="59" t="inlineStr">
        <x:is>
          <x:t xml:space="preserve">1.5 社会角色中的具体个人</x:t>
        </x:is>
      </x:c>
      <x:c r="E339" s="59" t="inlineStr">
        <x:is>
          <x:t xml:space="preserve">口语与私人交流</x:t>
        </x:is>
      </x:c>
      <x:c r="F339" s="59" t="inlineStr">
        <x:is>
          <x:t xml:space="preserve">生活分享</x:t>
        </x:is>
      </x:c>
      <x:c r="G339" s="58" t="inlineStr">
        <x:is>
          <x:t xml:space="preserve">无</x:t>
        </x:is>
      </x:c>
      <x:c r="H339" s="58" t="str">
        <x:f>IF(LEN(I339)&lt;15,"短",IF(LEN(I339)&lt;=45,"中","长"))</x:f>
        <x:v>中</x:v>
      </x:c>
      <x:c r="I339" s="59" t="inlineStr">
        <x:is>
          <x:t xml:space="preserve">楼下新开的理发店，理发师是个小伙子，手艺是真好。</x:t>
        </x:is>
      </x:c>
      <x:c r="J339" s="59" t="str">
        <x:f>I339</x:f>
        <x:v>楼下新开的理发店，理发师是个小伙子，手艺是真好。</x:v>
      </x:c>
      <x:c r="K339" s="58" t="inlineStr">
        <x:is>
          <x:t xml:space="preserve">无需改写</x:t>
        </x:is>
      </x:c>
      <x:c r="L339" s="59" t="inlineStr">
        <x:is>
          <x:t xml:space="preserve">小伙子</x:t>
        </x:is>
      </x:c>
      <x:c r="M339" s="59" t="inlineStr">
        <x:is>
          <x:t xml:space="preserve">介绍具体某人</x:t>
        </x:is>
      </x:c>
      <x:c r="N339" s="59" t="inlineStr">
        <x:is>
          <x:t xml:space="preserve">楼下新开的理发店，理发师手艺是真好</x:t>
        </x:is>
      </x:c>
      <x:c r="O339" s="58" t="inlineStr">
        <x:is>
          <x:t xml:space="preserve">难</x:t>
        </x:is>
      </x:c>
      <x:c r="P339" s="58" t="inlineStr">
        <x:is>
          <x:t xml:space="preserve">否</x:t>
        </x:is>
      </x:c>
      <x:c r="Q339" s="59" t="inlineStr">
        <x:is>
          <x:t xml:space="preserve">与女性版本互为对称样本</x:t>
        </x:is>
      </x:c>
      <x:c r="R339" s="60" t="inlineStr">
        <x:is>
          <x:t xml:space="preserve">隔离·待确认</x:t>
        </x:is>
      </x:c>
      <x:c r="S339" s="60" t="inlineStr">
        <x:is>
          <x:t xml:space="preserve"/>
        </x:is>
      </x:c>
      <x:c r="T339" s="60" t="inlineStr">
        <x:is>
          <x:t xml:space="preserve">触发词不含性别编码——判断可能依赖世界知识而非句内信息</x:t>
        </x:is>
      </x:c>
    </x:row>
    <x:row r="340" s="37" customFormat="1" ht="29.850000381469727" customHeight="1">
      <x:c r="A340" s="55" t="inlineStr">
        <x:is>
          <x:t xml:space="preserve">NEG-0339</x:t>
        </x:is>
      </x:c>
      <x:c r="B340" s="55" t="inlineStr">
        <x:is>
          <x:t xml:space="preserve">v3</x:t>
        </x:is>
      </x:c>
      <x:c r="C340" s="56" t="inlineStr">
        <x:is>
          <x:t xml:space="preserve">一、指称已知性别的具体个人</x:t>
        </x:is>
      </x:c>
      <x:c r="D340" s="56" t="inlineStr">
        <x:is>
          <x:t xml:space="preserve">1.5 社会角色中的具体个人</x:t>
        </x:is>
      </x:c>
      <x:c r="E340" s="56" t="inlineStr">
        <x:is>
          <x:t xml:space="preserve">公文与规章</x:t>
        </x:is>
      </x:c>
      <x:c r="F340" s="56" t="inlineStr">
        <x:is>
          <x:t xml:space="preserve">护理记录</x:t>
        </x:is>
      </x:c>
      <x:c r="G340" s="55" t="inlineStr">
        <x:is>
          <x:t xml:space="preserve">无</x:t>
        </x:is>
      </x:c>
      <x:c r="H340" s="55" t="str">
        <x:f>IF(LEN(I340)&lt;15,"短",IF(LEN(I340)&lt;=45,"中","长"))</x:f>
        <x:v>中</x:v>
      </x:c>
      <x:c r="I340" s="56" t="inlineStr">
        <x:is>
          <x:t xml:space="preserve">陪护家属为患者女儿，已签署授权委托书。</x:t>
        </x:is>
      </x:c>
      <x:c r="J340" s="56" t="str">
        <x:f>I340</x:f>
        <x:v>陪护家属为患者女儿，已签署授权委托书。</x:v>
      </x:c>
      <x:c r="K340" s="55" t="inlineStr">
        <x:is>
          <x:t xml:space="preserve">无需改写</x:t>
        </x:is>
      </x:c>
      <x:c r="L340" s="56" t="inlineStr">
        <x:is>
          <x:t xml:space="preserve">女儿</x:t>
        </x:is>
      </x:c>
      <x:c r="M340" s="56" t="inlineStr">
        <x:is>
          <x:t xml:space="preserve">医疗文书中的家属身份</x:t>
        </x:is>
      </x:c>
      <x:c r="N340" s="56" t="inlineStr">
        <x:is>
          <x:t xml:space="preserve">陪护家属为患者子女，已签署授权委托书</x:t>
        </x:is>
      </x:c>
      <x:c r="O340" s="55" t="inlineStr">
        <x:is>
          <x:t xml:space="preserve">易</x:t>
        </x:is>
      </x:c>
      <x:c r="P340" s="55" t="inlineStr">
        <x:is>
          <x:t xml:space="preserve">否</x:t>
        </x:is>
      </x:c>
      <x:c r="Q340" s="56" t="n"/>
      <x:c r="R340" s="57" t="inlineStr">
        <x:is>
          <x:t xml:space="preserve">主集</x:t>
        </x:is>
      </x:c>
      <x:c r="S340" s="57" t="inlineStr">
        <x:is>
          <x:t xml:space="preserve">index</x:t>
        </x:is>
      </x:c>
      <x:c r="T340" s="57" t="inlineStr">
        <x:is>
          <x:t xml:space="preserve"/>
        </x:is>
      </x:c>
    </x:row>
    <x:row r="341" s="37" customFormat="1" ht="15" customHeight="1">
      <x:c r="A341" s="55" t="inlineStr">
        <x:is>
          <x:t xml:space="preserve">NEG-0340</x:t>
        </x:is>
      </x:c>
      <x:c r="B341" s="55" t="inlineStr">
        <x:is>
          <x:t xml:space="preserve">v3</x:t>
        </x:is>
      </x:c>
      <x:c r="C341" s="56" t="inlineStr">
        <x:is>
          <x:t xml:space="preserve">二、生理与医学必需</x:t>
        </x:is>
      </x:c>
      <x:c r="D341" s="56" t="inlineStr">
        <x:is>
          <x:t xml:space="preserve">2.1 生殖与生育</x:t>
        </x:is>
      </x:c>
      <x:c r="E341" s="56" t="inlineStr">
        <x:is>
          <x:t xml:space="preserve">社交与社区</x:t>
        </x:is>
      </x:c>
      <x:c r="F341" s="56" t="inlineStr">
        <x:is>
          <x:t xml:space="preserve">社交分享</x:t>
        </x:is>
      </x:c>
      <x:c r="G341" s="55" t="inlineStr">
        <x:is>
          <x:t xml:space="preserve">无</x:t>
        </x:is>
      </x:c>
      <x:c r="H341" s="55" t="str">
        <x:f>IF(LEN(I341)&lt;15,"短",IF(LEN(I341)&lt;=45,"中","长"))</x:f>
        <x:v>中</x:v>
      </x:c>
      <x:c r="I341" s="56" t="inlineStr">
        <x:is>
          <x:t xml:space="preserve">备孕大半年没动静，昨天终于测到两条杠，手都在抖。</x:t>
        </x:is>
      </x:c>
      <x:c r="J341" s="56" t="str">
        <x:f>I341</x:f>
        <x:v>备孕大半年没动静，昨天终于测到两条杠，手都在抖。</x:v>
      </x:c>
      <x:c r="K341" s="55" t="inlineStr">
        <x:is>
          <x:t xml:space="preserve">无需改写</x:t>
        </x:is>
      </x:c>
      <x:c r="L341" s="56" t="inlineStr">
        <x:is>
          <x:t xml:space="preserve">备孕</x:t>
        </x:is>
      </x:c>
      <x:c r="M341" s="56" t="inlineStr">
        <x:is>
          <x:t xml:space="preserve">当事人的真实经历叙述</x:t>
        </x:is>
      </x:c>
      <x:c r="N341" s="56" t="inlineStr">
        <x:is>
          <x:t xml:space="preserve">准备大半年没动静，昨天终于有了结果</x:t>
        </x:is>
      </x:c>
      <x:c r="O341" s="55" t="inlineStr">
        <x:is>
          <x:t xml:space="preserve">中</x:t>
        </x:is>
      </x:c>
      <x:c r="P341" s="55" t="inlineStr">
        <x:is>
          <x:t xml:space="preserve">否</x:t>
        </x:is>
      </x:c>
      <x:c r="Q341" s="56" t="n"/>
      <x:c r="R341" s="57" t="inlineStr">
        <x:is>
          <x:t xml:space="preserve">主集</x:t>
        </x:is>
      </x:c>
      <x:c r="S341" s="57" t="inlineStr">
        <x:is>
          <x:t xml:space="preserve">test</x:t>
        </x:is>
      </x:c>
      <x:c r="T341" s="57" t="inlineStr">
        <x:is>
          <x:t xml:space="preserve"/>
        </x:is>
      </x:c>
    </x:row>
    <x:row r="342" s="37" customFormat="1" ht="29.850000381469727" customHeight="1">
      <x:c r="A342" s="55" t="inlineStr">
        <x:is>
          <x:t xml:space="preserve">NEG-0341</x:t>
        </x:is>
      </x:c>
      <x:c r="B342" s="55" t="inlineStr">
        <x:is>
          <x:t xml:space="preserve">v3</x:t>
        </x:is>
      </x:c>
      <x:c r="C342" s="56" t="inlineStr">
        <x:is>
          <x:t xml:space="preserve">二、生理与医学必需</x:t>
        </x:is>
      </x:c>
      <x:c r="D342" s="56" t="inlineStr">
        <x:is>
          <x:t xml:space="preserve">2.1 生殖与生育</x:t>
        </x:is>
      </x:c>
      <x:c r="E342" s="56" t="inlineStr">
        <x:is>
          <x:t xml:space="preserve">商业与产品</x:t>
        </x:is>
      </x:c>
      <x:c r="F342" s="56" t="inlineStr">
        <x:is>
          <x:t xml:space="preserve">商品详情</x:t>
        </x:is>
      </x:c>
      <x:c r="G342" s="55" t="inlineStr">
        <x:is>
          <x:t xml:space="preserve">无</x:t>
        </x:is>
      </x:c>
      <x:c r="H342" s="55" t="str">
        <x:f>IF(LEN(I342)&lt;15,"短",IF(LEN(I342)&lt;=45,"中","长"))</x:f>
        <x:v>中</x:v>
      </x:c>
      <x:c r="I342" s="56" t="inlineStr">
        <x:is>
          <x:t xml:space="preserve">这款待产包内含产褥垫和一次性内裤，医院清单要求的都齐了。</x:t>
        </x:is>
      </x:c>
      <x:c r="J342" s="56" t="str">
        <x:f>I342</x:f>
        <x:v>这款待产包内含产褥垫和一次性内裤，医院清单要求的都齐了。</x:v>
      </x:c>
      <x:c r="K342" s="55" t="inlineStr">
        <x:is>
          <x:t xml:space="preserve">无需改写</x:t>
        </x:is>
      </x:c>
      <x:c r="L342" s="56" t="inlineStr">
        <x:is>
          <x:t xml:space="preserve">待产包/产褥垫</x:t>
        </x:is>
      </x:c>
      <x:c r="M342" s="56" t="inlineStr">
        <x:is>
          <x:t xml:space="preserve">商品品类与内容物名称</x:t>
        </x:is>
      </x:c>
      <x:c r="N342" s="56" t="inlineStr">
        <x:is>
          <x:t xml:space="preserve">这款护理包内含相关用品</x:t>
        </x:is>
      </x:c>
      <x:c r="O342" s="55" t="inlineStr">
        <x:is>
          <x:t xml:space="preserve">易</x:t>
        </x:is>
      </x:c>
      <x:c r="P342" s="55" t="inlineStr">
        <x:is>
          <x:t xml:space="preserve">否</x:t>
        </x:is>
      </x:c>
      <x:c r="Q342" s="56" t="n"/>
      <x:c r="R342" s="57" t="inlineStr">
        <x:is>
          <x:t xml:space="preserve">主集</x:t>
        </x:is>
      </x:c>
      <x:c r="S342" s="57" t="inlineStr">
        <x:is>
          <x:t xml:space="preserve">test</x:t>
        </x:is>
      </x:c>
      <x:c r="T342" s="57" t="inlineStr">
        <x:is>
          <x:t xml:space="preserve"/>
        </x:is>
      </x:c>
    </x:row>
    <x:row r="343" s="37" customFormat="1" ht="15" customHeight="1">
      <x:c r="A343" s="55" t="inlineStr">
        <x:is>
          <x:t xml:space="preserve">NEG-0342</x:t>
        </x:is>
      </x:c>
      <x:c r="B343" s="55" t="inlineStr">
        <x:is>
          <x:t xml:space="preserve">v3</x:t>
        </x:is>
      </x:c>
      <x:c r="C343" s="56" t="inlineStr">
        <x:is>
          <x:t xml:space="preserve">二、生理与医学必需</x:t>
        </x:is>
      </x:c>
      <x:c r="D343" s="56" t="inlineStr">
        <x:is>
          <x:t xml:space="preserve">2.2 生理周期与内分泌</x:t>
        </x:is>
      </x:c>
      <x:c r="E343" s="56" t="inlineStr">
        <x:is>
          <x:t xml:space="preserve">社交与社区</x:t>
        </x:is>
      </x:c>
      <x:c r="F343" s="56" t="inlineStr">
        <x:is>
          <x:t xml:space="preserve">健康问答</x:t>
        </x:is>
      </x:c>
      <x:c r="G343" s="55" t="inlineStr">
        <x:is>
          <x:t xml:space="preserve">无</x:t>
        </x:is>
      </x:c>
      <x:c r="H343" s="55" t="str">
        <x:f>IF(LEN(I343)&lt;15,"短",IF(LEN(I343)&lt;=45,"中","长"))</x:f>
        <x:v>中</x:v>
      </x:c>
      <x:c r="I343" s="56" t="inlineStr">
        <x:is>
          <x:t xml:space="preserve">例假推迟十天了，测了没怀孕，是不是内分泌失调？</x:t>
        </x:is>
      </x:c>
      <x:c r="J343" s="56" t="str">
        <x:f>I343</x:f>
        <x:v>例假推迟十天了，测了没怀孕，是不是内分泌失调？</x:v>
      </x:c>
      <x:c r="K343" s="55" t="inlineStr">
        <x:is>
          <x:t xml:space="preserve">无需改写</x:t>
        </x:is>
      </x:c>
      <x:c r="L343" s="56" t="inlineStr">
        <x:is>
          <x:t xml:space="preserve">例假/怀孕</x:t>
        </x:is>
      </x:c>
      <x:c r="M343" s="56" t="inlineStr">
        <x:is>
          <x:t xml:space="preserve">用户口语化的症状描述</x:t>
        </x:is>
      </x:c>
      <x:c r="N343" s="56" t="inlineStr">
        <x:is>
          <x:t xml:space="preserve">周期推迟十天了，测了结果正常</x:t>
        </x:is>
      </x:c>
      <x:c r="O343" s="55" t="inlineStr">
        <x:is>
          <x:t xml:space="preserve">易</x:t>
        </x:is>
      </x:c>
      <x:c r="P343" s="55" t="inlineStr">
        <x:is>
          <x:t xml:space="preserve">否</x:t>
        </x:is>
      </x:c>
      <x:c r="Q343" s="56" t="n"/>
      <x:c r="R343" s="57" t="inlineStr">
        <x:is>
          <x:t xml:space="preserve">主集</x:t>
        </x:is>
      </x:c>
      <x:c r="S343" s="57" t="inlineStr">
        <x:is>
          <x:t xml:space="preserve">test</x:t>
        </x:is>
      </x:c>
      <x:c r="T343" s="57" t="inlineStr">
        <x:is>
          <x:t xml:space="preserve"/>
        </x:is>
      </x:c>
    </x:row>
    <x:row r="344" s="37" customFormat="1" ht="29.850000381469727" customHeight="1">
      <x:c r="A344" s="55" t="inlineStr">
        <x:is>
          <x:t xml:space="preserve">NEG-0343</x:t>
        </x:is>
      </x:c>
      <x:c r="B344" s="55" t="inlineStr">
        <x:is>
          <x:t xml:space="preserve">v3</x:t>
        </x:is>
      </x:c>
      <x:c r="C344" s="56" t="inlineStr">
        <x:is>
          <x:t xml:space="preserve">二、生理与医学必需</x:t>
        </x:is>
      </x:c>
      <x:c r="D344" s="56" t="inlineStr">
        <x:is>
          <x:t xml:space="preserve">2.2 生理周期与内分泌</x:t>
        </x:is>
      </x:c>
      <x:c r="E344" s="56" t="inlineStr">
        <x:is>
          <x:t xml:space="preserve">公文与规章</x:t>
        </x:is>
      </x:c>
      <x:c r="F344" s="56" t="inlineStr">
        <x:is>
          <x:t xml:space="preserve">广告监管</x:t>
        </x:is>
      </x:c>
      <x:c r="G344" s="55" t="inlineStr">
        <x:is>
          <x:t xml:space="preserve">无</x:t>
        </x:is>
      </x:c>
      <x:c r="H344" s="55" t="str">
        <x:f>IF(LEN(I344)&lt;15,"短",IF(LEN(I344)&lt;=45,"中","长"))</x:f>
        <x:v>中</x:v>
      </x:c>
      <x:c r="I344" s="56" t="inlineStr">
        <x:is>
          <x:t xml:space="preserve">该保健品宣称可改善更年期潮热，但未取得相关批准文号。</x:t>
        </x:is>
      </x:c>
      <x:c r="J344" s="56" t="str">
        <x:f>I344</x:f>
        <x:v>该保健品宣称可改善更年期潮热，但未取得相关批准文号。</x:v>
      </x:c>
      <x:c r="K344" s="55" t="inlineStr">
        <x:is>
          <x:t xml:space="preserve">无需改写</x:t>
        </x:is>
      </x:c>
      <x:c r="L344" s="56" t="inlineStr">
        <x:is>
          <x:t xml:space="preserve">更年期</x:t>
        </x:is>
      </x:c>
      <x:c r="M344" s="56" t="inlineStr">
        <x:is>
          <x:t xml:space="preserve">被审查产品的宣称内容</x:t>
        </x:is>
      </x:c>
      <x:c r="N344" s="56" t="inlineStr">
        <x:is>
          <x:t xml:space="preserve">该保健品宣称可改善相关症状</x:t>
        </x:is>
      </x:c>
      <x:c r="O344" s="55" t="inlineStr">
        <x:is>
          <x:t xml:space="preserve">中</x:t>
        </x:is>
      </x:c>
      <x:c r="P344" s="55" t="inlineStr">
        <x:is>
          <x:t xml:space="preserve">否</x:t>
        </x:is>
      </x:c>
      <x:c r="Q344" s="56" t="n"/>
      <x:c r="R344" s="57" t="inlineStr">
        <x:is>
          <x:t xml:space="preserve">主集</x:t>
        </x:is>
      </x:c>
      <x:c r="S344" s="57" t="inlineStr">
        <x:is>
          <x:t xml:space="preserve">dev</x:t>
        </x:is>
      </x:c>
      <x:c r="T344" s="57" t="inlineStr">
        <x:is>
          <x:t xml:space="preserve"/>
        </x:is>
      </x:c>
    </x:row>
    <x:row r="345" s="37" customFormat="1" ht="29.850000381469727" customHeight="1">
      <x:c r="A345" s="55" t="inlineStr">
        <x:is>
          <x:t xml:space="preserve">NEG-0344</x:t>
        </x:is>
      </x:c>
      <x:c r="B345" s="55" t="inlineStr">
        <x:is>
          <x:t xml:space="preserve">v3</x:t>
        </x:is>
      </x:c>
      <x:c r="C345" s="56" t="inlineStr">
        <x:is>
          <x:t xml:space="preserve">二、生理与医学必需</x:t>
        </x:is>
      </x:c>
      <x:c r="D345" s="56" t="inlineStr">
        <x:is>
          <x:t xml:space="preserve">2.3 性别特异性器官与疾病</x:t>
        </x:is>
      </x:c>
      <x:c r="E345" s="56" t="inlineStr">
        <x:is>
          <x:t xml:space="preserve">公文与规章</x:t>
        </x:is>
      </x:c>
      <x:c r="F345" s="56" t="inlineStr">
        <x:is>
          <x:t xml:space="preserve">疫苗咨询</x:t>
        </x:is>
      </x:c>
      <x:c r="G345" s="55" t="inlineStr">
        <x:is>
          <x:t xml:space="preserve">无</x:t>
        </x:is>
      </x:c>
      <x:c r="H345" s="55" t="str">
        <x:f>IF(LEN(I345)&lt;15,"短",IF(LEN(I345)&lt;=45,"中","长"))</x:f>
        <x:v>中</x:v>
      </x:c>
      <x:c r="I345" s="56" t="inlineStr">
        <x:is>
          <x:t xml:space="preserve">您咨询的九价 HPV 疫苗目前适用年龄为 9 至 45 岁女性。</x:t>
        </x:is>
      </x:c>
      <x:c r="J345" s="56" t="str">
        <x:f>I345</x:f>
        <x:v>您咨询的九价 HPV 疫苗目前适用年龄为 9 至 45 岁女性。</x:v>
      </x:c>
      <x:c r="K345" s="55" t="inlineStr">
        <x:is>
          <x:t xml:space="preserve">无需改写</x:t>
        </x:is>
      </x:c>
      <x:c r="L345" s="56" t="inlineStr">
        <x:is>
          <x:t xml:space="preserve">女性</x:t>
        </x:is>
      </x:c>
      <x:c r="M345" s="56" t="inlineStr">
        <x:is>
          <x:t xml:space="preserve">接种适应人群的规定</x:t>
        </x:is>
      </x:c>
      <x:c r="N345" s="56" t="inlineStr">
        <x:is>
          <x:t xml:space="preserve">九价 HPV 疫苗目前适用年龄为 9 至 45 岁</x:t>
        </x:is>
      </x:c>
      <x:c r="O345" s="55" t="inlineStr">
        <x:is>
          <x:t xml:space="preserve">中</x:t>
        </x:is>
      </x:c>
      <x:c r="P345" s="55" t="inlineStr">
        <x:is>
          <x:t xml:space="preserve">是</x:t>
        </x:is>
      </x:c>
      <x:c r="Q345" s="56" t="inlineStr">
        <x:is>
          <x:t xml:space="preserve">部分地区已扩展适用人群，以最新说明书为准</x:t>
        </x:is>
      </x:c>
      <x:c r="R345" s="57" t="inlineStr">
        <x:is>
          <x:t xml:space="preserve">主集</x:t>
        </x:is>
      </x:c>
      <x:c r="S345" s="57" t="inlineStr">
        <x:is>
          <x:t xml:space="preserve">test</x:t>
        </x:is>
      </x:c>
      <x:c r="T345" s="57" t="inlineStr">
        <x:is>
          <x:t xml:space="preserve"/>
        </x:is>
      </x:c>
    </x:row>
    <x:row r="346" s="37" customFormat="1" ht="15" customHeight="1">
      <x:c r="A346" s="55" t="inlineStr">
        <x:is>
          <x:t xml:space="preserve">NEG-0345</x:t>
        </x:is>
      </x:c>
      <x:c r="B346" s="55" t="inlineStr">
        <x:is>
          <x:t xml:space="preserve">v3</x:t>
        </x:is>
      </x:c>
      <x:c r="C346" s="56" t="inlineStr">
        <x:is>
          <x:t xml:space="preserve">二、生理与医学必需</x:t>
        </x:is>
      </x:c>
      <x:c r="D346" s="56" t="inlineStr">
        <x:is>
          <x:t xml:space="preserve">2.3 性别特异性器官与疾病</x:t>
        </x:is>
      </x:c>
      <x:c r="E346" s="56" t="inlineStr">
        <x:is>
          <x:t xml:space="preserve">口语与私人交流</x:t>
        </x:is>
      </x:c>
      <x:c r="F346" s="56" t="inlineStr">
        <x:is>
          <x:t xml:space="preserve">家常口语</x:t>
        </x:is>
      </x:c>
      <x:c r="G346" s="55" t="inlineStr">
        <x:is>
          <x:t xml:space="preserve">无</x:t>
        </x:is>
      </x:c>
      <x:c r="H346" s="55" t="str">
        <x:f>IF(LEN(I346)&lt;15,"短",IF(LEN(I346)&lt;=45,"中","长"))</x:f>
        <x:v>中</x:v>
      </x:c>
      <x:c r="I346" s="56" t="inlineStr">
        <x:is>
          <x:t xml:space="preserve">我爸六十五，体检查出前列腺钙化，医生说不用管。</x:t>
        </x:is>
      </x:c>
      <x:c r="J346" s="56" t="str">
        <x:f>I346</x:f>
        <x:v>我爸六十五，体检查出前列腺钙化，医生说不用管。</x:v>
      </x:c>
      <x:c r="K346" s="55" t="inlineStr">
        <x:is>
          <x:t xml:space="preserve">无需改写</x:t>
        </x:is>
      </x:c>
      <x:c r="L346" s="56" t="inlineStr">
        <x:is>
          <x:t xml:space="preserve">前列腺</x:t>
        </x:is>
      </x:c>
      <x:c r="M346" s="56" t="inlineStr">
        <x:is>
          <x:t xml:space="preserve">家属转述的检查结果</x:t>
        </x:is>
      </x:c>
      <x:c r="N346" s="56" t="inlineStr">
        <x:is>
          <x:t xml:space="preserve">我家长辈体检查出相关钙化</x:t>
        </x:is>
      </x:c>
      <x:c r="O346" s="55" t="inlineStr">
        <x:is>
          <x:t xml:space="preserve">易</x:t>
        </x:is>
      </x:c>
      <x:c r="P346" s="55" t="inlineStr">
        <x:is>
          <x:t xml:space="preserve">否</x:t>
        </x:is>
      </x:c>
      <x:c r="Q346" s="56" t="n"/>
      <x:c r="R346" s="57" t="inlineStr">
        <x:is>
          <x:t xml:space="preserve">主集</x:t>
        </x:is>
      </x:c>
      <x:c r="S346" s="57" t="inlineStr">
        <x:is>
          <x:t xml:space="preserve">index</x:t>
        </x:is>
      </x:c>
      <x:c r="T346" s="57" t="inlineStr">
        <x:is>
          <x:t xml:space="preserve"/>
        </x:is>
      </x:c>
    </x:row>
    <x:row r="347" s="37" customFormat="1" ht="15" customHeight="1">
      <x:c r="A347" s="55" t="inlineStr">
        <x:is>
          <x:t xml:space="preserve">NEG-0346</x:t>
        </x:is>
      </x:c>
      <x:c r="B347" s="55" t="inlineStr">
        <x:is>
          <x:t xml:space="preserve">v3</x:t>
        </x:is>
      </x:c>
      <x:c r="C347" s="56" t="inlineStr">
        <x:is>
          <x:t xml:space="preserve">二、生理与医学必需</x:t>
        </x:is>
      </x:c>
      <x:c r="D347" s="56" t="inlineStr">
        <x:is>
          <x:t xml:space="preserve">2.4 药理与诊疗差异</x:t>
        </x:is>
      </x:c>
      <x:c r="E347" s="56" t="inlineStr">
        <x:is>
          <x:t xml:space="preserve">医疗健康</x:t>
        </x:is>
      </x:c>
      <x:c r="F347" s="56" t="inlineStr">
        <x:is>
          <x:t xml:space="preserve">药品说明书</x:t>
        </x:is>
      </x:c>
      <x:c r="G347" s="55" t="inlineStr">
        <x:is>
          <x:t xml:space="preserve">无</x:t>
        </x:is>
      </x:c>
      <x:c r="H347" s="55" t="str">
        <x:f>IF(LEN(I347)&lt;15,"短",IF(LEN(I347)&lt;=45,"中","长"))</x:f>
        <x:v>中</x:v>
      </x:c>
      <x:c r="I347" s="56" t="inlineStr">
        <x:is>
          <x:t xml:space="preserve">孕妇及哺乳期妇女慎用，儿童须在成人监护下使用。</x:t>
        </x:is>
      </x:c>
      <x:c r="J347" s="56" t="str">
        <x:f>I347</x:f>
        <x:v>孕妇及哺乳期妇女慎用，儿童须在成人监护下使用。</x:v>
      </x:c>
      <x:c r="K347" s="55" t="inlineStr">
        <x:is>
          <x:t xml:space="preserve">无需改写</x:t>
        </x:is>
      </x:c>
      <x:c r="L347" s="56" t="inlineStr">
        <x:is>
          <x:t xml:space="preserve">孕妇/哺乳期妇女</x:t>
        </x:is>
      </x:c>
      <x:c r="M347" s="56" t="inlineStr">
        <x:is>
          <x:t xml:space="preserve">说明书法定表述</x:t>
        </x:is>
      </x:c>
      <x:c r="N347" s="56" t="inlineStr">
        <x:is>
          <x:t xml:space="preserve">特殊生理期人群慎用</x:t>
        </x:is>
      </x:c>
      <x:c r="O347" s="55" t="inlineStr">
        <x:is>
          <x:t xml:space="preserve">易</x:t>
        </x:is>
      </x:c>
      <x:c r="P347" s="55" t="inlineStr">
        <x:is>
          <x:t xml:space="preserve">否</x:t>
        </x:is>
      </x:c>
      <x:c r="Q347" s="56" t="n"/>
      <x:c r="R347" s="57" t="inlineStr">
        <x:is>
          <x:t xml:space="preserve">主集</x:t>
        </x:is>
      </x:c>
      <x:c r="S347" s="57" t="inlineStr">
        <x:is>
          <x:t xml:space="preserve">test</x:t>
        </x:is>
      </x:c>
      <x:c r="T347" s="57" t="inlineStr">
        <x:is>
          <x:t xml:space="preserve"/>
        </x:is>
      </x:c>
    </x:row>
    <x:row r="348" s="37" customFormat="1" ht="29.850000381469727" customHeight="1">
      <x:c r="A348" s="55" t="inlineStr">
        <x:is>
          <x:t xml:space="preserve">NEG-0347</x:t>
        </x:is>
      </x:c>
      <x:c r="B348" s="55" t="inlineStr">
        <x:is>
          <x:t xml:space="preserve">v3</x:t>
        </x:is>
      </x:c>
      <x:c r="C348" s="56" t="inlineStr">
        <x:is>
          <x:t xml:space="preserve">二、生理与医学必需</x:t>
        </x:is>
      </x:c>
      <x:c r="D348" s="56" t="inlineStr">
        <x:is>
          <x:t xml:space="preserve">2.4 药理与诊疗差异</x:t>
        </x:is>
      </x:c>
      <x:c r="E348" s="56" t="inlineStr">
        <x:is>
          <x:t xml:space="preserve">公文与规章</x:t>
        </x:is>
      </x:c>
      <x:c r="F348" s="56" t="inlineStr">
        <x:is>
          <x:t xml:space="preserve">用药交代</x:t>
        </x:is>
      </x:c>
      <x:c r="G348" s="55" t="inlineStr">
        <x:is>
          <x:t xml:space="preserve">无</x:t>
        </x:is>
      </x:c>
      <x:c r="H348" s="55" t="str">
        <x:f>IF(LEN(I348)&lt;15,"短",IF(LEN(I348)&lt;=45,"中","长"))</x:f>
        <x:v>中</x:v>
      </x:c>
      <x:c r="I348" s="56" t="inlineStr">
        <x:is>
          <x:t xml:space="preserve">女性患者服药期间应采取有效避孕措施，停药后三个月方可备孕。</x:t>
        </x:is>
      </x:c>
      <x:c r="J348" s="56" t="str">
        <x:f>I348</x:f>
        <x:v>女性患者服药期间应采取有效避孕措施，停药后三个月方可备孕。</x:v>
      </x:c>
      <x:c r="K348" s="55" t="inlineStr">
        <x:is>
          <x:t xml:space="preserve">无需改写</x:t>
        </x:is>
      </x:c>
      <x:c r="L348" s="56" t="inlineStr">
        <x:is>
          <x:t xml:space="preserve">女性患者</x:t>
        </x:is>
      </x:c>
      <x:c r="M348" s="56" t="inlineStr">
        <x:is>
          <x:t xml:space="preserve">致畸风险相关的用药交代</x:t>
        </x:is>
      </x:c>
      <x:c r="N348" s="56" t="inlineStr">
        <x:is>
          <x:t xml:space="preserve">患者服药期间应采取有效避孕措施</x:t>
        </x:is>
      </x:c>
      <x:c r="O348" s="55" t="inlineStr">
        <x:is>
          <x:t xml:space="preserve">中</x:t>
        </x:is>
      </x:c>
      <x:c r="P348" s="55" t="inlineStr">
        <x:is>
          <x:t xml:space="preserve">否</x:t>
        </x:is>
      </x:c>
      <x:c r="Q348" s="56" t="n"/>
      <x:c r="R348" s="57" t="inlineStr">
        <x:is>
          <x:t xml:space="preserve">主集</x:t>
        </x:is>
      </x:c>
      <x:c r="S348" s="57" t="inlineStr">
        <x:is>
          <x:t xml:space="preserve">index</x:t>
        </x:is>
      </x:c>
      <x:c r="T348" s="57" t="inlineStr">
        <x:is>
          <x:t xml:space="preserve"/>
        </x:is>
      </x:c>
    </x:row>
    <x:row r="349" s="37" customFormat="1" ht="29.850000381469727" customHeight="1">
      <x:c r="A349" s="58" t="inlineStr">
        <x:is>
          <x:t xml:space="preserve">NEG-0348</x:t>
        </x:is>
      </x:c>
      <x:c r="B349" s="58" t="inlineStr">
        <x:is>
          <x:t xml:space="preserve">v3</x:t>
        </x:is>
      </x:c>
      <x:c r="C349" s="59" t="inlineStr">
        <x:is>
          <x:t xml:space="preserve">二、生理与医学必需</x:t>
        </x:is>
      </x:c>
      <x:c r="D349" s="59" t="inlineStr">
        <x:is>
          <x:t xml:space="preserve">2.5 性别确认医疗与性健康</x:t>
        </x:is>
      </x:c>
      <x:c r="E349" s="59" t="inlineStr">
        <x:is>
          <x:t xml:space="preserve">社交与社区</x:t>
        </x:is>
      </x:c>
      <x:c r="F349" s="59" t="inlineStr">
        <x:is>
          <x:t xml:space="preserve">经历分享</x:t>
        </x:is>
      </x:c>
      <x:c r="G349" s="58" t="inlineStr">
        <x:is>
          <x:t xml:space="preserve">无</x:t>
        </x:is>
      </x:c>
      <x:c r="H349" s="58" t="str">
        <x:f>IF(LEN(I349)&lt;15,"短",IF(LEN(I349)&lt;=45,"中","长"))</x:f>
        <x:v>中</x:v>
      </x:c>
      <x:c r="I349" s="59" t="inlineStr">
        <x:is>
          <x:t xml:space="preserve">打了三年激素，上周复查各项指标都正常，医生说继续维持就行。</x:t>
        </x:is>
      </x:c>
      <x:c r="J349" s="59" t="str">
        <x:f>I349</x:f>
        <x:v>打了三年激素，上周复查各项指标都正常，医生说继续维持就行。</x:v>
      </x:c>
      <x:c r="K349" s="58" t="inlineStr">
        <x:is>
          <x:t xml:space="preserve">无需改写</x:t>
        </x:is>
      </x:c>
      <x:c r="L349" s="59" t="inlineStr">
        <x:is>
          <x:t xml:space="preserve">激素</x:t>
        </x:is>
      </x:c>
      <x:c r="M349" s="59" t="inlineStr">
        <x:is>
          <x:t xml:space="preserve">当事人自述的治疗经历</x:t>
        </x:is>
      </x:c>
      <x:c r="N349" s="59" t="inlineStr">
        <x:is>
          <x:t xml:space="preserve">用药三年，上周复查各项指标都正常</x:t>
        </x:is>
      </x:c>
      <x:c r="O349" s="58" t="inlineStr">
        <x:is>
          <x:t xml:space="preserve">中</x:t>
        </x:is>
      </x:c>
      <x:c r="P349" s="58" t="inlineStr">
        <x:is>
          <x:t xml:space="preserve">否</x:t>
        </x:is>
      </x:c>
      <x:c r="Q349" s="59" t="n"/>
      <x:c r="R349" s="60" t="inlineStr">
        <x:is>
          <x:t xml:space="preserve">隔离·待确认</x:t>
        </x:is>
      </x:c>
      <x:c r="S349" s="60" t="inlineStr">
        <x:is>
          <x:t xml:space="preserve"/>
        </x:is>
      </x:c>
      <x:c r="T349" s="60" t="inlineStr">
        <x:is>
          <x:t xml:space="preserve">触发词不含性别编码——判断可能依赖世界知识而非句内信息</x:t>
        </x:is>
      </x:c>
    </x:row>
    <x:row r="350" s="37" customFormat="1" ht="15" customHeight="1">
      <x:c r="A350" s="55" t="inlineStr">
        <x:is>
          <x:t xml:space="preserve">NEG-0349</x:t>
        </x:is>
      </x:c>
      <x:c r="B350" s="55" t="inlineStr">
        <x:is>
          <x:t xml:space="preserve">v3</x:t>
        </x:is>
      </x:c>
      <x:c r="C350" s="56" t="inlineStr">
        <x:is>
          <x:t xml:space="preserve">二、生理与医学必需</x:t>
        </x:is>
      </x:c>
      <x:c r="D350" s="56" t="inlineStr">
        <x:is>
          <x:t xml:space="preserve">2.5 性别确认医疗与性健康</x:t>
        </x:is>
      </x:c>
      <x:c r="E350" s="56" t="inlineStr">
        <x:is>
          <x:t xml:space="preserve">公文与规章</x:t>
        </x:is>
      </x:c>
      <x:c r="F350" s="56" t="inlineStr">
        <x:is>
          <x:t xml:space="preserve">防控方案</x:t>
        </x:is>
      </x:c>
      <x:c r="G350" s="55" t="inlineStr">
        <x:is>
          <x:t xml:space="preserve">无</x:t>
        </x:is>
      </x:c>
      <x:c r="H350" s="55" t="str">
        <x:f>IF(LEN(I350)&lt;15,"短",IF(LEN(I350)&lt;=45,"中","长"))</x:f>
        <x:v>中</x:v>
      </x:c>
      <x:c r="I350" s="56" t="inlineStr">
        <x:is>
          <x:t xml:space="preserve">性病高危人群筛查应覆盖男男性行为者与性工作者。</x:t>
        </x:is>
      </x:c>
      <x:c r="J350" s="56" t="str">
        <x:f>I350</x:f>
        <x:v>性病高危人群筛查应覆盖男男性行为者与性工作者。</x:v>
      </x:c>
      <x:c r="K350" s="55" t="inlineStr">
        <x:is>
          <x:t xml:space="preserve">无需改写</x:t>
        </x:is>
      </x:c>
      <x:c r="L350" s="56" t="inlineStr">
        <x:is>
          <x:t xml:space="preserve">男男性行为者</x:t>
        </x:is>
      </x:c>
      <x:c r="M350" s="56" t="inlineStr">
        <x:is>
          <x:t xml:space="preserve">公共卫生的目标人群界定</x:t>
        </x:is>
      </x:c>
      <x:c r="N350" s="56" t="inlineStr">
        <x:is>
          <x:t xml:space="preserve">性病高危人群筛查应覆盖重点人群</x:t>
        </x:is>
      </x:c>
      <x:c r="O350" s="55" t="inlineStr">
        <x:is>
          <x:t xml:space="preserve">中</x:t>
        </x:is>
      </x:c>
      <x:c r="P350" s="55" t="inlineStr">
        <x:is>
          <x:t xml:space="preserve">否</x:t>
        </x:is>
      </x:c>
      <x:c r="Q350" s="56" t="inlineStr">
        <x:is>
          <x:t xml:space="preserve">模糊化会削弱干预针对性</x:t>
        </x:is>
      </x:c>
      <x:c r="R350" s="57" t="inlineStr">
        <x:is>
          <x:t xml:space="preserve">主集</x:t>
        </x:is>
      </x:c>
      <x:c r="S350" s="57" t="inlineStr">
        <x:is>
          <x:t xml:space="preserve">index</x:t>
        </x:is>
      </x:c>
      <x:c r="T350" s="57" t="inlineStr">
        <x:is>
          <x:t xml:space="preserve"/>
        </x:is>
      </x:c>
    </x:row>
    <x:row r="351" s="37" customFormat="1" ht="15" customHeight="1">
      <x:c r="A351" s="55" t="inlineStr">
        <x:is>
          <x:t xml:space="preserve">NEG-0350</x:t>
        </x:is>
      </x:c>
      <x:c r="B351" s="55" t="inlineStr">
        <x:is>
          <x:t xml:space="preserve">v3</x:t>
        </x:is>
      </x:c>
      <x:c r="C351" s="56" t="inlineStr">
        <x:is>
          <x:t xml:space="preserve">二、生理与医学必需</x:t>
        </x:is>
      </x:c>
      <x:c r="D351" s="56" t="inlineStr">
        <x:is>
          <x:t xml:space="preserve">2.6 鉴定与研究场景</x:t>
        </x:is>
      </x:c>
      <x:c r="E351" s="56" t="inlineStr">
        <x:is>
          <x:t xml:space="preserve">新闻报道</x:t>
        </x:is>
      </x:c>
      <x:c r="F351" s="56" t="inlineStr">
        <x:is>
          <x:t xml:space="preserve">事故报道</x:t>
        </x:is>
      </x:c>
      <x:c r="G351" s="55" t="inlineStr">
        <x:is>
          <x:t xml:space="preserve">无</x:t>
        </x:is>
      </x:c>
      <x:c r="H351" s="55" t="str">
        <x:f>IF(LEN(I351)&lt;15,"短",IF(LEN(I351)&lt;=45,"中","长"))</x:f>
        <x:v>中</x:v>
      </x:c>
      <x:c r="I351" s="56" t="inlineStr">
        <x:is>
          <x:t xml:space="preserve">搜救队根据遗留物品初步判断，失踪者中有一名女性。</x:t>
        </x:is>
      </x:c>
      <x:c r="J351" s="56" t="str">
        <x:f>I351</x:f>
        <x:v>搜救队根据遗留物品初步判断，失踪者中有一名女性。</x:v>
      </x:c>
      <x:c r="K351" s="55" t="inlineStr">
        <x:is>
          <x:t xml:space="preserve">无需改写</x:t>
        </x:is>
      </x:c>
      <x:c r="L351" s="56" t="inlineStr">
        <x:is>
          <x:t xml:space="preserve">女性</x:t>
        </x:is>
      </x:c>
      <x:c r="M351" s="56" t="inlineStr">
        <x:is>
          <x:t xml:space="preserve">搜救信息的关键线索</x:t>
        </x:is>
      </x:c>
      <x:c r="N351" s="56" t="inlineStr">
        <x:is>
          <x:t xml:space="preserve">搜救队根据遗留物品初步判断失踪者人数</x:t>
        </x:is>
      </x:c>
      <x:c r="O351" s="55" t="inlineStr">
        <x:is>
          <x:t xml:space="preserve">易</x:t>
        </x:is>
      </x:c>
      <x:c r="P351" s="55" t="inlineStr">
        <x:is>
          <x:t xml:space="preserve">否</x:t>
        </x:is>
      </x:c>
      <x:c r="Q351" s="56" t="n"/>
      <x:c r="R351" s="57" t="inlineStr">
        <x:is>
          <x:t xml:space="preserve">主集</x:t>
        </x:is>
      </x:c>
      <x:c r="S351" s="57" t="inlineStr">
        <x:is>
          <x:t xml:space="preserve">test</x:t>
        </x:is>
      </x:c>
      <x:c r="T351" s="57" t="inlineStr">
        <x:is>
          <x:t xml:space="preserve"/>
        </x:is>
      </x:c>
    </x:row>
    <x:row r="352" s="37" customFormat="1" ht="29.850000381469727" customHeight="1">
      <x:c r="A352" s="55" t="inlineStr">
        <x:is>
          <x:t xml:space="preserve">NEG-0351</x:t>
        </x:is>
      </x:c>
      <x:c r="B352" s="55" t="inlineStr">
        <x:is>
          <x:t xml:space="preserve">v3</x:t>
        </x:is>
      </x:c>
      <x:c r="C352" s="56" t="inlineStr">
        <x:is>
          <x:t xml:space="preserve">二、生理与医学必需</x:t>
        </x:is>
      </x:c>
      <x:c r="D352" s="56" t="inlineStr">
        <x:is>
          <x:t xml:space="preserve">2.6 鉴定与研究场景</x:t>
        </x:is>
      </x:c>
      <x:c r="E352" s="56" t="inlineStr">
        <x:is>
          <x:t xml:space="preserve">学术与调研</x:t>
        </x:is>
      </x:c>
      <x:c r="F352" s="56" t="inlineStr">
        <x:is>
          <x:t xml:space="preserve">研究设计</x:t>
        </x:is>
      </x:c>
      <x:c r="G352" s="55" t="inlineStr">
        <x:is>
          <x:t xml:space="preserve">无</x:t>
        </x:is>
      </x:c>
      <x:c r="H352" s="55" t="str">
        <x:f>IF(LEN(I352)&lt;15,"短",IF(LEN(I352)&lt;=45,"中","长"))</x:f>
        <x:v>中</x:v>
      </x:c>
      <x:c r="I352" s="56" t="inlineStr">
        <x:is>
          <x:t xml:space="preserve">样本量按男女各 200 例设计，以保证亚组分析的检验效能。</x:t>
        </x:is>
      </x:c>
      <x:c r="J352" s="56" t="str">
        <x:f>I352</x:f>
        <x:v>样本量按男女各 200 例设计，以保证亚组分析的检验效能。</x:v>
      </x:c>
      <x:c r="K352" s="55" t="inlineStr">
        <x:is>
          <x:t xml:space="preserve">无需改写</x:t>
        </x:is>
      </x:c>
      <x:c r="L352" s="56" t="inlineStr">
        <x:is>
          <x:t xml:space="preserve">男女</x:t>
        </x:is>
      </x:c>
      <x:c r="M352" s="56" t="inlineStr">
        <x:is>
          <x:t xml:space="preserve">抽样设计的方法学要求</x:t>
        </x:is>
      </x:c>
      <x:c r="N352" s="56" t="inlineStr">
        <x:is>
          <x:t xml:space="preserve">样本量按 400 例设计</x:t>
        </x:is>
      </x:c>
      <x:c r="O352" s="55" t="inlineStr">
        <x:is>
          <x:t xml:space="preserve">易</x:t>
        </x:is>
      </x:c>
      <x:c r="P352" s="55" t="inlineStr">
        <x:is>
          <x:t xml:space="preserve">否</x:t>
        </x:is>
      </x:c>
      <x:c r="Q352" s="56" t="n"/>
      <x:c r="R352" s="57" t="inlineStr">
        <x:is>
          <x:t xml:space="preserve">主集</x:t>
        </x:is>
      </x:c>
      <x:c r="S352" s="57" t="inlineStr">
        <x:is>
          <x:t xml:space="preserve">index</x:t>
        </x:is>
      </x:c>
      <x:c r="T352" s="57" t="inlineStr">
        <x:is>
          <x:t xml:space="preserve"/>
        </x:is>
      </x:c>
    </x:row>
    <x:row r="353" s="37" customFormat="1" ht="29.850000381469727" customHeight="1">
      <x:c r="A353" s="55" t="inlineStr">
        <x:is>
          <x:t xml:space="preserve">NEG-0352</x:t>
        </x:is>
      </x:c>
      <x:c r="B353" s="55" t="inlineStr">
        <x:is>
          <x:t xml:space="preserve">v3</x:t>
        </x:is>
      </x:c>
      <x:c r="C353" s="56" t="inlineStr">
        <x:is>
          <x:t xml:space="preserve">三、制度性与统计性区分</x:t>
        </x:is>
      </x:c>
      <x:c r="D353" s="56" t="inlineStr">
        <x:is>
          <x:t xml:space="preserve">3.1 法律与行政身份</x:t>
        </x:is>
      </x:c>
      <x:c r="E353" s="56" t="inlineStr">
        <x:is>
          <x:t xml:space="preserve">公文与规章</x:t>
        </x:is>
      </x:c>
      <x:c r="F353" s="56" t="inlineStr">
        <x:is>
          <x:t xml:space="preserve">政务客服</x:t>
        </x:is>
      </x:c>
      <x:c r="G353" s="55" t="inlineStr">
        <x:is>
          <x:t xml:space="preserve">无</x:t>
        </x:is>
      </x:c>
      <x:c r="H353" s="55" t="str">
        <x:f>IF(LEN(I353)&lt;15,"短",IF(LEN(I353)&lt;=45,"中","长"))</x:f>
        <x:v>中</x:v>
      </x:c>
      <x:c r="I353" s="56" t="inlineStr">
        <x:is>
          <x:t xml:space="preserve">办理时需携带户口本，上面显示的性别与身份证一致即可。</x:t>
        </x:is>
      </x:c>
      <x:c r="J353" s="56" t="str">
        <x:f>I353</x:f>
        <x:v>办理时需携带户口本，上面显示的性别与身份证一致即可。</x:v>
      </x:c>
      <x:c r="K353" s="55" t="inlineStr">
        <x:is>
          <x:t xml:space="preserve">无需改写</x:t>
        </x:is>
      </x:c>
      <x:c r="L353" s="56" t="inlineStr">
        <x:is>
          <x:t xml:space="preserve">性别</x:t>
        </x:is>
      </x:c>
      <x:c r="M353" s="56" t="inlineStr">
        <x:is>
          <x:t xml:space="preserve">材料核验规则</x:t>
        </x:is>
      </x:c>
      <x:c r="N353" s="56" t="inlineStr">
        <x:is>
          <x:t xml:space="preserve">办理时需携带户口本，信息一致即可</x:t>
        </x:is>
      </x:c>
      <x:c r="O353" s="55" t="inlineStr">
        <x:is>
          <x:t xml:space="preserve">中</x:t>
        </x:is>
      </x:c>
      <x:c r="P353" s="55" t="inlineStr">
        <x:is>
          <x:t xml:space="preserve">否</x:t>
        </x:is>
      </x:c>
      <x:c r="Q353" s="56" t="n"/>
      <x:c r="R353" s="57" t="inlineStr">
        <x:is>
          <x:t xml:space="preserve">主集</x:t>
        </x:is>
      </x:c>
      <x:c r="S353" s="57" t="inlineStr">
        <x:is>
          <x:t xml:space="preserve">dev</x:t>
        </x:is>
      </x:c>
      <x:c r="T353" s="57" t="inlineStr">
        <x:is>
          <x:t xml:space="preserve"/>
        </x:is>
      </x:c>
    </x:row>
    <x:row r="354" s="37" customFormat="1" ht="29.850000381469727" customHeight="1">
      <x:c r="A354" s="55" t="inlineStr">
        <x:is>
          <x:t xml:space="preserve">NEG-0353</x:t>
        </x:is>
      </x:c>
      <x:c r="B354" s="55" t="inlineStr">
        <x:is>
          <x:t xml:space="preserve">v3</x:t>
        </x:is>
      </x:c>
      <x:c r="C354" s="56" t="inlineStr">
        <x:is>
          <x:t xml:space="preserve">三、制度性与统计性区分</x:t>
        </x:is>
      </x:c>
      <x:c r="D354" s="56" t="inlineStr">
        <x:is>
          <x:t xml:space="preserve">3.1 法律与行政身份</x:t>
        </x:is>
      </x:c>
      <x:c r="E354" s="56" t="inlineStr">
        <x:is>
          <x:t xml:space="preserve">公文与规章</x:t>
        </x:is>
      </x:c>
      <x:c r="F354" s="56" t="inlineStr">
        <x:is>
          <x:t xml:space="preserve">档案查询</x:t>
        </x:is>
      </x:c>
      <x:c r="G354" s="55" t="inlineStr">
        <x:is>
          <x:t xml:space="preserve">无</x:t>
        </x:is>
      </x:c>
      <x:c r="H354" s="55" t="str">
        <x:f>IF(LEN(I354)&lt;15,"短",IF(LEN(I354)&lt;=45,"中","长"))</x:f>
        <x:v>中</x:v>
      </x:c>
      <x:c r="I354" s="56" t="inlineStr">
        <x:is>
          <x:t xml:space="preserve">婚姻登记档案显示，男方于 2018 年 3 月首次办理结婚登记。</x:t>
        </x:is>
      </x:c>
      <x:c r="J354" s="56" t="str">
        <x:f>I354</x:f>
        <x:v>婚姻登记档案显示，男方于 2018 年 3 月首次办理结婚登记。</x:v>
      </x:c>
      <x:c r="K354" s="55" t="inlineStr">
        <x:is>
          <x:t xml:space="preserve">无需改写</x:t>
        </x:is>
      </x:c>
      <x:c r="L354" s="56" t="inlineStr">
        <x:is>
          <x:t xml:space="preserve">男方</x:t>
        </x:is>
      </x:c>
      <x:c r="M354" s="56" t="inlineStr">
        <x:is>
          <x:t xml:space="preserve">登记档案记载事项</x:t>
        </x:is>
      </x:c>
      <x:c r="N354" s="56" t="inlineStr">
        <x:is>
          <x:t xml:space="preserve">档案显示一方于 2018 年 3 月首次登记</x:t>
        </x:is>
      </x:c>
      <x:c r="O354" s="55" t="inlineStr">
        <x:is>
          <x:t xml:space="preserve">中</x:t>
        </x:is>
      </x:c>
      <x:c r="P354" s="55" t="inlineStr">
        <x:is>
          <x:t xml:space="preserve">否</x:t>
        </x:is>
      </x:c>
      <x:c r="Q354" s="56" t="n"/>
      <x:c r="R354" s="57" t="inlineStr">
        <x:is>
          <x:t xml:space="preserve">主集</x:t>
        </x:is>
      </x:c>
      <x:c r="S354" s="57" t="inlineStr">
        <x:is>
          <x:t xml:space="preserve">test</x:t>
        </x:is>
      </x:c>
      <x:c r="T354" s="57" t="inlineStr">
        <x:is>
          <x:t xml:space="preserve"/>
        </x:is>
      </x:c>
    </x:row>
    <x:row r="355" s="37" customFormat="1" ht="29.850000381469727" customHeight="1">
      <x:c r="A355" s="55" t="inlineStr">
        <x:is>
          <x:t xml:space="preserve">NEG-0354</x:t>
        </x:is>
      </x:c>
      <x:c r="B355" s="55" t="inlineStr">
        <x:is>
          <x:t xml:space="preserve">v3</x:t>
        </x:is>
      </x:c>
      <x:c r="C355" s="56" t="inlineStr">
        <x:is>
          <x:t xml:space="preserve">三、制度性与统计性区分</x:t>
        </x:is>
      </x:c>
      <x:c r="D355" s="56" t="inlineStr">
        <x:is>
          <x:t xml:space="preserve">3.2 劳动与社会保障</x:t>
        </x:is>
      </x:c>
      <x:c r="E355" s="56" t="inlineStr">
        <x:is>
          <x:t xml:space="preserve">口语与私人交流</x:t>
        </x:is>
      </x:c>
      <x:c r="F355" s="56" t="inlineStr">
        <x:is>
          <x:t xml:space="preserve">同事群</x:t>
        </x:is>
      </x:c>
      <x:c r="G355" s="55" t="inlineStr">
        <x:is>
          <x:t xml:space="preserve">无</x:t>
        </x:is>
      </x:c>
      <x:c r="H355" s="55" t="str">
        <x:f>IF(LEN(I355)&lt;15,"短",IF(LEN(I355)&lt;=45,"中","长"))</x:f>
        <x:v>中</x:v>
      </x:c>
      <x:c r="I355" s="56" t="inlineStr">
        <x:is>
          <x:t xml:space="preserve">公司刚发通知，陪产假从十天涨到十五天，群里都在刷屏。</x:t>
        </x:is>
      </x:c>
      <x:c r="J355" s="56" t="str">
        <x:f>I355</x:f>
        <x:v>公司刚发通知，陪产假从十天涨到十五天，群里都在刷屏。</x:v>
      </x:c>
      <x:c r="K355" s="55" t="inlineStr">
        <x:is>
          <x:t xml:space="preserve">无需改写</x:t>
        </x:is>
      </x:c>
      <x:c r="L355" s="56" t="inlineStr">
        <x:is>
          <x:t xml:space="preserve">陪产假</x:t>
        </x:is>
      </x:c>
      <x:c r="M355" s="56" t="inlineStr">
        <x:is>
          <x:t xml:space="preserve">假期制度名称</x:t>
        </x:is>
      </x:c>
      <x:c r="N355" s="56" t="inlineStr">
        <x:is>
          <x:t xml:space="preserve">公司刚发通知，育儿假从十天涨到十五天</x:t>
        </x:is>
      </x:c>
      <x:c r="O355" s="55" t="inlineStr">
        <x:is>
          <x:t xml:space="preserve">中</x:t>
        </x:is>
      </x:c>
      <x:c r="P355" s="55" t="inlineStr">
        <x:is>
          <x:t xml:space="preserve">是</x:t>
        </x:is>
      </x:c>
      <x:c r="Q355" s="56" t="n"/>
      <x:c r="R355" s="57" t="inlineStr">
        <x:is>
          <x:t xml:space="preserve">主集</x:t>
        </x:is>
      </x:c>
      <x:c r="S355" s="57" t="inlineStr">
        <x:is>
          <x:t xml:space="preserve">dev</x:t>
        </x:is>
      </x:c>
      <x:c r="T355" s="57" t="inlineStr">
        <x:is>
          <x:t xml:space="preserve"/>
        </x:is>
      </x:c>
    </x:row>
    <x:row r="356" s="37" customFormat="1" ht="29.850000381469727" customHeight="1">
      <x:c r="A356" s="55" t="inlineStr">
        <x:is>
          <x:t xml:space="preserve">NEG-0355</x:t>
        </x:is>
      </x:c>
      <x:c r="B356" s="55" t="inlineStr">
        <x:is>
          <x:t xml:space="preserve">v3</x:t>
        </x:is>
      </x:c>
      <x:c r="C356" s="56" t="inlineStr">
        <x:is>
          <x:t xml:space="preserve">三、制度性与统计性区分</x:t>
        </x:is>
      </x:c>
      <x:c r="D356" s="56" t="inlineStr">
        <x:is>
          <x:t xml:space="preserve">3.2 劳动与社会保障</x:t>
        </x:is>
      </x:c>
      <x:c r="E356" s="56" t="inlineStr">
        <x:is>
          <x:t xml:space="preserve">公文与规章</x:t>
        </x:is>
      </x:c>
      <x:c r="F356" s="56" t="inlineStr">
        <x:is>
          <x:t xml:space="preserve">员工手册</x:t>
        </x:is>
      </x:c>
      <x:c r="G356" s="55" t="inlineStr">
        <x:is>
          <x:t xml:space="preserve">无</x:t>
        </x:is>
      </x:c>
      <x:c r="H356" s="55" t="str">
        <x:f>IF(LEN(I356)&lt;15,"短",IF(LEN(I356)&lt;=45,"中","长"))</x:f>
        <x:v>中</x:v>
      </x:c>
      <x:c r="I356" s="56" t="inlineStr">
        <x:is>
          <x:t xml:space="preserve">哺乳期同事每天可享受一小时哺乳时间，可与午休合并使用。</x:t>
        </x:is>
      </x:c>
      <x:c r="J356" s="56" t="str">
        <x:f>I356</x:f>
        <x:v>哺乳期同事每天可享受一小时哺乳时间，可与午休合并使用。</x:v>
      </x:c>
      <x:c r="K356" s="55" t="inlineStr">
        <x:is>
          <x:t xml:space="preserve">无需改写</x:t>
        </x:is>
      </x:c>
      <x:c r="L356" s="56" t="inlineStr">
        <x:is>
          <x:t xml:space="preserve">哺乳期/哺乳时间</x:t>
        </x:is>
      </x:c>
      <x:c r="M356" s="56" t="inlineStr">
        <x:is>
          <x:t xml:space="preserve">法定权益名称</x:t>
        </x:is>
      </x:c>
      <x:c r="N356" s="56" t="inlineStr">
        <x:is>
          <x:t xml:space="preserve">相关同事每天可享受一小时弹性时间</x:t>
        </x:is>
      </x:c>
      <x:c r="O356" s="55" t="inlineStr">
        <x:is>
          <x:t xml:space="preserve">中</x:t>
        </x:is>
      </x:c>
      <x:c r="P356" s="55" t="inlineStr">
        <x:is>
          <x:t xml:space="preserve">否</x:t>
        </x:is>
      </x:c>
      <x:c r="Q356" s="56" t="n"/>
      <x:c r="R356" s="57" t="inlineStr">
        <x:is>
          <x:t xml:space="preserve">主集</x:t>
        </x:is>
      </x:c>
      <x:c r="S356" s="57" t="inlineStr">
        <x:is>
          <x:t xml:space="preserve">dev</x:t>
        </x:is>
      </x:c>
      <x:c r="T356" s="57" t="inlineStr">
        <x:is>
          <x:t xml:space="preserve"/>
        </x:is>
      </x:c>
    </x:row>
    <x:row r="357" s="37" customFormat="1" ht="15" customHeight="1">
      <x:c r="A357" s="55" t="inlineStr">
        <x:is>
          <x:t xml:space="preserve">NEG-0356</x:t>
        </x:is>
      </x:c>
      <x:c r="B357" s="55" t="inlineStr">
        <x:is>
          <x:t xml:space="preserve">v3</x:t>
        </x:is>
      </x:c>
      <x:c r="C357" s="56" t="inlineStr">
        <x:is>
          <x:t xml:space="preserve">三、制度性与统计性区分</x:t>
        </x:is>
      </x:c>
      <x:c r="D357" s="56" t="inlineStr">
        <x:is>
          <x:t xml:space="preserve">3.3 体育竞技分级</x:t>
        </x:is>
      </x:c>
      <x:c r="E357" s="56" t="inlineStr">
        <x:is>
          <x:t xml:space="preserve">社交与社区</x:t>
        </x:is>
      </x:c>
      <x:c r="F357" s="56" t="inlineStr">
        <x:is>
          <x:t xml:space="preserve">观赛讨论</x:t>
        </x:is>
      </x:c>
      <x:c r="G357" s="55" t="inlineStr">
        <x:is>
          <x:t xml:space="preserve">无</x:t>
        </x:is>
      </x:c>
      <x:c r="H357" s="55" t="str">
        <x:f>IF(LEN(I357)&lt;15,"短",IF(LEN(I357)&lt;=45,"中","长"))</x:f>
        <x:v>中</x:v>
      </x:c>
      <x:c r="I357" s="56" t="inlineStr">
        <x:is>
          <x:t xml:space="preserve">女子举重 49 公斤级那场太精彩了，最后一把直接翻盘。</x:t>
        </x:is>
      </x:c>
      <x:c r="J357" s="56" t="str">
        <x:f>I357</x:f>
        <x:v>女子举重 49 公斤级那场太精彩了，最后一把直接翻盘。</x:v>
      </x:c>
      <x:c r="K357" s="55" t="inlineStr">
        <x:is>
          <x:t xml:space="preserve">无需改写</x:t>
        </x:is>
      </x:c>
      <x:c r="L357" s="56" t="inlineStr">
        <x:is>
          <x:t xml:space="preserve">女子</x:t>
        </x:is>
      </x:c>
      <x:c r="M357" s="56" t="inlineStr">
        <x:is>
          <x:t xml:space="preserve">项目正式分级</x:t>
        </x:is>
      </x:c>
      <x:c r="N357" s="56" t="inlineStr">
        <x:is>
          <x:t xml:space="preserve">举重 49 公斤级那场太精彩了</x:t>
        </x:is>
      </x:c>
      <x:c r="O357" s="55" t="inlineStr">
        <x:is>
          <x:t xml:space="preserve">易</x:t>
        </x:is>
      </x:c>
      <x:c r="P357" s="55" t="inlineStr">
        <x:is>
          <x:t xml:space="preserve">否</x:t>
        </x:is>
      </x:c>
      <x:c r="Q357" s="56" t="n"/>
      <x:c r="R357" s="57" t="inlineStr">
        <x:is>
          <x:t xml:space="preserve">主集</x:t>
        </x:is>
      </x:c>
      <x:c r="S357" s="57" t="inlineStr">
        <x:is>
          <x:t xml:space="preserve">index</x:t>
        </x:is>
      </x:c>
      <x:c r="T357" s="57" t="inlineStr">
        <x:is>
          <x:t xml:space="preserve"/>
        </x:is>
      </x:c>
    </x:row>
    <x:row r="358" s="37" customFormat="1" ht="15" customHeight="1">
      <x:c r="A358" s="55" t="inlineStr">
        <x:is>
          <x:t xml:space="preserve">NEG-0357</x:t>
        </x:is>
      </x:c>
      <x:c r="B358" s="55" t="inlineStr">
        <x:is>
          <x:t xml:space="preserve">v3</x:t>
        </x:is>
      </x:c>
      <x:c r="C358" s="56" t="inlineStr">
        <x:is>
          <x:t xml:space="preserve">三、制度性与统计性区分</x:t>
        </x:is>
      </x:c>
      <x:c r="D358" s="56" t="inlineStr">
        <x:is>
          <x:t xml:space="preserve">3.3 体育竞技分级</x:t>
        </x:is>
      </x:c>
      <x:c r="E358" s="56" t="inlineStr">
        <x:is>
          <x:t xml:space="preserve">公文与规章</x:t>
        </x:is>
      </x:c>
      <x:c r="F358" s="56" t="inlineStr">
        <x:is>
          <x:t xml:space="preserve">商品客服</x:t>
        </x:is>
      </x:c>
      <x:c r="G358" s="55" t="inlineStr">
        <x:is>
          <x:t xml:space="preserve">无</x:t>
        </x:is>
      </x:c>
      <x:c r="H358" s="55" t="str">
        <x:f>IF(LEN(I358)&lt;15,"短",IF(LEN(I358)&lt;=45,"中","长"))</x:f>
        <x:v>中</x:v>
      </x:c>
      <x:c r="I358" s="56" t="inlineStr">
        <x:is>
          <x:t xml:space="preserve">这双跑鞋分男款女款，楦型不一样，不能按尺码直接换。</x:t>
        </x:is>
      </x:c>
      <x:c r="J358" s="56" t="str">
        <x:f>I358</x:f>
        <x:v>这双跑鞋分男款女款，楦型不一样，不能按尺码直接换。</x:v>
      </x:c>
      <x:c r="K358" s="55" t="inlineStr">
        <x:is>
          <x:t xml:space="preserve">无需改写</x:t>
        </x:is>
      </x:c>
      <x:c r="L358" s="56" t="inlineStr">
        <x:is>
          <x:t xml:space="preserve">男款/女款</x:t>
        </x:is>
      </x:c>
      <x:c r="M358" s="56" t="inlineStr">
        <x:is>
          <x:t xml:space="preserve">鞋楦分型的产品事实</x:t>
        </x:is>
      </x:c>
      <x:c r="N358" s="56" t="inlineStr">
        <x:is>
          <x:t xml:space="preserve">这双跑鞋有两种版型，不能按尺码直接换</x:t>
        </x:is>
      </x:c>
      <x:c r="O358" s="55" t="inlineStr">
        <x:is>
          <x:t xml:space="preserve">中</x:t>
        </x:is>
      </x:c>
      <x:c r="P358" s="55" t="inlineStr">
        <x:is>
          <x:t xml:space="preserve">否</x:t>
        </x:is>
      </x:c>
      <x:c r="Q358" s="56" t="n"/>
      <x:c r="R358" s="57" t="inlineStr">
        <x:is>
          <x:t xml:space="preserve">主集</x:t>
        </x:is>
      </x:c>
      <x:c r="S358" s="57" t="inlineStr">
        <x:is>
          <x:t xml:space="preserve">test</x:t>
        </x:is>
      </x:c>
      <x:c r="T358" s="57" t="inlineStr">
        <x:is>
          <x:t xml:space="preserve"/>
        </x:is>
      </x:c>
    </x:row>
    <x:row r="359" s="37" customFormat="1" ht="29.850000381469727" customHeight="1">
      <x:c r="A359" s="55" t="inlineStr">
        <x:is>
          <x:t xml:space="preserve">NEG-0358</x:t>
        </x:is>
      </x:c>
      <x:c r="B359" s="55" t="inlineStr">
        <x:is>
          <x:t xml:space="preserve">v3</x:t>
        </x:is>
      </x:c>
      <x:c r="C359" s="56" t="inlineStr">
        <x:is>
          <x:t xml:space="preserve">三、制度性与统计性区分</x:t>
        </x:is>
      </x:c>
      <x:c r="D359" s="56" t="inlineStr">
        <x:is>
          <x:t xml:space="preserve">3.4 空间与设施</x:t>
        </x:is>
      </x:c>
      <x:c r="E359" s="56" t="inlineStr">
        <x:is>
          <x:t xml:space="preserve">公文与规章</x:t>
        </x:is>
      </x:c>
      <x:c r="F359" s="56" t="inlineStr">
        <x:is>
          <x:t xml:space="preserve">门店客服</x:t>
        </x:is>
      </x:c>
      <x:c r="G359" s="55" t="inlineStr">
        <x:is>
          <x:t xml:space="preserve">无</x:t>
        </x:is>
      </x:c>
      <x:c r="H359" s="55" t="str">
        <x:f>IF(LEN(I359)&lt;15,"短",IF(LEN(I359)&lt;=45,"中","长"))</x:f>
        <x:v>中</x:v>
      </x:c>
      <x:c r="I359" s="56" t="inlineStr">
        <x:is>
          <x:t xml:space="preserve">本店三楼设有母婴室和女性休息区，需要的话前台可以指引。</x:t>
        </x:is>
      </x:c>
      <x:c r="J359" s="56" t="str">
        <x:f>I359</x:f>
        <x:v>本店三楼设有母婴室和女性休息区，需要的话前台可以指引。</x:v>
      </x:c>
      <x:c r="K359" s="55" t="inlineStr">
        <x:is>
          <x:t xml:space="preserve">无需改写</x:t>
        </x:is>
      </x:c>
      <x:c r="L359" s="56" t="inlineStr">
        <x:is>
          <x:t xml:space="preserve">母婴室/女性休息区</x:t>
        </x:is>
      </x:c>
      <x:c r="M359" s="56" t="inlineStr">
        <x:is>
          <x:t xml:space="preserve">设施名称与导引信息</x:t>
        </x:is>
      </x:c>
      <x:c r="N359" s="56" t="inlineStr">
        <x:is>
          <x:t xml:space="preserve">本店三楼设有育婴室和休息区</x:t>
        </x:is>
      </x:c>
      <x:c r="O359" s="55" t="inlineStr">
        <x:is>
          <x:t xml:space="preserve">中</x:t>
        </x:is>
      </x:c>
      <x:c r="P359" s="55" t="inlineStr">
        <x:is>
          <x:t xml:space="preserve">是</x:t>
        </x:is>
      </x:c>
      <x:c r="Q359" s="56" t="n"/>
      <x:c r="R359" s="57" t="inlineStr">
        <x:is>
          <x:t xml:space="preserve">主集</x:t>
        </x:is>
      </x:c>
      <x:c r="S359" s="57" t="inlineStr">
        <x:is>
          <x:t xml:space="preserve">dev</x:t>
        </x:is>
      </x:c>
      <x:c r="T359" s="57" t="inlineStr">
        <x:is>
          <x:t xml:space="preserve"/>
        </x:is>
      </x:c>
    </x:row>
    <x:row r="360" s="37" customFormat="1" ht="15" customHeight="1">
      <x:c r="A360" s="55" t="inlineStr">
        <x:is>
          <x:t xml:space="preserve">NEG-0359</x:t>
        </x:is>
      </x:c>
      <x:c r="B360" s="55" t="inlineStr">
        <x:is>
          <x:t xml:space="preserve">v3</x:t>
        </x:is>
      </x:c>
      <x:c r="C360" s="56" t="inlineStr">
        <x:is>
          <x:t xml:space="preserve">三、制度性与统计性区分</x:t>
        </x:is>
      </x:c>
      <x:c r="D360" s="56" t="inlineStr">
        <x:is>
          <x:t xml:space="preserve">3.4 空间与设施</x:t>
        </x:is>
      </x:c>
      <x:c r="E360" s="56" t="inlineStr">
        <x:is>
          <x:t xml:space="preserve">社交与社区</x:t>
        </x:is>
      </x:c>
      <x:c r="F360" s="56" t="inlineStr">
        <x:is>
          <x:t xml:space="preserve">投诉留言</x:t>
        </x:is>
      </x:c>
      <x:c r="G360" s="55" t="inlineStr">
        <x:is>
          <x:t xml:space="preserve">无</x:t>
        </x:is>
      </x:c>
      <x:c r="H360" s="55" t="str">
        <x:f>IF(LEN(I360)&lt;15,"短",IF(LEN(I360)&lt;=45,"中","长"))</x:f>
        <x:v>中</x:v>
      </x:c>
      <x:c r="I360" s="56" t="inlineStr">
        <x:is>
          <x:t xml:space="preserve">健身房女更衣室的吹风机坏了半个月，反映了也没人修。</x:t>
        </x:is>
      </x:c>
      <x:c r="J360" s="56" t="str">
        <x:f>I360</x:f>
        <x:v>健身房女更衣室的吹风机坏了半个月，反映了也没人修。</x:v>
      </x:c>
      <x:c r="K360" s="55" t="inlineStr">
        <x:is>
          <x:t xml:space="preserve">无需改写</x:t>
        </x:is>
      </x:c>
      <x:c r="L360" s="56" t="inlineStr">
        <x:is>
          <x:t xml:space="preserve">女更衣室</x:t>
        </x:is>
      </x:c>
      <x:c r="M360" s="56" t="inlineStr">
        <x:is>
          <x:t xml:space="preserve">投诉指向的具体位置</x:t>
        </x:is>
      </x:c>
      <x:c r="N360" s="56" t="inlineStr">
        <x:is>
          <x:t xml:space="preserve">健身房更衣室的吹风机坏了半个月</x:t>
        </x:is>
      </x:c>
      <x:c r="O360" s="55" t="inlineStr">
        <x:is>
          <x:t xml:space="preserve">易</x:t>
        </x:is>
      </x:c>
      <x:c r="P360" s="55" t="inlineStr">
        <x:is>
          <x:t xml:space="preserve">是</x:t>
        </x:is>
      </x:c>
      <x:c r="Q360" s="56" t="n"/>
      <x:c r="R360" s="57" t="inlineStr">
        <x:is>
          <x:t xml:space="preserve">主集</x:t>
        </x:is>
      </x:c>
      <x:c r="S360" s="57" t="inlineStr">
        <x:is>
          <x:t xml:space="preserve">index</x:t>
        </x:is>
      </x:c>
      <x:c r="T360" s="57" t="inlineStr">
        <x:is>
          <x:t xml:space="preserve"/>
        </x:is>
      </x:c>
    </x:row>
    <x:row r="361" s="37" customFormat="1" ht="29.850000381469727" customHeight="1">
      <x:c r="A361" s="55" t="inlineStr">
        <x:is>
          <x:t xml:space="preserve">NEG-0360</x:t>
        </x:is>
      </x:c>
      <x:c r="B361" s="55" t="inlineStr">
        <x:is>
          <x:t xml:space="preserve">v3</x:t>
        </x:is>
      </x:c>
      <x:c r="C361" s="56" t="inlineStr">
        <x:is>
          <x:t xml:space="preserve">三、制度性与统计性区分</x:t>
        </x:is>
      </x:c>
      <x:c r="D361" s="56" t="inlineStr">
        <x:is>
          <x:t xml:space="preserve">3.5 统计、监测与研究</x:t>
        </x:is>
      </x:c>
      <x:c r="E361" s="56" t="inlineStr">
        <x:is>
          <x:t xml:space="preserve">商业与产品</x:t>
        </x:is>
      </x:c>
      <x:c r="F361" s="56" t="inlineStr">
        <x:is>
          <x:t xml:space="preserve">消费报告</x:t>
        </x:is>
      </x:c>
      <x:c r="G361" s="55" t="inlineStr">
        <x:is>
          <x:t xml:space="preserve">无</x:t>
        </x:is>
      </x:c>
      <x:c r="H361" s="55" t="str">
        <x:f>IF(LEN(I361)&lt;15,"短",IF(LEN(I361)&lt;=45,"中","长"))</x:f>
        <x:v>中</x:v>
      </x:c>
      <x:c r="I361" s="56" t="inlineStr">
        <x:is>
          <x:t xml:space="preserve">该品类购买者中女性占 78%，但赠礼场景下男性占比明显上升。</x:t>
        </x:is>
      </x:c>
      <x:c r="J361" s="56" t="str">
        <x:f>I361</x:f>
        <x:v>该品类购买者中女性占 78%，但赠礼场景下男性占比明显上升。</x:v>
      </x:c>
      <x:c r="K361" s="55" t="inlineStr">
        <x:is>
          <x:t xml:space="preserve">无需改写</x:t>
        </x:is>
      </x:c>
      <x:c r="L361" s="56" t="inlineStr">
        <x:is>
          <x:t xml:space="preserve">女性/男性</x:t>
        </x:is>
      </x:c>
      <x:c r="M361" s="56" t="inlineStr">
        <x:is>
          <x:t xml:space="preserve">消费结构分析的核心数据</x:t>
        </x:is>
      </x:c>
      <x:c r="N361" s="56" t="inlineStr">
        <x:is>
          <x:t xml:space="preserve">该品类购买者结构在赠礼场景下明显变化</x:t>
        </x:is>
      </x:c>
      <x:c r="O361" s="55" t="inlineStr">
        <x:is>
          <x:t xml:space="preserve">中</x:t>
        </x:is>
      </x:c>
      <x:c r="P361" s="55" t="inlineStr">
        <x:is>
          <x:t xml:space="preserve">否</x:t>
        </x:is>
      </x:c>
      <x:c r="Q361" s="56" t="n"/>
      <x:c r="R361" s="57" t="inlineStr">
        <x:is>
          <x:t xml:space="preserve">主集</x:t>
        </x:is>
      </x:c>
      <x:c r="S361" s="57" t="inlineStr">
        <x:is>
          <x:t xml:space="preserve">dev</x:t>
        </x:is>
      </x:c>
      <x:c r="T361" s="57" t="inlineStr">
        <x:is>
          <x:t xml:space="preserve"/>
        </x:is>
      </x:c>
    </x:row>
    <x:row r="362" s="37" customFormat="1" ht="29.850000381469727" customHeight="1">
      <x:c r="A362" s="55" t="inlineStr">
        <x:is>
          <x:t xml:space="preserve">NEG-0361</x:t>
        </x:is>
      </x:c>
      <x:c r="B362" s="55" t="inlineStr">
        <x:is>
          <x:t xml:space="preserve">v3</x:t>
        </x:is>
      </x:c>
      <x:c r="C362" s="56" t="inlineStr">
        <x:is>
          <x:t xml:space="preserve">三、制度性与统计性区分</x:t>
        </x:is>
      </x:c>
      <x:c r="D362" s="56" t="inlineStr">
        <x:is>
          <x:t xml:space="preserve">3.5 统计、监测与研究</x:t>
        </x:is>
      </x:c>
      <x:c r="E362" s="56" t="inlineStr">
        <x:is>
          <x:t xml:space="preserve">新闻报道</x:t>
        </x:is>
      </x:c>
      <x:c r="F362" s="56" t="inlineStr">
        <x:is>
          <x:t xml:space="preserve">教育新闻</x:t>
        </x:is>
      </x:c>
      <x:c r="G362" s="55" t="inlineStr">
        <x:is>
          <x:t xml:space="preserve">无</x:t>
        </x:is>
      </x:c>
      <x:c r="H362" s="55" t="str">
        <x:f>IF(LEN(I362)&lt;15,"短",IF(LEN(I362)&lt;=45,"中","长"))</x:f>
        <x:v>中</x:v>
      </x:c>
      <x:c r="I362" s="56" t="inlineStr">
        <x:is>
          <x:t xml:space="preserve">中小学教师队伍中女性比例已达 71%，管理岗位则为 43%。</x:t>
        </x:is>
      </x:c>
      <x:c r="J362" s="56" t="str">
        <x:f>I362</x:f>
        <x:v>中小学教师队伍中女性比例已达 71%，管理岗位则为 43%。</x:v>
      </x:c>
      <x:c r="K362" s="55" t="inlineStr">
        <x:is>
          <x:t xml:space="preserve">无需改写</x:t>
        </x:is>
      </x:c>
      <x:c r="L362" s="56" t="inlineStr">
        <x:is>
          <x:t xml:space="preserve">女性比例</x:t>
        </x:is>
      </x:c>
      <x:c r="M362" s="56" t="inlineStr">
        <x:is>
          <x:t xml:space="preserve">职业性别结构数据</x:t>
        </x:is>
      </x:c>
      <x:c r="N362" s="56" t="inlineStr">
        <x:is>
          <x:t xml:space="preserve">中小学教师队伍结构与管理岗位存在差异</x:t>
        </x:is>
      </x:c>
      <x:c r="O362" s="55" t="inlineStr">
        <x:is>
          <x:t xml:space="preserve">中</x:t>
        </x:is>
      </x:c>
      <x:c r="P362" s="55" t="inlineStr">
        <x:is>
          <x:t xml:space="preserve">否</x:t>
        </x:is>
      </x:c>
      <x:c r="Q362" s="56" t="n"/>
      <x:c r="R362" s="57" t="inlineStr">
        <x:is>
          <x:t xml:space="preserve">主集</x:t>
        </x:is>
      </x:c>
      <x:c r="S362" s="57" t="inlineStr">
        <x:is>
          <x:t xml:space="preserve">index</x:t>
        </x:is>
      </x:c>
      <x:c r="T362" s="57" t="inlineStr">
        <x:is>
          <x:t xml:space="preserve"/>
        </x:is>
      </x:c>
    </x:row>
    <x:row r="363" s="37" customFormat="1" ht="29.850000381469727" customHeight="1">
      <x:c r="A363" s="55" t="inlineStr">
        <x:is>
          <x:t xml:space="preserve">NEG-0362</x:t>
        </x:is>
      </x:c>
      <x:c r="B363" s="55" t="inlineStr">
        <x:is>
          <x:t xml:space="preserve">v3</x:t>
        </x:is>
      </x:c>
      <x:c r="C363" s="56" t="inlineStr">
        <x:is>
          <x:t xml:space="preserve">三、制度性与统计性区分</x:t>
        </x:is>
      </x:c>
      <x:c r="D363" s="56" t="inlineStr">
        <x:is>
          <x:t xml:space="preserve">3.6 平权、保护与专项服务</x:t>
        </x:is>
      </x:c>
      <x:c r="E363" s="56" t="inlineStr">
        <x:is>
          <x:t xml:space="preserve">新闻报道</x:t>
        </x:is>
      </x:c>
      <x:c r="F363" s="56" t="inlineStr">
        <x:is>
          <x:t xml:space="preserve">赛事公告</x:t>
        </x:is>
      </x:c>
      <x:c r="G363" s="55" t="inlineStr">
        <x:is>
          <x:t xml:space="preserve">无</x:t>
        </x:is>
      </x:c>
      <x:c r="H363" s="55" t="str">
        <x:f>IF(LEN(I363)&lt;15,"短",IF(LEN(I363)&lt;=45,"中","长"))</x:f>
        <x:v>中</x:v>
      </x:c>
      <x:c r="I363" s="56" t="inlineStr">
        <x:is>
          <x:t xml:space="preserve">本次评选设置女性创业者专项名额十个，与通用名额分开评审。</x:t>
        </x:is>
      </x:c>
      <x:c r="J363" s="56" t="str">
        <x:f>I363</x:f>
        <x:v>本次评选设置女性创业者专项名额十个，与通用名额分开评审。</x:v>
      </x:c>
      <x:c r="K363" s="55" t="inlineStr">
        <x:is>
          <x:t xml:space="preserve">无需改写</x:t>
        </x:is>
      </x:c>
      <x:c r="L363" s="56" t="inlineStr">
        <x:is>
          <x:t xml:space="preserve">女性创业者</x:t>
        </x:is>
      </x:c>
      <x:c r="M363" s="56" t="inlineStr">
        <x:is>
          <x:t xml:space="preserve">专项名额的准入条件</x:t>
        </x:is>
      </x:c>
      <x:c r="N363" s="56" t="inlineStr">
        <x:is>
          <x:t xml:space="preserve">本次评选设置专项名额十个</x:t>
        </x:is>
      </x:c>
      <x:c r="O363" s="55" t="inlineStr">
        <x:is>
          <x:t xml:space="preserve">难</x:t>
        </x:is>
      </x:c>
      <x:c r="P363" s="55" t="inlineStr">
        <x:is>
          <x:t xml:space="preserve">否</x:t>
        </x:is>
      </x:c>
      <x:c r="Q363" s="56" t="n"/>
      <x:c r="R363" s="57" t="inlineStr">
        <x:is>
          <x:t xml:space="preserve">主集</x:t>
        </x:is>
      </x:c>
      <x:c r="S363" s="57" t="inlineStr">
        <x:is>
          <x:t xml:space="preserve">index</x:t>
        </x:is>
      </x:c>
      <x:c r="T363" s="57" t="inlineStr">
        <x:is>
          <x:t xml:space="preserve"/>
        </x:is>
      </x:c>
    </x:row>
    <x:row r="364" s="37" customFormat="1" ht="29.850000381469727" customHeight="1">
      <x:c r="A364" s="55" t="inlineStr">
        <x:is>
          <x:t xml:space="preserve">NEG-0363</x:t>
        </x:is>
      </x:c>
      <x:c r="B364" s="55" t="inlineStr">
        <x:is>
          <x:t xml:space="preserve">v3</x:t>
        </x:is>
      </x:c>
      <x:c r="C364" s="56" t="inlineStr">
        <x:is>
          <x:t xml:space="preserve">三、制度性与统计性区分</x:t>
        </x:is>
      </x:c>
      <x:c r="D364" s="56" t="inlineStr">
        <x:is>
          <x:t xml:space="preserve">3.6 平权、保护与专项服务</x:t>
        </x:is>
      </x:c>
      <x:c r="E364" s="56" t="inlineStr">
        <x:is>
          <x:t xml:space="preserve">公文与规章</x:t>
        </x:is>
      </x:c>
      <x:c r="F364" s="56" t="inlineStr">
        <x:is>
          <x:t xml:space="preserve">工会文件</x:t>
        </x:is>
      </x:c>
      <x:c r="G364" s="55" t="inlineStr">
        <x:is>
          <x:t xml:space="preserve">无</x:t>
        </x:is>
      </x:c>
      <x:c r="H364" s="55" t="str">
        <x:f>IF(LEN(I364)&lt;15,"短",IF(LEN(I364)&lt;=45,"中","长"))</x:f>
        <x:v>中</x:v>
      </x:c>
      <x:c r="I364" s="56" t="inlineStr">
        <x:is>
          <x:t xml:space="preserve">各单位应确保职工代表大会中女性代表比例不低于女职工比例。</x:t>
        </x:is>
      </x:c>
      <x:c r="J364" s="56" t="str">
        <x:f>I364</x:f>
        <x:v>各单位应确保职工代表大会中女性代表比例不低于女职工比例。</x:v>
      </x:c>
      <x:c r="K364" s="55" t="inlineStr">
        <x:is>
          <x:t xml:space="preserve">无需改写</x:t>
        </x:is>
      </x:c>
      <x:c r="L364" s="56" t="inlineStr">
        <x:is>
          <x:t xml:space="preserve">女性代表/女职工</x:t>
        </x:is>
      </x:c>
      <x:c r="M364" s="56" t="inlineStr">
        <x:is>
          <x:t xml:space="preserve">代表性保障条款</x:t>
        </x:is>
      </x:c>
      <x:c r="N364" s="56" t="inlineStr">
        <x:is>
          <x:t xml:space="preserve">各单位应确保职工代表大会的代表结构合理</x:t>
        </x:is>
      </x:c>
      <x:c r="O364" s="55" t="inlineStr">
        <x:is>
          <x:t xml:space="preserve">难</x:t>
        </x:is>
      </x:c>
      <x:c r="P364" s="55" t="inlineStr">
        <x:is>
          <x:t xml:space="preserve">否</x:t>
        </x:is>
      </x:c>
      <x:c r="Q364" s="56" t="n"/>
      <x:c r="R364" s="57" t="inlineStr">
        <x:is>
          <x:t xml:space="preserve">主集</x:t>
        </x:is>
      </x:c>
      <x:c r="S364" s="57" t="inlineStr">
        <x:is>
          <x:t xml:space="preserve">index</x:t>
        </x:is>
      </x:c>
      <x:c r="T364" s="57" t="inlineStr">
        <x:is>
          <x:t xml:space="preserve"/>
        </x:is>
      </x:c>
    </x:row>
    <x:row r="365" s="37" customFormat="1" ht="29.850000381469727" customHeight="1">
      <x:c r="A365" s="55" t="inlineStr">
        <x:is>
          <x:t xml:space="preserve">NEG-0364</x:t>
        </x:is>
      </x:c>
      <x:c r="B365" s="55" t="inlineStr">
        <x:is>
          <x:t xml:space="preserve">v3</x:t>
        </x:is>
      </x:c>
      <x:c r="C365" s="56" t="inlineStr">
        <x:is>
          <x:t xml:space="preserve">三、制度性与统计性区分</x:t>
        </x:is>
      </x:c>
      <x:c r="D365" s="56" t="inlineStr">
        <x:is>
          <x:t xml:space="preserve">3.7 宗教与文化传统实践</x:t>
        </x:is>
      </x:c>
      <x:c r="E365" s="56" t="inlineStr">
        <x:is>
          <x:t xml:space="preserve">口语与私人交流</x:t>
        </x:is>
      </x:c>
      <x:c r="F365" s="56" t="inlineStr">
        <x:is>
          <x:t xml:space="preserve">家乡记忆</x:t>
        </x:is>
      </x:c>
      <x:c r="G365" s="55" t="inlineStr">
        <x:is>
          <x:t xml:space="preserve">无</x:t>
        </x:is>
      </x:c>
      <x:c r="H365" s="55" t="str">
        <x:f>IF(LEN(I365)&lt;15,"短",IF(LEN(I365)&lt;=45,"中","长"))</x:f>
        <x:v>中</x:v>
      </x:c>
      <x:c r="I365" s="56" t="inlineStr">
        <x:is>
          <x:t xml:space="preserve">我们老家守夜，以前男的守到十二点，女的四点起来做饭，这几年才改。</x:t>
        </x:is>
      </x:c>
      <x:c r="J365" s="56" t="str">
        <x:f>I365</x:f>
        <x:v>我们老家守夜，以前男的守到十二点，女的四点起来做饭，这几年才改。</x:v>
      </x:c>
      <x:c r="K365" s="55" t="inlineStr">
        <x:is>
          <x:t xml:space="preserve">无需改写</x:t>
        </x:is>
      </x:c>
      <x:c r="L365" s="56" t="inlineStr">
        <x:is>
          <x:t xml:space="preserve">男的/女的</x:t>
        </x:is>
      </x:c>
      <x:c r="M365" s="56" t="inlineStr">
        <x:is>
          <x:t xml:space="preserve">对旧俗的回忆性描述，且已说明变化</x:t>
        </x:is>
      </x:c>
      <x:c r="N365" s="56" t="inlineStr">
        <x:is>
          <x:t xml:space="preserve">我们老家守夜以前分工不同，这几年才改</x:t>
        </x:is>
      </x:c>
      <x:c r="O365" s="55" t="inlineStr">
        <x:is>
          <x:t xml:space="preserve">中</x:t>
        </x:is>
      </x:c>
      <x:c r="P365" s="55" t="inlineStr">
        <x:is>
          <x:t xml:space="preserve">否</x:t>
        </x:is>
      </x:c>
      <x:c r="Q365" s="56" t="n"/>
      <x:c r="R365" s="57" t="inlineStr">
        <x:is>
          <x:t xml:space="preserve">主集</x:t>
        </x:is>
      </x:c>
      <x:c r="S365" s="57" t="inlineStr">
        <x:is>
          <x:t xml:space="preserve">index</x:t>
        </x:is>
      </x:c>
      <x:c r="T365" s="57" t="inlineStr">
        <x:is>
          <x:t xml:space="preserve"/>
        </x:is>
      </x:c>
    </x:row>
    <x:row r="366" s="37" customFormat="1" ht="15" customHeight="1">
      <x:c r="A366" s="55" t="inlineStr">
        <x:is>
          <x:t xml:space="preserve">NEG-0365</x:t>
        </x:is>
      </x:c>
      <x:c r="B366" s="55" t="inlineStr">
        <x:is>
          <x:t xml:space="preserve">v3</x:t>
        </x:is>
      </x:c>
      <x:c r="C366" s="56" t="inlineStr">
        <x:is>
          <x:t xml:space="preserve">三、制度性与统计性区分</x:t>
        </x:is>
      </x:c>
      <x:c r="D366" s="56" t="inlineStr">
        <x:is>
          <x:t xml:space="preserve">3.7 宗教与文化传统实践</x:t>
        </x:is>
      </x:c>
      <x:c r="E366" s="56" t="inlineStr">
        <x:is>
          <x:t xml:space="preserve">新闻报道</x:t>
        </x:is>
      </x:c>
      <x:c r="F366" s="56" t="inlineStr">
        <x:is>
          <x:t xml:space="preserve">宗教新闻</x:t>
        </x:is>
      </x:c>
      <x:c r="G366" s="55" t="inlineStr">
        <x:is>
          <x:t xml:space="preserve">无</x:t>
        </x:is>
      </x:c>
      <x:c r="H366" s="55" t="str">
        <x:f>IF(LEN(I366)&lt;15,"短",IF(LEN(I366)&lt;=45,"中","长"))</x:f>
        <x:v>中</x:v>
      </x:c>
      <x:c r="I366" s="56" t="inlineStr">
        <x:is>
          <x:t xml:space="preserve">该寺院自去年起允许女性进入主殿参拜。</x:t>
        </x:is>
      </x:c>
      <x:c r="J366" s="56" t="str">
        <x:f>I366</x:f>
        <x:v>该寺院自去年起允许女性进入主殿参拜。</x:v>
      </x:c>
      <x:c r="K366" s="55" t="inlineStr">
        <x:is>
          <x:t xml:space="preserve">无需改写</x:t>
        </x:is>
      </x:c>
      <x:c r="L366" s="56" t="inlineStr">
        <x:is>
          <x:t xml:space="preserve">女性</x:t>
        </x:is>
      </x:c>
      <x:c r="M366" s="56" t="inlineStr">
        <x:is>
          <x:t xml:space="preserve">制度变迁的事实报道</x:t>
        </x:is>
      </x:c>
      <x:c r="N366" s="56" t="inlineStr">
        <x:is>
          <x:t xml:space="preserve">该寺院自去年起放宽了参拜限制</x:t>
        </x:is>
      </x:c>
      <x:c r="O366" s="55" t="inlineStr">
        <x:is>
          <x:t xml:space="preserve">中</x:t>
        </x:is>
      </x:c>
      <x:c r="P366" s="55" t="inlineStr">
        <x:is>
          <x:t xml:space="preserve">否</x:t>
        </x:is>
      </x:c>
      <x:c r="Q366" s="56" t="n"/>
      <x:c r="R366" s="57" t="inlineStr">
        <x:is>
          <x:t xml:space="preserve">主集</x:t>
        </x:is>
      </x:c>
      <x:c r="S366" s="57" t="inlineStr">
        <x:is>
          <x:t xml:space="preserve">test</x:t>
        </x:is>
      </x:c>
      <x:c r="T366" s="57" t="inlineStr">
        <x:is>
          <x:t xml:space="preserve"/>
        </x:is>
      </x:c>
    </x:row>
    <x:row r="367" s="37" customFormat="1" ht="29.850000381469727" customHeight="1">
      <x:c r="A367" s="55" t="inlineStr">
        <x:is>
          <x:t xml:space="preserve">NEG-0366</x:t>
        </x:is>
      </x:c>
      <x:c r="B367" s="55" t="inlineStr">
        <x:is>
          <x:t xml:space="preserve">v3</x:t>
        </x:is>
      </x:c>
      <x:c r="C367" s="56" t="inlineStr">
        <x:is>
          <x:t xml:space="preserve">四、专有名词与固定名称</x:t>
        </x:is>
      </x:c>
      <x:c r="D367" s="56" t="inlineStr">
        <x:is>
          <x:t xml:space="preserve">4.1 法律法规</x:t>
        </x:is>
      </x:c>
      <x:c r="E367" s="56" t="inlineStr">
        <x:is>
          <x:t xml:space="preserve">公文与规章</x:t>
        </x:is>
      </x:c>
      <x:c r="F367" s="56" t="inlineStr">
        <x:is>
          <x:t xml:space="preserve">劳动咨询</x:t>
        </x:is>
      </x:c>
      <x:c r="G367" s="55" t="inlineStr">
        <x:is>
          <x:t xml:space="preserve">无</x:t>
        </x:is>
      </x:c>
      <x:c r="H367" s="55" t="str">
        <x:f>IF(LEN(I367)&lt;15,"短",IF(LEN(I367)&lt;=45,"中","长"))</x:f>
        <x:v>中</x:v>
      </x:c>
      <x:c r="I367" s="56" t="inlineStr">
        <x:is>
          <x:t xml:space="preserve">根据《女职工劳动保护特别规定》，您在孕期可以申请调岗。</x:t>
        </x:is>
      </x:c>
      <x:c r="J367" s="56" t="str">
        <x:f>I367</x:f>
        <x:v>根据《女职工劳动保护特别规定》，您在孕期可以申请调岗。</x:v>
      </x:c>
      <x:c r="K367" s="55" t="inlineStr">
        <x:is>
          <x:t xml:space="preserve">无需改写</x:t>
        </x:is>
      </x:c>
      <x:c r="L367" s="56" t="inlineStr">
        <x:is>
          <x:t xml:space="preserve">女职工</x:t>
        </x:is>
      </x:c>
      <x:c r="M367" s="56" t="inlineStr">
        <x:is>
          <x:t xml:space="preserve">法规名称与适用情形</x:t>
        </x:is>
      </x:c>
      <x:c r="N367" s="56" t="inlineStr">
        <x:is>
          <x:t xml:space="preserve">根据相关劳动保护规定，您在孕期可以申请调岗</x:t>
        </x:is>
      </x:c>
      <x:c r="O367" s="55" t="inlineStr">
        <x:is>
          <x:t xml:space="preserve">易</x:t>
        </x:is>
      </x:c>
      <x:c r="P367" s="55" t="inlineStr">
        <x:is>
          <x:t xml:space="preserve">否</x:t>
        </x:is>
      </x:c>
      <x:c r="Q367" s="56" t="n"/>
      <x:c r="R367" s="57" t="inlineStr">
        <x:is>
          <x:t xml:space="preserve">主集</x:t>
        </x:is>
      </x:c>
      <x:c r="S367" s="57" t="inlineStr">
        <x:is>
          <x:t xml:space="preserve">test</x:t>
        </x:is>
      </x:c>
      <x:c r="T367" s="57" t="inlineStr">
        <x:is>
          <x:t xml:space="preserve"/>
        </x:is>
      </x:c>
    </x:row>
    <x:row r="368" s="37" customFormat="1" ht="29.850000381469727" customHeight="1">
      <x:c r="A368" s="55" t="inlineStr">
        <x:is>
          <x:t xml:space="preserve">NEG-0367</x:t>
        </x:is>
      </x:c>
      <x:c r="B368" s="55" t="inlineStr">
        <x:is>
          <x:t xml:space="preserve">v3</x:t>
        </x:is>
      </x:c>
      <x:c r="C368" s="56" t="inlineStr">
        <x:is>
          <x:t xml:space="preserve">四、专有名词与固定名称</x:t>
        </x:is>
      </x:c>
      <x:c r="D368" s="56" t="inlineStr">
        <x:is>
          <x:t xml:space="preserve">4.1 法律法规</x:t>
        </x:is>
      </x:c>
      <x:c r="E368" s="56" t="inlineStr">
        <x:is>
          <x:t xml:space="preserve">新闻报道</x:t>
        </x:is>
      </x:c>
      <x:c r="F368" s="56" t="inlineStr">
        <x:is>
          <x:t xml:space="preserve">司法新闻</x:t>
        </x:is>
      </x:c>
      <x:c r="G368" s="55" t="inlineStr">
        <x:is>
          <x:t xml:space="preserve">无</x:t>
        </x:is>
      </x:c>
      <x:c r="H368" s="55" t="str">
        <x:f>IF(LEN(I368)&lt;15,"短",IF(LEN(I368)&lt;=45,"中","长"))</x:f>
        <x:v>中</x:v>
      </x:c>
      <x:c r="I368" s="56" t="inlineStr">
        <x:is>
          <x:t xml:space="preserve">《妇女权益保障法》实施一周年，全国法院受理相关案件三千余件。</x:t>
        </x:is>
      </x:c>
      <x:c r="J368" s="56" t="str">
        <x:f>I368</x:f>
        <x:v>《妇女权益保障法》实施一周年，全国法院受理相关案件三千余件。</x:v>
      </x:c>
      <x:c r="K368" s="55" t="inlineStr">
        <x:is>
          <x:t xml:space="preserve">无需改写</x:t>
        </x:is>
      </x:c>
      <x:c r="L368" s="56" t="inlineStr">
        <x:is>
          <x:t xml:space="preserve">妇女权益保障法</x:t>
        </x:is>
      </x:c>
      <x:c r="M368" s="56" t="inlineStr">
        <x:is>
          <x:t xml:space="preserve">法律名称</x:t>
        </x:is>
      </x:c>
      <x:c r="N368" s="56" t="inlineStr">
        <x:is>
          <x:t xml:space="preserve">该权益保障法实施一周年，全国法院受理三千余件</x:t>
        </x:is>
      </x:c>
      <x:c r="O368" s="55" t="inlineStr">
        <x:is>
          <x:t xml:space="preserve">易</x:t>
        </x:is>
      </x:c>
      <x:c r="P368" s="55" t="inlineStr">
        <x:is>
          <x:t xml:space="preserve">否</x:t>
        </x:is>
      </x:c>
      <x:c r="Q368" s="56" t="n"/>
      <x:c r="R368" s="57" t="inlineStr">
        <x:is>
          <x:t xml:space="preserve">主集</x:t>
        </x:is>
      </x:c>
      <x:c r="S368" s="57" t="inlineStr">
        <x:is>
          <x:t xml:space="preserve">index</x:t>
        </x:is>
      </x:c>
      <x:c r="T368" s="57" t="inlineStr">
        <x:is>
          <x:t xml:space="preserve"/>
        </x:is>
      </x:c>
    </x:row>
    <x:row r="369" s="37" customFormat="1" ht="15" customHeight="1">
      <x:c r="A369" s="55" t="inlineStr">
        <x:is>
          <x:t xml:space="preserve">NEG-0368</x:t>
        </x:is>
      </x:c>
      <x:c r="B369" s="55" t="inlineStr">
        <x:is>
          <x:t xml:space="preserve">v3</x:t>
        </x:is>
      </x:c>
      <x:c r="C369" s="56" t="inlineStr">
        <x:is>
          <x:t xml:space="preserve">四、专有名词与固定名称</x:t>
        </x:is>
      </x:c>
      <x:c r="D369" s="56" t="inlineStr">
        <x:is>
          <x:t xml:space="preserve">4.2 机构、组织与场所</x:t>
        </x:is>
      </x:c>
      <x:c r="E369" s="56" t="inlineStr">
        <x:is>
          <x:t xml:space="preserve">医疗健康</x:t>
        </x:is>
      </x:c>
      <x:c r="F369" s="56" t="inlineStr">
        <x:is>
          <x:t xml:space="preserve">就医分享</x:t>
        </x:is>
      </x:c>
      <x:c r="G369" s="55" t="inlineStr">
        <x:is>
          <x:t xml:space="preserve">无</x:t>
        </x:is>
      </x:c>
      <x:c r="H369" s="55" t="str">
        <x:f>IF(LEN(I369)&lt;15,"短",IF(LEN(I369)&lt;=45,"中","长"))</x:f>
        <x:v>中</x:v>
      </x:c>
      <x:c r="I369" s="56" t="inlineStr">
        <x:is>
          <x:t xml:space="preserve">带我妈去了市妇幼，人是真多，建议七点前到。</x:t>
        </x:is>
      </x:c>
      <x:c r="J369" s="56" t="str">
        <x:f>I369</x:f>
        <x:v>带我妈去了市妇幼，人是真多，建议七点前到。</x:v>
      </x:c>
      <x:c r="K369" s="55" t="inlineStr">
        <x:is>
          <x:t xml:space="preserve">无需改写</x:t>
        </x:is>
      </x:c>
      <x:c r="L369" s="56" t="inlineStr">
        <x:is>
          <x:t xml:space="preserve">妇幼</x:t>
        </x:is>
      </x:c>
      <x:c r="M369" s="56" t="inlineStr">
        <x:is>
          <x:t xml:space="preserve">医院简称</x:t>
        </x:is>
      </x:c>
      <x:c r="N369" s="56" t="inlineStr">
        <x:is>
          <x:t xml:space="preserve">带家人去了市医院，人是真多</x:t>
        </x:is>
      </x:c>
      <x:c r="O369" s="55" t="inlineStr">
        <x:is>
          <x:t xml:space="preserve">易</x:t>
        </x:is>
      </x:c>
      <x:c r="P369" s="55" t="inlineStr">
        <x:is>
          <x:t xml:space="preserve">否</x:t>
        </x:is>
      </x:c>
      <x:c r="Q369" s="56" t="n"/>
      <x:c r="R369" s="57" t="inlineStr">
        <x:is>
          <x:t xml:space="preserve">主集</x:t>
        </x:is>
      </x:c>
      <x:c r="S369" s="57" t="inlineStr">
        <x:is>
          <x:t xml:space="preserve">index</x:t>
        </x:is>
      </x:c>
      <x:c r="T369" s="57" t="inlineStr">
        <x:is>
          <x:t xml:space="preserve"/>
        </x:is>
      </x:c>
    </x:row>
    <x:row r="370" s="37" customFormat="1" ht="15" customHeight="1">
      <x:c r="A370" s="55" t="inlineStr">
        <x:is>
          <x:t xml:space="preserve">NEG-0369</x:t>
        </x:is>
      </x:c>
      <x:c r="B370" s="55" t="inlineStr">
        <x:is>
          <x:t xml:space="preserve">v3</x:t>
        </x:is>
      </x:c>
      <x:c r="C370" s="56" t="inlineStr">
        <x:is>
          <x:t xml:space="preserve">四、专有名词与固定名称</x:t>
        </x:is>
      </x:c>
      <x:c r="D370" s="56" t="inlineStr">
        <x:is>
          <x:t xml:space="preserve">4.2 机构、组织与场所</x:t>
        </x:is>
      </x:c>
      <x:c r="E370" s="56" t="inlineStr">
        <x:is>
          <x:t xml:space="preserve">新闻报道</x:t>
        </x:is>
      </x:c>
      <x:c r="F370" s="56" t="inlineStr">
        <x:is>
          <x:t xml:space="preserve">赛事公告</x:t>
        </x:is>
      </x:c>
      <x:c r="G370" s="55" t="inlineStr">
        <x:is>
          <x:t xml:space="preserve">无</x:t>
        </x:is>
      </x:c>
      <x:c r="H370" s="55" t="str">
        <x:f>IF(LEN(I370)&lt;15,"短",IF(LEN(I370)&lt;=45,"中","长"))</x:f>
        <x:v>中</x:v>
      </x:c>
      <x:c r="I370" s="56" t="inlineStr">
        <x:is>
          <x:t xml:space="preserve">本次公开赛由中国女子高尔夫球协会协办。</x:t>
        </x:is>
      </x:c>
      <x:c r="J370" s="56" t="str">
        <x:f>I370</x:f>
        <x:v>本次公开赛由中国女子高尔夫球协会协办。</x:v>
      </x:c>
      <x:c r="K370" s="55" t="inlineStr">
        <x:is>
          <x:t xml:space="preserve">无需改写</x:t>
        </x:is>
      </x:c>
      <x:c r="L370" s="56" t="inlineStr">
        <x:is>
          <x:t xml:space="preserve">女子高尔夫球协会</x:t>
        </x:is>
      </x:c>
      <x:c r="M370" s="56" t="inlineStr">
        <x:is>
          <x:t xml:space="preserve">机构正式名称</x:t>
        </x:is>
      </x:c>
      <x:c r="N370" s="56" t="inlineStr">
        <x:is>
          <x:t xml:space="preserve">本次公开赛由中国高尔夫球协会协办</x:t>
        </x:is>
      </x:c>
      <x:c r="O370" s="55" t="inlineStr">
        <x:is>
          <x:t xml:space="preserve">易</x:t>
        </x:is>
      </x:c>
      <x:c r="P370" s="55" t="inlineStr">
        <x:is>
          <x:t xml:space="preserve">否</x:t>
        </x:is>
      </x:c>
      <x:c r="Q370" s="56" t="n"/>
      <x:c r="R370" s="57" t="inlineStr">
        <x:is>
          <x:t xml:space="preserve">主集</x:t>
        </x:is>
      </x:c>
      <x:c r="S370" s="57" t="inlineStr">
        <x:is>
          <x:t xml:space="preserve">test</x:t>
        </x:is>
      </x:c>
      <x:c r="T370" s="57" t="inlineStr">
        <x:is>
          <x:t xml:space="preserve"/>
        </x:is>
      </x:c>
    </x:row>
    <x:row r="371" s="37" customFormat="1" ht="15" customHeight="1">
      <x:c r="A371" s="58" t="inlineStr">
        <x:is>
          <x:t xml:space="preserve">NEG-0370</x:t>
        </x:is>
      </x:c>
      <x:c r="B371" s="58" t="inlineStr">
        <x:is>
          <x:t xml:space="preserve">v3</x:t>
        </x:is>
      </x:c>
      <x:c r="C371" s="59" t="inlineStr">
        <x:is>
          <x:t xml:space="preserve">四、专有名词与固定名称</x:t>
        </x:is>
      </x:c>
      <x:c r="D371" s="59" t="inlineStr">
        <x:is>
          <x:t xml:space="preserve">4.3 奖项、荣誉与称号</x:t>
        </x:is>
      </x:c>
      <x:c r="E371" s="59" t="inlineStr">
        <x:is>
          <x:t xml:space="preserve">工程与技术</x:t>
        </x:is>
      </x:c>
      <x:c r="F371" s="59" t="inlineStr">
        <x:is>
          <x:t xml:space="preserve">车间闲谈</x:t>
        </x:is>
      </x:c>
      <x:c r="G371" s="58" t="inlineStr">
        <x:is>
          <x:t xml:space="preserve">无</x:t>
        </x:is>
      </x:c>
      <x:c r="H371" s="58" t="str">
        <x:f>IF(LEN(I371)&lt;15,"短",IF(LEN(I371)&lt;=45,"中","长"))</x:f>
        <x:v>中</x:v>
      </x:c>
      <x:c r="I371" s="59" t="inlineStr">
        <x:is>
          <x:t xml:space="preserve">我们车间主任今年评上巾帼建功标兵了，大家都挺服气。</x:t>
        </x:is>
      </x:c>
      <x:c r="J371" s="59" t="str">
        <x:f>I371</x:f>
        <x:v>我们车间主任今年评上巾帼建功标兵了，大家都挺服气。</x:v>
      </x:c>
      <x:c r="K371" s="58" t="inlineStr">
        <x:is>
          <x:t xml:space="preserve">无需改写</x:t>
        </x:is>
      </x:c>
      <x:c r="L371" s="59" t="inlineStr">
        <x:is>
          <x:t xml:space="preserve">巾帼建功标兵</x:t>
        </x:is>
      </x:c>
      <x:c r="M371" s="59" t="inlineStr">
        <x:is>
          <x:t xml:space="preserve">荣誉称号名称</x:t>
        </x:is>
      </x:c>
      <x:c r="N371" s="59" t="inlineStr">
        <x:is>
          <x:t xml:space="preserve">我们车间主任今年评上先进标兵了</x:t>
        </x:is>
      </x:c>
      <x:c r="O371" s="58" t="inlineStr">
        <x:is>
          <x:t xml:space="preserve">中</x:t>
        </x:is>
      </x:c>
      <x:c r="P371" s="58" t="inlineStr">
        <x:is>
          <x:t xml:space="preserve">否</x:t>
        </x:is>
      </x:c>
      <x:c r="Q371" s="59" t="n"/>
      <x:c r="R371" s="60" t="inlineStr">
        <x:is>
          <x:t xml:space="preserve">隔离·待确认</x:t>
        </x:is>
      </x:c>
      <x:c r="S371" s="60" t="inlineStr">
        <x:is>
          <x:t xml:space="preserve"/>
        </x:is>
      </x:c>
      <x:c r="T371" s="60" t="inlineStr">
        <x:is>
          <x:t xml:space="preserve">触发词不含性别编码——判断可能依赖世界知识而非句内信息</x:t>
        </x:is>
      </x:c>
    </x:row>
    <x:row r="372" s="37" customFormat="1" ht="15" customHeight="1">
      <x:c r="A372" s="55" t="inlineStr">
        <x:is>
          <x:t xml:space="preserve">NEG-0371</x:t>
        </x:is>
      </x:c>
      <x:c r="B372" s="55" t="inlineStr">
        <x:is>
          <x:t xml:space="preserve">v3</x:t>
        </x:is>
      </x:c>
      <x:c r="C372" s="56" t="inlineStr">
        <x:is>
          <x:t xml:space="preserve">四、专有名词与固定名称</x:t>
        </x:is>
      </x:c>
      <x:c r="D372" s="56" t="inlineStr">
        <x:is>
          <x:t xml:space="preserve">4.3 奖项、荣誉与称号</x:t>
        </x:is>
      </x:c>
      <x:c r="E372" s="56" t="inlineStr">
        <x:is>
          <x:t xml:space="preserve">新闻报道</x:t>
        </x:is>
      </x:c>
      <x:c r="F372" s="56" t="inlineStr">
        <x:is>
          <x:t xml:space="preserve">影视资讯</x:t>
        </x:is>
      </x:c>
      <x:c r="G372" s="55" t="inlineStr">
        <x:is>
          <x:t xml:space="preserve">无</x:t>
        </x:is>
      </x:c>
      <x:c r="H372" s="55" t="str">
        <x:f>IF(LEN(I372)&lt;15,"短",IF(LEN(I372)&lt;=45,"中","长"))</x:f>
        <x:v>中</x:v>
      </x:c>
      <x:c r="I372" s="56" t="inlineStr">
        <x:is>
          <x:t xml:space="preserve">本片入围三项提名，其中包括最佳女演员。</x:t>
        </x:is>
      </x:c>
      <x:c r="J372" s="56" t="str">
        <x:f>I372</x:f>
        <x:v>本片入围三项提名，其中包括最佳女演员。</x:v>
      </x:c>
      <x:c r="K372" s="55" t="inlineStr">
        <x:is>
          <x:t xml:space="preserve">无需改写</x:t>
        </x:is>
      </x:c>
      <x:c r="L372" s="56" t="inlineStr">
        <x:is>
          <x:t xml:space="preserve">最佳女演员</x:t>
        </x:is>
      </x:c>
      <x:c r="M372" s="56" t="inlineStr">
        <x:is>
          <x:t xml:space="preserve">奖项名称</x:t>
        </x:is>
      </x:c>
      <x:c r="N372" s="56" t="inlineStr">
        <x:is>
          <x:t xml:space="preserve">本片入围三项提名，其中包括最佳演员</x:t>
        </x:is>
      </x:c>
      <x:c r="O372" s="55" t="inlineStr">
        <x:is>
          <x:t xml:space="preserve">易</x:t>
        </x:is>
      </x:c>
      <x:c r="P372" s="55" t="inlineStr">
        <x:is>
          <x:t xml:space="preserve">是</x:t>
        </x:is>
      </x:c>
      <x:c r="Q372" s="56" t="n"/>
      <x:c r="R372" s="57" t="inlineStr">
        <x:is>
          <x:t xml:space="preserve">主集</x:t>
        </x:is>
      </x:c>
      <x:c r="S372" s="57" t="inlineStr">
        <x:is>
          <x:t xml:space="preserve">test</x:t>
        </x:is>
      </x:c>
      <x:c r="T372" s="57" t="inlineStr">
        <x:is>
          <x:t xml:space="preserve"/>
        </x:is>
      </x:c>
    </x:row>
    <x:row r="373" s="37" customFormat="1" ht="15" customHeight="1">
      <x:c r="A373" s="55" t="inlineStr">
        <x:is>
          <x:t xml:space="preserve">NEG-0372</x:t>
        </x:is>
      </x:c>
      <x:c r="B373" s="55" t="inlineStr">
        <x:is>
          <x:t xml:space="preserve">v3</x:t>
        </x:is>
      </x:c>
      <x:c r="C373" s="56" t="inlineStr">
        <x:is>
          <x:t xml:space="preserve">四、专有名词与固定名称</x:t>
        </x:is>
      </x:c>
      <x:c r="D373" s="56" t="inlineStr">
        <x:is>
          <x:t xml:space="preserve">4.4 节日与纪念日</x:t>
        </x:is>
      </x:c>
      <x:c r="E373" s="56" t="inlineStr">
        <x:is>
          <x:t xml:space="preserve">公文与规章</x:t>
        </x:is>
      </x:c>
      <x:c r="F373" s="56" t="inlineStr">
        <x:is>
          <x:t xml:space="preserve">运营方案</x:t>
        </x:is>
      </x:c>
      <x:c r="G373" s="55" t="inlineStr">
        <x:is>
          <x:t xml:space="preserve">无</x:t>
        </x:is>
      </x:c>
      <x:c r="H373" s="55" t="str">
        <x:f>IF(LEN(I373)&lt;15,"短",IF(LEN(I373)&lt;=45,"中","长"))</x:f>
        <x:v>中</x:v>
      </x:c>
      <x:c r="I373" s="56" t="inlineStr">
        <x:is>
          <x:t xml:space="preserve">三八节活动页已上线，女装类目全场满 300 减 50。</x:t>
        </x:is>
      </x:c>
      <x:c r="J373" s="56" t="str">
        <x:f>I373</x:f>
        <x:v>三八节活动页已上线，女装类目全场满 300 减 50。</x:v>
      </x:c>
      <x:c r="K373" s="55" t="inlineStr">
        <x:is>
          <x:t xml:space="preserve">无需改写</x:t>
        </x:is>
      </x:c>
      <x:c r="L373" s="56" t="inlineStr">
        <x:is>
          <x:t xml:space="preserve">三八节/女装</x:t>
        </x:is>
      </x:c>
      <x:c r="M373" s="56" t="inlineStr">
        <x:is>
          <x:t xml:space="preserve">节日与品类名称</x:t>
        </x:is>
      </x:c>
      <x:c r="N373" s="56" t="inlineStr">
        <x:is>
          <x:t xml:space="preserve">节日活动页已上线，服装类目全场满 300 减 50</x:t>
        </x:is>
      </x:c>
      <x:c r="O373" s="55" t="inlineStr">
        <x:is>
          <x:t xml:space="preserve">中</x:t>
        </x:is>
      </x:c>
      <x:c r="P373" s="55" t="inlineStr">
        <x:is>
          <x:t xml:space="preserve">否</x:t>
        </x:is>
      </x:c>
      <x:c r="Q373" s="56" t="n"/>
      <x:c r="R373" s="57" t="inlineStr">
        <x:is>
          <x:t xml:space="preserve">主集</x:t>
        </x:is>
      </x:c>
      <x:c r="S373" s="57" t="inlineStr">
        <x:is>
          <x:t xml:space="preserve">dev</x:t>
        </x:is>
      </x:c>
      <x:c r="T373" s="57" t="inlineStr">
        <x:is>
          <x:t xml:space="preserve"/>
        </x:is>
      </x:c>
    </x:row>
    <x:row r="374" s="37" customFormat="1" ht="15" customHeight="1">
      <x:c r="A374" s="55" t="inlineStr">
        <x:is>
          <x:t xml:space="preserve">NEG-0373</x:t>
        </x:is>
      </x:c>
      <x:c r="B374" s="55" t="inlineStr">
        <x:is>
          <x:t xml:space="preserve">v3</x:t>
        </x:is>
      </x:c>
      <x:c r="C374" s="56" t="inlineStr">
        <x:is>
          <x:t xml:space="preserve">四、专有名词与固定名称</x:t>
        </x:is>
      </x:c>
      <x:c r="D374" s="56" t="inlineStr">
        <x:is>
          <x:t xml:space="preserve">4.4 节日与纪念日</x:t>
        </x:is>
      </x:c>
      <x:c r="E374" s="56" t="inlineStr">
        <x:is>
          <x:t xml:space="preserve">口语与私人交流</x:t>
        </x:is>
      </x:c>
      <x:c r="F374" s="56" t="inlineStr">
        <x:is>
          <x:t xml:space="preserve">生活分享</x:t>
        </x:is>
      </x:c>
      <x:c r="G374" s="55" t="inlineStr">
        <x:is>
          <x:t xml:space="preserve">无</x:t>
        </x:is>
      </x:c>
      <x:c r="H374" s="55" t="str">
        <x:f>IF(LEN(I374)&lt;15,"短",IF(LEN(I374)&lt;=45,"中","长"))</x:f>
        <x:v>中</x:v>
      </x:c>
      <x:c r="I374" s="56" t="inlineStr">
        <x:is>
          <x:t xml:space="preserve">母亲节给我妈买了个按摩椅，她嘴上说浪费钱，天天坐。</x:t>
        </x:is>
      </x:c>
      <x:c r="J374" s="56" t="str">
        <x:f>I374</x:f>
        <x:v>母亲节给我妈买了个按摩椅，她嘴上说浪费钱，天天坐。</x:v>
      </x:c>
      <x:c r="K374" s="55" t="inlineStr">
        <x:is>
          <x:t xml:space="preserve">无需改写</x:t>
        </x:is>
      </x:c>
      <x:c r="L374" s="56" t="inlineStr">
        <x:is>
          <x:t xml:space="preserve">母亲节/我妈/她</x:t>
        </x:is>
      </x:c>
      <x:c r="M374" s="56" t="inlineStr">
        <x:is>
          <x:t xml:space="preserve">节日名称与具体人物</x:t>
        </x:is>
      </x:c>
      <x:c r="N374" s="56" t="inlineStr">
        <x:is>
          <x:t xml:space="preserve">节日给家人买了个按摩椅</x:t>
        </x:is>
      </x:c>
      <x:c r="O374" s="55" t="inlineStr">
        <x:is>
          <x:t xml:space="preserve">中</x:t>
        </x:is>
      </x:c>
      <x:c r="P374" s="55" t="inlineStr">
        <x:is>
          <x:t xml:space="preserve">否</x:t>
        </x:is>
      </x:c>
      <x:c r="Q374" s="56" t="n"/>
      <x:c r="R374" s="57" t="inlineStr">
        <x:is>
          <x:t xml:space="preserve">主集</x:t>
        </x:is>
      </x:c>
      <x:c r="S374" s="57" t="inlineStr">
        <x:is>
          <x:t xml:space="preserve">index</x:t>
        </x:is>
      </x:c>
      <x:c r="T374" s="57" t="inlineStr">
        <x:is>
          <x:t xml:space="preserve"/>
        </x:is>
      </x:c>
    </x:row>
    <x:row r="375" s="37" customFormat="1" ht="15" customHeight="1">
      <x:c r="A375" s="55" t="inlineStr">
        <x:is>
          <x:t xml:space="preserve">NEG-0374</x:t>
        </x:is>
      </x:c>
      <x:c r="B375" s="55" t="inlineStr">
        <x:is>
          <x:t xml:space="preserve">v3</x:t>
        </x:is>
      </x:c>
      <x:c r="C375" s="56" t="inlineStr">
        <x:is>
          <x:t xml:space="preserve">四、专有名词与固定名称</x:t>
        </x:is>
      </x:c>
      <x:c r="D375" s="56" t="inlineStr">
        <x:is>
          <x:t xml:space="preserve">4.5 作品名与文化产品</x:t>
        </x:is>
      </x:c>
      <x:c r="E375" s="56" t="inlineStr">
        <x:is>
          <x:t xml:space="preserve">社交与社区</x:t>
        </x:is>
      </x:c>
      <x:c r="F375" s="56" t="inlineStr">
        <x:is>
          <x:t xml:space="preserve">追剧讨论</x:t>
        </x:is>
      </x:c>
      <x:c r="G375" s="55" t="inlineStr">
        <x:is>
          <x:t xml:space="preserve">无</x:t>
        </x:is>
      </x:c>
      <x:c r="H375" s="55" t="str">
        <x:f>IF(LEN(I375)&lt;15,"短",IF(LEN(I375)&lt;=45,"中","长"))</x:f>
        <x:v>中</x:v>
      </x:c>
      <x:c r="I375" s="56" t="inlineStr">
        <x:is>
          <x:t xml:space="preserve">《我的天才女友》第四季完结了，看完有点空。</x:t>
        </x:is>
      </x:c>
      <x:c r="J375" s="56" t="str">
        <x:f>I375</x:f>
        <x:v>《我的天才女友》第四季完结了，看完有点空。</x:v>
      </x:c>
      <x:c r="K375" s="55" t="inlineStr">
        <x:is>
          <x:t xml:space="preserve">无需改写</x:t>
        </x:is>
      </x:c>
      <x:c r="L375" s="56" t="inlineStr">
        <x:is>
          <x:t xml:space="preserve">我的天才女友</x:t>
        </x:is>
      </x:c>
      <x:c r="M375" s="56" t="inlineStr">
        <x:is>
          <x:t xml:space="preserve">剧名</x:t>
        </x:is>
      </x:c>
      <x:c r="N375" s="56" t="inlineStr">
        <x:is>
          <x:t xml:space="preserve">这部剧第四季完结了，看完有点空</x:t>
        </x:is>
      </x:c>
      <x:c r="O375" s="55" t="inlineStr">
        <x:is>
          <x:t xml:space="preserve">易</x:t>
        </x:is>
      </x:c>
      <x:c r="P375" s="55" t="inlineStr">
        <x:is>
          <x:t xml:space="preserve">否</x:t>
        </x:is>
      </x:c>
      <x:c r="Q375" s="56" t="n"/>
      <x:c r="R375" s="57" t="inlineStr">
        <x:is>
          <x:t xml:space="preserve">主集</x:t>
        </x:is>
      </x:c>
      <x:c r="S375" s="57" t="inlineStr">
        <x:is>
          <x:t xml:space="preserve">index</x:t>
        </x:is>
      </x:c>
      <x:c r="T375" s="57" t="inlineStr">
        <x:is>
          <x:t xml:space="preserve"/>
        </x:is>
      </x:c>
    </x:row>
    <x:row r="376" s="37" customFormat="1" ht="15" customHeight="1">
      <x:c r="A376" s="55" t="inlineStr">
        <x:is>
          <x:t xml:space="preserve">NEG-0375</x:t>
        </x:is>
      </x:c>
      <x:c r="B376" s="55" t="inlineStr">
        <x:is>
          <x:t xml:space="preserve">v3</x:t>
        </x:is>
      </x:c>
      <x:c r="C376" s="56" t="inlineStr">
        <x:is>
          <x:t xml:space="preserve">四、专有名词与固定名称</x:t>
        </x:is>
      </x:c>
      <x:c r="D376" s="56" t="inlineStr">
        <x:is>
          <x:t xml:space="preserve">4.5 作品名与文化产品</x:t>
        </x:is>
      </x:c>
      <x:c r="E376" s="56" t="inlineStr">
        <x:is>
          <x:t xml:space="preserve">新闻报道</x:t>
        </x:is>
      </x:c>
      <x:c r="F376" s="56" t="inlineStr">
        <x:is>
          <x:t xml:space="preserve">影院公告</x:t>
        </x:is>
      </x:c>
      <x:c r="G376" s="55" t="inlineStr">
        <x:is>
          <x:t xml:space="preserve">无</x:t>
        </x:is>
      </x:c>
      <x:c r="H376" s="55" t="str">
        <x:f>IF(LEN(I376)&lt;15,"短",IF(LEN(I376)&lt;=45,"中","长"))</x:f>
        <x:v>中</x:v>
      </x:c>
      <x:c r="I376" s="56" t="inlineStr">
        <x:is>
          <x:t xml:space="preserve">《女人四十》修复版将于下月起在本院重映。</x:t>
        </x:is>
      </x:c>
      <x:c r="J376" s="56" t="str">
        <x:f>I376</x:f>
        <x:v>《女人四十》修复版将于下月起在本院重映。</x:v>
      </x:c>
      <x:c r="K376" s="55" t="inlineStr">
        <x:is>
          <x:t xml:space="preserve">无需改写</x:t>
        </x:is>
      </x:c>
      <x:c r="L376" s="56" t="inlineStr">
        <x:is>
          <x:t xml:space="preserve">女人四十</x:t>
        </x:is>
      </x:c>
      <x:c r="M376" s="56" t="inlineStr">
        <x:is>
          <x:t xml:space="preserve">片名</x:t>
        </x:is>
      </x:c>
      <x:c r="N376" s="56" t="inlineStr">
        <x:is>
          <x:t xml:space="preserve">该片修复版将于下月起在本院重映</x:t>
        </x:is>
      </x:c>
      <x:c r="O376" s="55" t="inlineStr">
        <x:is>
          <x:t xml:space="preserve">易</x:t>
        </x:is>
      </x:c>
      <x:c r="P376" s="55" t="inlineStr">
        <x:is>
          <x:t xml:space="preserve">否</x:t>
        </x:is>
      </x:c>
      <x:c r="Q376" s="56" t="n"/>
      <x:c r="R376" s="57" t="inlineStr">
        <x:is>
          <x:t xml:space="preserve">主集</x:t>
        </x:is>
      </x:c>
      <x:c r="S376" s="57" t="inlineStr">
        <x:is>
          <x:t xml:space="preserve">index</x:t>
        </x:is>
      </x:c>
      <x:c r="T376" s="57" t="inlineStr">
        <x:is>
          <x:t xml:space="preserve"/>
        </x:is>
      </x:c>
    </x:row>
    <x:row r="377" s="37" customFormat="1" ht="29.850000381469727" customHeight="1">
      <x:c r="A377" s="58" t="inlineStr">
        <x:is>
          <x:t xml:space="preserve">NEG-0376</x:t>
        </x:is>
      </x:c>
      <x:c r="B377" s="58" t="inlineStr">
        <x:is>
          <x:t xml:space="preserve">v3</x:t>
        </x:is>
      </x:c>
      <x:c r="C377" s="59" t="inlineStr">
        <x:is>
          <x:t xml:space="preserve">四、专有名词与固定名称</x:t>
        </x:is>
      </x:c>
      <x:c r="D377" s="59" t="inlineStr">
        <x:is>
          <x:t xml:space="preserve">4.6 历史与制度术语</x:t>
        </x:is>
      </x:c>
      <x:c r="E377" s="59" t="inlineStr">
        <x:is>
          <x:t xml:space="preserve">社交与社区</x:t>
        </x:is>
      </x:c>
      <x:c r="F377" s="59" t="inlineStr">
        <x:is>
          <x:t xml:space="preserve">观展感受</x:t>
        </x:is>
      </x:c>
      <x:c r="G377" s="58" t="inlineStr">
        <x:is>
          <x:t xml:space="preserve">无</x:t>
        </x:is>
      </x:c>
      <x:c r="H377" s="58" t="str">
        <x:f>IF(LEN(I377)&lt;15,"短",IF(LEN(I377)&lt;=45,"中","长"))</x:f>
        <x:v>中</x:v>
      </x:c>
      <x:c r="I377" s="59" t="inlineStr">
        <x:is>
          <x:t xml:space="preserve">在博物馆看到一块贞节牌坊的拓片，站着看了很久，心里挺不舒服。</x:t>
        </x:is>
      </x:c>
      <x:c r="J377" s="59" t="str">
        <x:f>I377</x:f>
        <x:v>在博物馆看到一块贞节牌坊的拓片，站着看了很久，心里挺不舒服。</x:v>
      </x:c>
      <x:c r="K377" s="58" t="inlineStr">
        <x:is>
          <x:t xml:space="preserve">无需改写</x:t>
        </x:is>
      </x:c>
      <x:c r="L377" s="59" t="inlineStr">
        <x:is>
          <x:t xml:space="preserve">贞节牌坊</x:t>
        </x:is>
      </x:c>
      <x:c r="M377" s="59" t="inlineStr">
        <x:is>
          <x:t xml:space="preserve">历史事物名称，且句子已含批判态度</x:t>
        </x:is>
      </x:c>
      <x:c r="N377" s="59" t="inlineStr">
        <x:is>
          <x:t xml:space="preserve">在博物馆看到一块旧时表彰建筑的拓片</x:t>
        </x:is>
      </x:c>
      <x:c r="O377" s="58" t="inlineStr">
        <x:is>
          <x:t xml:space="preserve">中</x:t>
        </x:is>
      </x:c>
      <x:c r="P377" s="58" t="inlineStr">
        <x:is>
          <x:t xml:space="preserve">否</x:t>
        </x:is>
      </x:c>
      <x:c r="Q377" s="59" t="n"/>
      <x:c r="R377" s="60" t="inlineStr">
        <x:is>
          <x:t xml:space="preserve">隔离·待确认</x:t>
        </x:is>
      </x:c>
      <x:c r="S377" s="60" t="inlineStr">
        <x:is>
          <x:t xml:space="preserve"/>
        </x:is>
      </x:c>
      <x:c r="T377" s="60" t="inlineStr">
        <x:is>
          <x:t xml:space="preserve">触发词不含性别编码——判断可能依赖世界知识而非句内信息</x:t>
        </x:is>
      </x:c>
    </x:row>
    <x:row r="378" s="37" customFormat="1" ht="29.850000381469727" customHeight="1">
      <x:c r="A378" s="55" t="inlineStr">
        <x:is>
          <x:t xml:space="preserve">NEG-0377</x:t>
        </x:is>
      </x:c>
      <x:c r="B378" s="55" t="inlineStr">
        <x:is>
          <x:t xml:space="preserve">v3</x:t>
        </x:is>
      </x:c>
      <x:c r="C378" s="56" t="inlineStr">
        <x:is>
          <x:t xml:space="preserve">四、专有名词与固定名称</x:t>
        </x:is>
      </x:c>
      <x:c r="D378" s="56" t="inlineStr">
        <x:is>
          <x:t xml:space="preserve">4.6 历史与制度术语</x:t>
        </x:is>
      </x:c>
      <x:c r="E378" s="56" t="inlineStr">
        <x:is>
          <x:t xml:space="preserve">学术与调研</x:t>
        </x:is>
      </x:c>
      <x:c r="F378" s="56" t="inlineStr">
        <x:is>
          <x:t xml:space="preserve">地方史研究</x:t>
        </x:is>
      </x:c>
      <x:c r="G378" s="55" t="inlineStr">
        <x:is>
          <x:t xml:space="preserve">无</x:t>
        </x:is>
      </x:c>
      <x:c r="H378" s="55" t="str">
        <x:f>IF(LEN(I378)&lt;15,"短",IF(LEN(I378)&lt;=45,"中","长"))</x:f>
        <x:v>中</x:v>
      </x:c>
      <x:c r="I378" s="56" t="inlineStr">
        <x:is>
          <x:t xml:space="preserve">典妻在部分地方志中有明确记载，是一种典型的人身依附安排。</x:t>
        </x:is>
      </x:c>
      <x:c r="J378" s="56" t="str">
        <x:f>I378</x:f>
        <x:v>典妻在部分地方志中有明确记载，是一种典型的人身依附安排。</x:v>
      </x:c>
      <x:c r="K378" s="55" t="inlineStr">
        <x:is>
          <x:t xml:space="preserve">无需改写</x:t>
        </x:is>
      </x:c>
      <x:c r="L378" s="56" t="inlineStr">
        <x:is>
          <x:t xml:space="preserve">典妻</x:t>
        </x:is>
      </x:c>
      <x:c r="M378" s="56" t="inlineStr">
        <x:is>
          <x:t xml:space="preserve">历史制度术语</x:t>
        </x:is>
      </x:c>
      <x:c r="N378" s="56" t="inlineStr">
        <x:is>
          <x:t xml:space="preserve">这类旧俗在部分地方志中有明确记载</x:t>
        </x:is>
      </x:c>
      <x:c r="O378" s="55" t="inlineStr">
        <x:is>
          <x:t xml:space="preserve">易</x:t>
        </x:is>
      </x:c>
      <x:c r="P378" s="55" t="inlineStr">
        <x:is>
          <x:t xml:space="preserve">否</x:t>
        </x:is>
      </x:c>
      <x:c r="Q378" s="56" t="n"/>
      <x:c r="R378" s="57" t="inlineStr">
        <x:is>
          <x:t xml:space="preserve">主集</x:t>
        </x:is>
      </x:c>
      <x:c r="S378" s="57" t="inlineStr">
        <x:is>
          <x:t xml:space="preserve">test</x:t>
        </x:is>
      </x:c>
      <x:c r="T378" s="57" t="inlineStr">
        <x:is>
          <x:t xml:space="preserve"/>
        </x:is>
      </x:c>
    </x:row>
    <x:row r="379" s="37" customFormat="1" ht="29.850000381469727" customHeight="1">
      <x:c r="A379" s="58" t="inlineStr">
        <x:is>
          <x:t xml:space="preserve">NEG-0378</x:t>
        </x:is>
      </x:c>
      <x:c r="B379" s="58" t="inlineStr">
        <x:is>
          <x:t xml:space="preserve">v3</x:t>
        </x:is>
      </x:c>
      <x:c r="C379" s="59" t="inlineStr">
        <x:is>
          <x:t xml:space="preserve">四、专有名词与固定名称</x:t>
        </x:is>
      </x:c>
      <x:c r="D379" s="59" t="inlineStr">
        <x:is>
          <x:t xml:space="preserve">4.7 学术与批判性概念</x:t>
        </x:is>
      </x:c>
      <x:c r="E379" s="59" t="inlineStr">
        <x:is>
          <x:t xml:space="preserve">社交与社区</x:t>
        </x:is>
      </x:c>
      <x:c r="F379" s="59" t="inlineStr">
        <x:is>
          <x:t xml:space="preserve">职场讨论</x:t>
        </x:is>
      </x:c>
      <x:c r="G379" s="58" t="inlineStr">
        <x:is>
          <x:t xml:space="preserve">无</x:t>
        </x:is>
      </x:c>
      <x:c r="H379" s="58" t="str">
        <x:f>IF(LEN(I379)&lt;15,"短",IF(LEN(I379)&lt;=45,"中","长"))</x:f>
        <x:v>中</x:v>
      </x:c>
      <x:c r="I379" s="59" t="inlineStr">
        <x:is>
          <x:t xml:space="preserve">第一次听说玻璃悬崖这个词，一下就理解我们前老板的处境了。</x:t>
        </x:is>
      </x:c>
      <x:c r="J379" s="59" t="str">
        <x:f>I379</x:f>
        <x:v>第一次听说玻璃悬崖这个词，一下就理解我们前老板的处境了。</x:v>
      </x:c>
      <x:c r="K379" s="58" t="inlineStr">
        <x:is>
          <x:t xml:space="preserve">无需改写</x:t>
        </x:is>
      </x:c>
      <x:c r="L379" s="59" t="inlineStr">
        <x:is>
          <x:t xml:space="preserve">玻璃悬崖</x:t>
        </x:is>
      </x:c>
      <x:c r="M379" s="59" t="inlineStr">
        <x:is>
          <x:t xml:space="preserve">学术术语进入日常使用</x:t>
        </x:is>
      </x:c>
      <x:c r="N379" s="59" t="inlineStr">
        <x:is>
          <x:t xml:space="preserve">第一次听说这个概念，一下就理解前老板的处境</x:t>
        </x:is>
      </x:c>
      <x:c r="O379" s="58" t="inlineStr">
        <x:is>
          <x:t xml:space="preserve">中</x:t>
        </x:is>
      </x:c>
      <x:c r="P379" s="58" t="inlineStr">
        <x:is>
          <x:t xml:space="preserve">否</x:t>
        </x:is>
      </x:c>
      <x:c r="Q379" s="59" t="n"/>
      <x:c r="R379" s="60" t="inlineStr">
        <x:is>
          <x:t xml:space="preserve">隔离·待确认</x:t>
        </x:is>
      </x:c>
      <x:c r="S379" s="60" t="inlineStr">
        <x:is>
          <x:t xml:space="preserve"/>
        </x:is>
      </x:c>
      <x:c r="T379" s="60" t="inlineStr">
        <x:is>
          <x:t xml:space="preserve">触发词不含性别编码——判断可能依赖世界知识而非句内信息</x:t>
        </x:is>
      </x:c>
    </x:row>
    <x:row r="380" s="37" customFormat="1" ht="15" customHeight="1">
      <x:c r="A380" s="55" t="inlineStr">
        <x:is>
          <x:t xml:space="preserve">NEG-0379</x:t>
        </x:is>
      </x:c>
      <x:c r="B380" s="55" t="inlineStr">
        <x:is>
          <x:t xml:space="preserve">v3</x:t>
        </x:is>
      </x:c>
      <x:c r="C380" s="56" t="inlineStr">
        <x:is>
          <x:t xml:space="preserve">四、专有名词与固定名称</x:t>
        </x:is>
      </x:c>
      <x:c r="D380" s="56" t="inlineStr">
        <x:is>
          <x:t xml:space="preserve">4.7 学术与批判性概念</x:t>
        </x:is>
      </x:c>
      <x:c r="E380" s="56" t="inlineStr">
        <x:is>
          <x:t xml:space="preserve">商业与产品</x:t>
        </x:is>
      </x:c>
      <x:c r="F380" s="56" t="inlineStr">
        <x:is>
          <x:t xml:space="preserve">市场报告</x:t>
        </x:is>
      </x:c>
      <x:c r="G380" s="55" t="inlineStr">
        <x:is>
          <x:t xml:space="preserve">无</x:t>
        </x:is>
      </x:c>
      <x:c r="H380" s="55" t="str">
        <x:f>IF(LEN(I380)&lt;15,"短",IF(LEN(I380)&lt;=45,"中","长"))</x:f>
        <x:v>中</x:v>
      </x:c>
      <x:c r="I380" s="56" t="inlineStr">
        <x:is>
          <x:t xml:space="preserve">报告用她经济概括这一轮消费结构的变化。</x:t>
        </x:is>
      </x:c>
      <x:c r="J380" s="56" t="str">
        <x:f>I380</x:f>
        <x:v>报告用她经济概括这一轮消费结构的变化。</x:v>
      </x:c>
      <x:c r="K380" s="55" t="inlineStr">
        <x:is>
          <x:t xml:space="preserve">无需改写</x:t>
        </x:is>
      </x:c>
      <x:c r="L380" s="56" t="inlineStr">
        <x:is>
          <x:t xml:space="preserve">她经济</x:t>
        </x:is>
      </x:c>
      <x:c r="M380" s="56" t="inlineStr">
        <x:is>
          <x:t xml:space="preserve">术语名称</x:t>
        </x:is>
      </x:c>
      <x:c r="N380" s="56" t="inlineStr">
        <x:is>
          <x:t xml:space="preserve">报告用女性消费概括这一轮结构变化</x:t>
        </x:is>
      </x:c>
      <x:c r="O380" s="55" t="inlineStr">
        <x:is>
          <x:t xml:space="preserve">中</x:t>
        </x:is>
      </x:c>
      <x:c r="P380" s="55" t="inlineStr">
        <x:is>
          <x:t xml:space="preserve">否</x:t>
        </x:is>
      </x:c>
      <x:c r="Q380" s="56" t="n"/>
      <x:c r="R380" s="57" t="inlineStr">
        <x:is>
          <x:t xml:space="preserve">主集</x:t>
        </x:is>
      </x:c>
      <x:c r="S380" s="57" t="inlineStr">
        <x:is>
          <x:t xml:space="preserve">index</x:t>
        </x:is>
      </x:c>
      <x:c r="T380" s="57" t="inlineStr">
        <x:is>
          <x:t xml:space="preserve"/>
        </x:is>
      </x:c>
    </x:row>
    <x:row r="381" s="37" customFormat="1" ht="15" customHeight="1">
      <x:c r="A381" s="55" t="inlineStr">
        <x:is>
          <x:t xml:space="preserve">NEG-0380</x:t>
        </x:is>
      </x:c>
      <x:c r="B381" s="55" t="inlineStr">
        <x:is>
          <x:t xml:space="preserve">v3</x:t>
        </x:is>
      </x:c>
      <x:c r="C381" s="56" t="inlineStr">
        <x:is>
          <x:t xml:space="preserve">四、专有名词与固定名称</x:t>
        </x:is>
      </x:c>
      <x:c r="D381" s="56" t="inlineStr">
        <x:is>
          <x:t xml:space="preserve">4.8 品牌、产品与商业名称</x:t>
        </x:is>
      </x:c>
      <x:c r="E381" s="56" t="inlineStr">
        <x:is>
          <x:t xml:space="preserve">公文与规章</x:t>
        </x:is>
      </x:c>
      <x:c r="F381" s="56" t="inlineStr">
        <x:is>
          <x:t xml:space="preserve">运营复盘</x:t>
        </x:is>
      </x:c>
      <x:c r="G381" s="55" t="inlineStr">
        <x:is>
          <x:t xml:space="preserve">无</x:t>
        </x:is>
      </x:c>
      <x:c r="H381" s="55" t="str">
        <x:f>IF(LEN(I381)&lt;15,"短",IF(LEN(I381)&lt;=45,"中","长"))</x:f>
        <x:v>中</x:v>
      </x:c>
      <x:c r="I381" s="56" t="inlineStr">
        <x:is>
          <x:t xml:space="preserve">女士香水线的复购率比男士线高出近一倍。</x:t>
        </x:is>
      </x:c>
      <x:c r="J381" s="56" t="str">
        <x:f>I381</x:f>
        <x:v>女士香水线的复购率比男士线高出近一倍。</x:v>
      </x:c>
      <x:c r="K381" s="55" t="inlineStr">
        <x:is>
          <x:t xml:space="preserve">无需改写</x:t>
        </x:is>
      </x:c>
      <x:c r="L381" s="56" t="inlineStr">
        <x:is>
          <x:t xml:space="preserve">女士线/男士线</x:t>
        </x:is>
      </x:c>
      <x:c r="M381" s="56" t="inlineStr">
        <x:is>
          <x:t xml:space="preserve">产品线名称与经营数据</x:t>
        </x:is>
      </x:c>
      <x:c r="N381" s="56" t="inlineStr">
        <x:is>
          <x:t xml:space="preserve">两条香水产品线的复购率差异接近一倍</x:t>
        </x:is>
      </x:c>
      <x:c r="O381" s="55" t="inlineStr">
        <x:is>
          <x:t xml:space="preserve">中</x:t>
        </x:is>
      </x:c>
      <x:c r="P381" s="55" t="inlineStr">
        <x:is>
          <x:t xml:space="preserve">否</x:t>
        </x:is>
      </x:c>
      <x:c r="Q381" s="56" t="n"/>
      <x:c r="R381" s="57" t="inlineStr">
        <x:is>
          <x:t xml:space="preserve">主集</x:t>
        </x:is>
      </x:c>
      <x:c r="S381" s="57" t="inlineStr">
        <x:is>
          <x:t xml:space="preserve">dev</x:t>
        </x:is>
      </x:c>
      <x:c r="T381" s="57" t="inlineStr">
        <x:is>
          <x:t xml:space="preserve"/>
        </x:is>
      </x:c>
    </x:row>
    <x:row r="382" s="37" customFormat="1" ht="29.850000381469727" customHeight="1">
      <x:c r="A382" s="55" t="inlineStr">
        <x:is>
          <x:t xml:space="preserve">NEG-0381</x:t>
        </x:is>
      </x:c>
      <x:c r="B382" s="55" t="inlineStr">
        <x:is>
          <x:t xml:space="preserve">v3</x:t>
        </x:is>
      </x:c>
      <x:c r="C382" s="56" t="inlineStr">
        <x:is>
          <x:t xml:space="preserve">四、专有名词与固定名称</x:t>
        </x:is>
      </x:c>
      <x:c r="D382" s="56" t="inlineStr">
        <x:is>
          <x:t xml:space="preserve">4.8 品牌、产品与商业名称</x:t>
        </x:is>
      </x:c>
      <x:c r="E382" s="56" t="inlineStr">
        <x:is>
          <x:t xml:space="preserve">公文与规章</x:t>
        </x:is>
      </x:c>
      <x:c r="F382" s="56" t="inlineStr">
        <x:is>
          <x:t xml:space="preserve">售前客服</x:t>
        </x:is>
      </x:c>
      <x:c r="G382" s="55" t="inlineStr">
        <x:is>
          <x:t xml:space="preserve">无</x:t>
        </x:is>
      </x:c>
      <x:c r="H382" s="55" t="str">
        <x:f>IF(LEN(I382)&lt;15,"短",IF(LEN(I382)&lt;=45,"中","长"))</x:f>
        <x:v>中</x:v>
      </x:c>
      <x:c r="I382" s="56" t="inlineStr">
        <x:is>
          <x:t xml:space="preserve">亲，这个链接是女款，男款在店铺首页第二栏哦。</x:t>
        </x:is>
      </x:c>
      <x:c r="J382" s="56" t="str">
        <x:f>I382</x:f>
        <x:v>亲，这个链接是女款，男款在店铺首页第二栏哦。</x:v>
      </x:c>
      <x:c r="K382" s="55" t="inlineStr">
        <x:is>
          <x:t xml:space="preserve">无需改写</x:t>
        </x:is>
      </x:c>
      <x:c r="L382" s="56" t="inlineStr">
        <x:is>
          <x:t xml:space="preserve">女款/男款</x:t>
        </x:is>
      </x:c>
      <x:c r="M382" s="56" t="inlineStr">
        <x:is>
          <x:t xml:space="preserve">商品分类导购信息</x:t>
        </x:is>
      </x:c>
      <x:c r="N382" s="56" t="inlineStr">
        <x:is>
          <x:t xml:space="preserve">亲，这个链接是其中一款，另一款在首页第二栏</x:t>
        </x:is>
      </x:c>
      <x:c r="O382" s="55" t="inlineStr">
        <x:is>
          <x:t xml:space="preserve">中</x:t>
        </x:is>
      </x:c>
      <x:c r="P382" s="55" t="inlineStr">
        <x:is>
          <x:t xml:space="preserve">否</x:t>
        </x:is>
      </x:c>
      <x:c r="Q382" s="56" t="n"/>
      <x:c r="R382" s="57" t="inlineStr">
        <x:is>
          <x:t xml:space="preserve">主集</x:t>
        </x:is>
      </x:c>
      <x:c r="S382" s="57" t="inlineStr">
        <x:is>
          <x:t xml:space="preserve">index</x:t>
        </x:is>
      </x:c>
      <x:c r="T382" s="57" t="inlineStr">
        <x:is>
          <x:t xml:space="preserve"/>
        </x:is>
      </x:c>
    </x:row>
    <x:row r="383" s="37" customFormat="1" ht="29.850000381469727" customHeight="1">
      <x:c r="A383" s="55" t="inlineStr">
        <x:is>
          <x:t xml:space="preserve">NEG-0382</x:t>
        </x:is>
      </x:c>
      <x:c r="B383" s="55" t="inlineStr">
        <x:is>
          <x:t xml:space="preserve">v3</x:t>
        </x:is>
      </x:c>
      <x:c r="C383" s="56" t="inlineStr">
        <x:is>
          <x:t xml:space="preserve">五、引用与转述</x:t>
        </x:is>
      </x:c>
      <x:c r="D383" s="56" t="inlineStr">
        <x:is>
          <x:t xml:space="preserve">5.1 直接引语</x:t>
        </x:is>
      </x:c>
      <x:c r="E383" s="56" t="inlineStr">
        <x:is>
          <x:t xml:space="preserve">社交与社区</x:t>
        </x:is>
      </x:c>
      <x:c r="F383" s="56" t="inlineStr">
        <x:is>
          <x:t xml:space="preserve">职场吐槽</x:t>
        </x:is>
      </x:c>
      <x:c r="G383" s="55" t="inlineStr">
        <x:is>
          <x:t xml:space="preserve">无</x:t>
        </x:is>
      </x:c>
      <x:c r="H383" s="55" t="str">
        <x:f>IF(LEN(I383)&lt;15,"短",IF(LEN(I383)&lt;=45,"中","长"))</x:f>
        <x:v>中</x:v>
      </x:c>
      <x:c r="I383" s="56" t="inlineStr">
        <x:is>
          <x:t xml:space="preserve">我领导原话是：“女孩子干这行太辛苦。”我当场就笑了。</x:t>
        </x:is>
      </x:c>
      <x:c r="J383" s="56" t="str">
        <x:f>I383</x:f>
        <x:v>我领导原话是：“女孩子干这行太辛苦。”我当场就笑了。</x:v>
      </x:c>
      <x:c r="K383" s="55" t="inlineStr">
        <x:is>
          <x:t xml:space="preserve">无需改写</x:t>
        </x:is>
      </x:c>
      <x:c r="L383" s="56" t="inlineStr">
        <x:is>
          <x:t xml:space="preserve">女孩子</x:t>
        </x:is>
      </x:c>
      <x:c r="M383" s="56" t="inlineStr">
        <x:is>
          <x:t xml:space="preserve">引语属被批评的对象</x:t>
        </x:is>
      </x:c>
      <x:c r="N383" s="56" t="inlineStr">
        <x:is>
          <x:t xml:space="preserve">我领导表达了对这一行辛苦程度的看法</x:t>
        </x:is>
      </x:c>
      <x:c r="O383" s="55" t="inlineStr">
        <x:is>
          <x:t xml:space="preserve">难</x:t>
        </x:is>
      </x:c>
      <x:c r="P383" s="55" t="inlineStr">
        <x:is>
          <x:t xml:space="preserve">否</x:t>
        </x:is>
      </x:c>
      <x:c r="Q383" s="56" t="n"/>
      <x:c r="R383" s="57" t="inlineStr">
        <x:is>
          <x:t xml:space="preserve">主集</x:t>
        </x:is>
      </x:c>
      <x:c r="S383" s="57" t="inlineStr">
        <x:is>
          <x:t xml:space="preserve">index</x:t>
        </x:is>
      </x:c>
      <x:c r="T383" s="57" t="inlineStr">
        <x:is>
          <x:t xml:space="preserve"/>
        </x:is>
      </x:c>
    </x:row>
    <x:row r="384" s="37" customFormat="1" ht="15" customHeight="1">
      <x:c r="A384" s="55" t="inlineStr">
        <x:is>
          <x:t xml:space="preserve">NEG-0383</x:t>
        </x:is>
      </x:c>
      <x:c r="B384" s="55" t="inlineStr">
        <x:is>
          <x:t xml:space="preserve">v3</x:t>
        </x:is>
      </x:c>
      <x:c r="C384" s="56" t="inlineStr">
        <x:is>
          <x:t xml:space="preserve">五、引用与转述</x:t>
        </x:is>
      </x:c>
      <x:c r="D384" s="56" t="inlineStr">
        <x:is>
          <x:t xml:space="preserve">5.1 直接引语</x:t>
        </x:is>
      </x:c>
      <x:c r="E384" s="56" t="inlineStr">
        <x:is>
          <x:t xml:space="preserve">新闻报道</x:t>
        </x:is>
      </x:c>
      <x:c r="F384" s="56" t="inlineStr">
        <x:is>
          <x:t xml:space="preserve">事故报道</x:t>
        </x:is>
      </x:c>
      <x:c r="G384" s="55" t="inlineStr">
        <x:is>
          <x:t xml:space="preserve">无</x:t>
        </x:is>
      </x:c>
      <x:c r="H384" s="55" t="str">
        <x:f>IF(LEN(I384)&lt;15,"短",IF(LEN(I384)&lt;=45,"中","长"))</x:f>
        <x:v>中</x:v>
      </x:c>
      <x:c r="I384" s="56" t="inlineStr">
        <x:is>
          <x:t xml:space="preserve">面对镜头，他只说了一句：“我对不起我老婆。”</x:t>
        </x:is>
      </x:c>
      <x:c r="J384" s="56" t="str">
        <x:f>I384</x:f>
        <x:v>面对镜头，他只说了一句：“我对不起我老婆。”</x:v>
      </x:c>
      <x:c r="K384" s="55" t="inlineStr">
        <x:is>
          <x:t xml:space="preserve">无需改写</x:t>
        </x:is>
      </x:c>
      <x:c r="L384" s="56" t="inlineStr">
        <x:is>
          <x:t xml:space="preserve">我老婆</x:t>
        </x:is>
      </x:c>
      <x:c r="M384" s="56" t="inlineStr">
        <x:is>
          <x:t xml:space="preserve">受访者原话</x:t>
        </x:is>
      </x:c>
      <x:c r="N384" s="56" t="inlineStr">
        <x:is>
          <x:t xml:space="preserve">面对镜头，他表达了对家人的歉意</x:t>
        </x:is>
      </x:c>
      <x:c r="O384" s="55" t="inlineStr">
        <x:is>
          <x:t xml:space="preserve">难</x:t>
        </x:is>
      </x:c>
      <x:c r="P384" s="55" t="inlineStr">
        <x:is>
          <x:t xml:space="preserve">否</x:t>
        </x:is>
      </x:c>
      <x:c r="Q384" s="56" t="n"/>
      <x:c r="R384" s="57" t="inlineStr">
        <x:is>
          <x:t xml:space="preserve">主集</x:t>
        </x:is>
      </x:c>
      <x:c r="S384" s="57" t="inlineStr">
        <x:is>
          <x:t xml:space="preserve">index</x:t>
        </x:is>
      </x:c>
      <x:c r="T384" s="57" t="inlineStr">
        <x:is>
          <x:t xml:space="preserve"/>
        </x:is>
      </x:c>
    </x:row>
    <x:row r="385" s="37" customFormat="1" ht="29.850000381469727" customHeight="1">
      <x:c r="A385" s="55" t="inlineStr">
        <x:is>
          <x:t xml:space="preserve">NEG-0384</x:t>
        </x:is>
      </x:c>
      <x:c r="B385" s="55" t="inlineStr">
        <x:is>
          <x:t xml:space="preserve">v3</x:t>
        </x:is>
      </x:c>
      <x:c r="C385" s="56" t="inlineStr">
        <x:is>
          <x:t xml:space="preserve">五、引用与转述</x:t>
        </x:is>
      </x:c>
      <x:c r="D385" s="56" t="inlineStr">
        <x:is>
          <x:t xml:space="preserve">5.2 文献与史料</x:t>
        </x:is>
      </x:c>
      <x:c r="E385" s="56" t="inlineStr">
        <x:is>
          <x:t xml:space="preserve">学术与调研</x:t>
        </x:is>
      </x:c>
      <x:c r="F385" s="56" t="inlineStr">
        <x:is>
          <x:t xml:space="preserve">学术引用</x:t>
        </x:is>
      </x:c>
      <x:c r="G385" s="55" t="inlineStr">
        <x:is>
          <x:t xml:space="preserve">无</x:t>
        </x:is>
      </x:c>
      <x:c r="H385" s="55" t="str">
        <x:f>IF(LEN(I385)&lt;15,"短",IF(LEN(I385)&lt;=45,"中","长"))</x:f>
        <x:v>中</x:v>
      </x:c>
      <x:c r="I385" s="56" t="inlineStr">
        <x:is>
          <x:t xml:space="preserve">《颜氏家训》中“妇主中馈”一语，反映了当时的家庭分工观念。</x:t>
        </x:is>
      </x:c>
      <x:c r="J385" s="56" t="str">
        <x:f>I385</x:f>
        <x:v>《颜氏家训》中“妇主中馈”一语，反映了当时的家庭分工观念。</x:v>
      </x:c>
      <x:c r="K385" s="55" t="inlineStr">
        <x:is>
          <x:t xml:space="preserve">无需改写</x:t>
        </x:is>
      </x:c>
      <x:c r="L385" s="56" t="inlineStr">
        <x:is>
          <x:t xml:space="preserve">妇主中馈</x:t>
        </x:is>
      </x:c>
      <x:c r="M385" s="56" t="inlineStr">
        <x:is>
          <x:t xml:space="preserve">古籍原文引用</x:t>
        </x:is>
      </x:c>
      <x:c r="N385" s="56" t="inlineStr">
        <x:is>
          <x:t xml:space="preserve">《颜氏家训》中的相关表述反映了当时的分工观念</x:t>
        </x:is>
      </x:c>
      <x:c r="O385" s="55" t="inlineStr">
        <x:is>
          <x:t xml:space="preserve">中</x:t>
        </x:is>
      </x:c>
      <x:c r="P385" s="55" t="inlineStr">
        <x:is>
          <x:t xml:space="preserve">否</x:t>
        </x:is>
      </x:c>
      <x:c r="Q385" s="56" t="n"/>
      <x:c r="R385" s="57" t="inlineStr">
        <x:is>
          <x:t xml:space="preserve">主集</x:t>
        </x:is>
      </x:c>
      <x:c r="S385" s="57" t="inlineStr">
        <x:is>
          <x:t xml:space="preserve">index</x:t>
        </x:is>
      </x:c>
      <x:c r="T385" s="57" t="inlineStr">
        <x:is>
          <x:t xml:space="preserve"/>
        </x:is>
      </x:c>
    </x:row>
    <x:row r="386" s="37" customFormat="1" ht="29.850000381469727" customHeight="1">
      <x:c r="A386" s="58" t="inlineStr">
        <x:is>
          <x:t xml:space="preserve">NEG-0385</x:t>
        </x:is>
      </x:c>
      <x:c r="B386" s="58" t="inlineStr">
        <x:is>
          <x:t xml:space="preserve">v3</x:t>
        </x:is>
      </x:c>
      <x:c r="C386" s="59" t="inlineStr">
        <x:is>
          <x:t xml:space="preserve">五、引用与转述</x:t>
        </x:is>
      </x:c>
      <x:c r="D386" s="59" t="inlineStr">
        <x:is>
          <x:t xml:space="preserve">5.2 文献与史料</x:t>
        </x:is>
      </x:c>
      <x:c r="E386" s="59" t="inlineStr">
        <x:is>
          <x:t xml:space="preserve">口语与私人交流</x:t>
        </x:is>
      </x:c>
      <x:c r="F386" s="59" t="inlineStr">
        <x:is>
          <x:t xml:space="preserve">家庭档案</x:t>
        </x:is>
      </x:c>
      <x:c r="G386" s="58" t="inlineStr">
        <x:is>
          <x:t xml:space="preserve">无</x:t>
        </x:is>
      </x:c>
      <x:c r="H386" s="58" t="str">
        <x:f>IF(LEN(I386)&lt;15,"短",IF(LEN(I386)&lt;=45,"中","长"))</x:f>
        <x:v>中</x:v>
      </x:c>
      <x:c r="I386" s="59" t="inlineStr">
        <x:is>
          <x:t xml:space="preserve">翻到我爷爷的日记，里面写着“今日携内子往城南看戏”。</x:t>
        </x:is>
      </x:c>
      <x:c r="J386" s="59" t="str">
        <x:f>I386</x:f>
        <x:v>翻到我爷爷的日记，里面写着“今日携内子往城南看戏”。</x:v>
      </x:c>
      <x:c r="K386" s="58" t="inlineStr">
        <x:is>
          <x:t xml:space="preserve">无需改写</x:t>
        </x:is>
      </x:c>
      <x:c r="L386" s="59" t="inlineStr">
        <x:is>
          <x:t xml:space="preserve">内子</x:t>
        </x:is>
      </x:c>
      <x:c r="M386" s="59" t="inlineStr">
        <x:is>
          <x:t xml:space="preserve">旧式书面语的原文</x:t>
        </x:is>
      </x:c>
      <x:c r="N386" s="59" t="inlineStr">
        <x:is>
          <x:t xml:space="preserve">翻到我爷爷的日记，里面写着与家人看戏</x:t>
        </x:is>
      </x:c>
      <x:c r="O386" s="58" t="inlineStr">
        <x:is>
          <x:t xml:space="preserve">中</x:t>
        </x:is>
      </x:c>
      <x:c r="P386" s="58" t="inlineStr">
        <x:is>
          <x:t xml:space="preserve">否</x:t>
        </x:is>
      </x:c>
      <x:c r="Q386" s="59" t="n"/>
      <x:c r="R386" s="60" t="inlineStr">
        <x:is>
          <x:t xml:space="preserve">隔离·待确认</x:t>
        </x:is>
      </x:c>
      <x:c r="S386" s="60" t="inlineStr">
        <x:is>
          <x:t xml:space="preserve"/>
        </x:is>
      </x:c>
      <x:c r="T386" s="60" t="inlineStr">
        <x:is>
          <x:t xml:space="preserve">触发词不含性别编码——判断可能依赖世界知识而非句内信息</x:t>
        </x:is>
      </x:c>
    </x:row>
    <x:row r="387" s="37" customFormat="1" ht="29.850000381469727" customHeight="1">
      <x:c r="A387" s="55" t="inlineStr">
        <x:is>
          <x:t xml:space="preserve">NEG-0386</x:t>
        </x:is>
      </x:c>
      <x:c r="B387" s="55" t="inlineStr">
        <x:is>
          <x:t xml:space="preserve">v3</x:t>
        </x:is>
      </x:c>
      <x:c r="C387" s="56" t="inlineStr">
        <x:is>
          <x:t xml:space="preserve">五、引用与转述</x:t>
        </x:is>
      </x:c>
      <x:c r="D387" s="56" t="inlineStr">
        <x:is>
          <x:t xml:space="preserve">5.3 法律与官方文书原件</x:t>
        </x:is>
      </x:c>
      <x:c r="E387" s="56" t="inlineStr">
        <x:is>
          <x:t xml:space="preserve">法律与司法</x:t>
        </x:is>
      </x:c>
      <x:c r="F387" s="56" t="inlineStr">
        <x:is>
          <x:t xml:space="preserve">仲裁文书</x:t>
        </x:is>
      </x:c>
      <x:c r="G387" s="55" t="inlineStr">
        <x:is>
          <x:t xml:space="preserve">无</x:t>
        </x:is>
      </x:c>
      <x:c r="H387" s="55" t="str">
        <x:f>IF(LEN(I387)&lt;15,"短",IF(LEN(I387)&lt;=45,"中","长"))</x:f>
        <x:v>中</x:v>
      </x:c>
      <x:c r="I387" s="56" t="inlineStr">
        <x:is>
          <x:t xml:space="preserve">裁决书认定：“用人单位以女职工怀孕为由解除劳动合同，属违法解除。”</x:t>
        </x:is>
      </x:c>
      <x:c r="J387" s="56" t="str">
        <x:f>I387</x:f>
        <x:v>裁决书认定：“用人单位以女职工怀孕为由解除劳动合同，属违法解除。”</x:v>
      </x:c>
      <x:c r="K387" s="55" t="inlineStr">
        <x:is>
          <x:t xml:space="preserve">无需改写</x:t>
        </x:is>
      </x:c>
      <x:c r="L387" s="56" t="inlineStr">
        <x:is>
          <x:t xml:space="preserve">女职工怀孕</x:t>
        </x:is>
      </x:c>
      <x:c r="M387" s="56" t="inlineStr">
        <x:is>
          <x:t xml:space="preserve">裁决主文原文，且是保护性认定</x:t>
        </x:is>
      </x:c>
      <x:c r="N387" s="56" t="inlineStr">
        <x:is>
          <x:t xml:space="preserve">裁决书认定该解除行为属违法解除</x:t>
        </x:is>
      </x:c>
      <x:c r="O387" s="55" t="inlineStr">
        <x:is>
          <x:t xml:space="preserve">难</x:t>
        </x:is>
      </x:c>
      <x:c r="P387" s="55" t="inlineStr">
        <x:is>
          <x:t xml:space="preserve">否</x:t>
        </x:is>
      </x:c>
      <x:c r="Q387" s="56" t="n"/>
      <x:c r="R387" s="57" t="inlineStr">
        <x:is>
          <x:t xml:space="preserve">主集</x:t>
        </x:is>
      </x:c>
      <x:c r="S387" s="57" t="inlineStr">
        <x:is>
          <x:t xml:space="preserve">index</x:t>
        </x:is>
      </x:c>
      <x:c r="T387" s="57" t="inlineStr">
        <x:is>
          <x:t xml:space="preserve"/>
        </x:is>
      </x:c>
    </x:row>
    <x:row r="388" s="37" customFormat="1" ht="29.850000381469727" customHeight="1">
      <x:c r="A388" s="55" t="inlineStr">
        <x:is>
          <x:t xml:space="preserve">NEG-0387</x:t>
        </x:is>
      </x:c>
      <x:c r="B388" s="55" t="inlineStr">
        <x:is>
          <x:t xml:space="preserve">v3</x:t>
        </x:is>
      </x:c>
      <x:c r="C388" s="56" t="inlineStr">
        <x:is>
          <x:t xml:space="preserve">五、引用与转述</x:t>
        </x:is>
      </x:c>
      <x:c r="D388" s="56" t="inlineStr">
        <x:is>
          <x:t xml:space="preserve">5.3 法律与官方文书原件</x:t>
        </x:is>
      </x:c>
      <x:c r="E388" s="56" t="inlineStr">
        <x:is>
          <x:t xml:space="preserve">法律与司法</x:t>
        </x:is>
      </x:c>
      <x:c r="F388" s="56" t="inlineStr">
        <x:is>
          <x:t xml:space="preserve">起诉材料</x:t>
        </x:is>
      </x:c>
      <x:c r="G388" s="55" t="inlineStr">
        <x:is>
          <x:t xml:space="preserve">无</x:t>
        </x:is>
      </x:c>
      <x:c r="H388" s="55" t="str">
        <x:f>IF(LEN(I388)&lt;15,"短",IF(LEN(I388)&lt;=45,"中","长"))</x:f>
        <x:v>中</x:v>
      </x:c>
      <x:c r="I388" s="56" t="inlineStr">
        <x:is>
          <x:t xml:space="preserve">起诉状引用的聊天记录原文为：“你一个女人能干什么。”</x:t>
        </x:is>
      </x:c>
      <x:c r="J388" s="56" t="str">
        <x:f>I388</x:f>
        <x:v>起诉状引用的聊天记录原文为：“你一个女人能干什么。”</x:v>
      </x:c>
      <x:c r="K388" s="55" t="inlineStr">
        <x:is>
          <x:t xml:space="preserve">无需改写</x:t>
        </x:is>
      </x:c>
      <x:c r="L388" s="56" t="inlineStr">
        <x:is>
          <x:t xml:space="preserve">女人</x:t>
        </x:is>
      </x:c>
      <x:c r="M388" s="56" t="inlineStr">
        <x:is>
          <x:t xml:space="preserve">证据原文，改写即毁证</x:t>
        </x:is>
      </x:c>
      <x:c r="N388" s="56" t="inlineStr">
        <x:is>
          <x:t xml:space="preserve">起诉状称被告曾发表贬损性言论</x:t>
        </x:is>
      </x:c>
      <x:c r="O388" s="55" t="inlineStr">
        <x:is>
          <x:t xml:space="preserve">难</x:t>
        </x:is>
      </x:c>
      <x:c r="P388" s="55" t="inlineStr">
        <x:is>
          <x:t xml:space="preserve">否</x:t>
        </x:is>
      </x:c>
      <x:c r="Q388" s="56" t="n"/>
      <x:c r="R388" s="57" t="inlineStr">
        <x:is>
          <x:t xml:space="preserve">主集</x:t>
        </x:is>
      </x:c>
      <x:c r="S388" s="57" t="inlineStr">
        <x:is>
          <x:t xml:space="preserve">index</x:t>
        </x:is>
      </x:c>
      <x:c r="T388" s="57" t="inlineStr">
        <x:is>
          <x:t xml:space="preserve"/>
        </x:is>
      </x:c>
    </x:row>
    <x:row r="389" s="37" customFormat="1" ht="29.850000381469727" customHeight="1">
      <x:c r="A389" s="55" t="inlineStr">
        <x:is>
          <x:t xml:space="preserve">NEG-0388</x:t>
        </x:is>
      </x:c>
      <x:c r="B389" s="55" t="inlineStr">
        <x:is>
          <x:t xml:space="preserve">v3</x:t>
        </x:is>
      </x:c>
      <x:c r="C389" s="56" t="inlineStr">
        <x:is>
          <x:t xml:space="preserve">五、引用与转述</x:t>
        </x:is>
      </x:c>
      <x:c r="D389" s="56" t="inlineStr">
        <x:is>
          <x:t xml:space="preserve">5.4 研究与调查材料</x:t>
        </x:is>
      </x:c>
      <x:c r="E389" s="56" t="inlineStr">
        <x:is>
          <x:t xml:space="preserve">学术与调研</x:t>
        </x:is>
      </x:c>
      <x:c r="F389" s="56" t="inlineStr">
        <x:is>
          <x:t xml:space="preserve">访谈提纲</x:t>
        </x:is>
      </x:c>
      <x:c r="G389" s="55" t="inlineStr">
        <x:is>
          <x:t xml:space="preserve">无</x:t>
        </x:is>
      </x:c>
      <x:c r="H389" s="55" t="str">
        <x:f>IF(LEN(I389)&lt;15,"短",IF(LEN(I389)&lt;=45,"中","长"))</x:f>
        <x:v>中</x:v>
      </x:c>
      <x:c r="I389" s="56" t="inlineStr">
        <x:is>
          <x:t xml:space="preserve">提纲第 4 题：作为女性管理者，您在晋升过程中遇到过哪些阻力？</x:t>
        </x:is>
      </x:c>
      <x:c r="J389" s="56" t="str">
        <x:f>I389</x:f>
        <x:v>提纲第 4 题：作为女性管理者，您在晋升过程中遇到过哪些阻力？</x:v>
      </x:c>
      <x:c r="K389" s="55" t="inlineStr">
        <x:is>
          <x:t xml:space="preserve">无需改写</x:t>
        </x:is>
      </x:c>
      <x:c r="L389" s="56" t="inlineStr">
        <x:is>
          <x:t xml:space="preserve">女性管理者</x:t>
        </x:is>
      </x:c>
      <x:c r="M389" s="56" t="inlineStr">
        <x:is>
          <x:t xml:space="preserve">题目原文，是研究设计的一部分</x:t>
        </x:is>
      </x:c>
      <x:c r="N389" s="56" t="inlineStr">
        <x:is>
          <x:t xml:space="preserve">提纲第 4 题：您在晋升过程中遇到过哪些阻力？</x:t>
        </x:is>
      </x:c>
      <x:c r="O389" s="55" t="inlineStr">
        <x:is>
          <x:t xml:space="preserve">难</x:t>
        </x:is>
      </x:c>
      <x:c r="P389" s="55" t="inlineStr">
        <x:is>
          <x:t xml:space="preserve">否</x:t>
        </x:is>
      </x:c>
      <x:c r="Q389" s="56" t="n"/>
      <x:c r="R389" s="57" t="inlineStr">
        <x:is>
          <x:t xml:space="preserve">主集</x:t>
        </x:is>
      </x:c>
      <x:c r="S389" s="57" t="inlineStr">
        <x:is>
          <x:t xml:space="preserve">test</x:t>
        </x:is>
      </x:c>
      <x:c r="T389" s="57" t="inlineStr">
        <x:is>
          <x:t xml:space="preserve"/>
        </x:is>
      </x:c>
    </x:row>
    <x:row r="390" s="37" customFormat="1" ht="15" customHeight="1">
      <x:c r="A390" s="55" t="inlineStr">
        <x:is>
          <x:t xml:space="preserve">NEG-0389</x:t>
        </x:is>
      </x:c>
      <x:c r="B390" s="55" t="inlineStr">
        <x:is>
          <x:t xml:space="preserve">v3</x:t>
        </x:is>
      </x:c>
      <x:c r="C390" s="56" t="inlineStr">
        <x:is>
          <x:t xml:space="preserve">五、引用与转述</x:t>
        </x:is>
      </x:c>
      <x:c r="D390" s="56" t="inlineStr">
        <x:is>
          <x:t xml:space="preserve">5.4 研究与调查材料</x:t>
        </x:is>
      </x:c>
      <x:c r="E390" s="56" t="inlineStr">
        <x:is>
          <x:t xml:space="preserve">学术与调研</x:t>
        </x:is>
      </x:c>
      <x:c r="F390" s="56" t="inlineStr">
        <x:is>
          <x:t xml:space="preserve">编码说明</x:t>
        </x:is>
      </x:c>
      <x:c r="G390" s="55" t="inlineStr">
        <x:is>
          <x:t xml:space="preserve">结构化文本</x:t>
        </x:is>
      </x:c>
      <x:c r="H390" s="55" t="str">
        <x:f>IF(LEN(I390)&lt;15,"短",IF(LEN(I390)&lt;=45,"中","长"))</x:f>
        <x:v>中</x:v>
      </x:c>
      <x:c r="I390" s="56" t="inlineStr">
        <x:is>
          <x:t xml:space="preserve">性别字段编码：1＝男，2＝女，3＝其他，9＝缺失。</x:t>
        </x:is>
      </x:c>
      <x:c r="J390" s="56" t="str">
        <x:f>I390</x:f>
        <x:v>性别字段编码：1＝男，2＝女，3＝其他，9＝缺失。</x:v>
      </x:c>
      <x:c r="K390" s="55" t="inlineStr">
        <x:is>
          <x:t xml:space="preserve">无需改写</x:t>
        </x:is>
      </x:c>
      <x:c r="L390" s="56" t="inlineStr">
        <x:is>
          <x:t xml:space="preserve">男/女/其他</x:t>
        </x:is>
      </x:c>
      <x:c r="M390" s="56" t="inlineStr">
        <x:is>
          <x:t xml:space="preserve">编码规则文档</x:t>
        </x:is>
      </x:c>
      <x:c r="N390" s="56" t="inlineStr">
        <x:is>
          <x:t xml:space="preserve">性别字段编码：1、2、3、9 分别对应不同取值</x:t>
        </x:is>
      </x:c>
      <x:c r="O390" s="55" t="inlineStr">
        <x:is>
          <x:t xml:space="preserve">易</x:t>
        </x:is>
      </x:c>
      <x:c r="P390" s="55" t="inlineStr">
        <x:is>
          <x:t xml:space="preserve">否</x:t>
        </x:is>
      </x:c>
      <x:c r="Q390" s="56" t="n"/>
      <x:c r="R390" s="57" t="inlineStr">
        <x:is>
          <x:t xml:space="preserve">主集</x:t>
        </x:is>
      </x:c>
      <x:c r="S390" s="57" t="inlineStr">
        <x:is>
          <x:t xml:space="preserve">dev</x:t>
        </x:is>
      </x:c>
      <x:c r="T390" s="57" t="inlineStr">
        <x:is>
          <x:t xml:space="preserve"/>
        </x:is>
      </x:c>
    </x:row>
    <x:row r="391" s="37" customFormat="1" ht="15" customHeight="1">
      <x:c r="A391" s="55" t="inlineStr">
        <x:is>
          <x:t xml:space="preserve">NEG-0390</x:t>
        </x:is>
      </x:c>
      <x:c r="B391" s="55" t="inlineStr">
        <x:is>
          <x:t xml:space="preserve">v3</x:t>
        </x:is>
      </x:c>
      <x:c r="C391" s="56" t="inlineStr">
        <x:is>
          <x:t xml:space="preserve">五、引用与转述</x:t>
        </x:is>
      </x:c>
      <x:c r="D391" s="56" t="inlineStr">
        <x:is>
          <x:t xml:space="preserve">5.5 批判性转述与举例</x:t>
        </x:is>
      </x:c>
      <x:c r="E391" s="56" t="inlineStr">
        <x:is>
          <x:t xml:space="preserve">社交与社区</x:t>
        </x:is>
      </x:c>
      <x:c r="F391" s="56" t="inlineStr">
        <x:is>
          <x:t xml:space="preserve">社交评论</x:t>
        </x:is>
      </x:c>
      <x:c r="G391" s="55" t="inlineStr">
        <x:is>
          <x:t xml:space="preserve">无</x:t>
        </x:is>
      </x:c>
      <x:c r="H391" s="55" t="str">
        <x:f>IF(LEN(I391)&lt;15,"短",IF(LEN(I391)&lt;=45,"中","长"))</x:f>
        <x:v>中</x:v>
      </x:c>
      <x:c r="I391" s="56" t="inlineStr">
        <x:is>
          <x:t xml:space="preserve">每次看到“为母则刚”这四个字我就来气。</x:t>
        </x:is>
      </x:c>
      <x:c r="J391" s="56" t="str">
        <x:f>I391</x:f>
        <x:v>每次看到“为母则刚”这四个字我就来气。</x:v>
      </x:c>
      <x:c r="K391" s="55" t="inlineStr">
        <x:is>
          <x:t xml:space="preserve">无需改写</x:t>
        </x:is>
      </x:c>
      <x:c r="L391" s="56" t="inlineStr">
        <x:is>
          <x:t xml:space="preserve">为母则刚</x:t>
        </x:is>
      </x:c>
      <x:c r="M391" s="56" t="inlineStr">
        <x:is>
          <x:t xml:space="preserve">转述并反对该说法</x:t>
        </x:is>
      </x:c>
      <x:c r="N391" s="56" t="inlineStr">
        <x:is>
          <x:t xml:space="preserve">每次看到这类说法我就来气</x:t>
        </x:is>
      </x:c>
      <x:c r="O391" s="55" t="inlineStr">
        <x:is>
          <x:t xml:space="preserve">难</x:t>
        </x:is>
      </x:c>
      <x:c r="P391" s="55" t="inlineStr">
        <x:is>
          <x:t xml:space="preserve">否</x:t>
        </x:is>
      </x:c>
      <x:c r="Q391" s="56" t="n"/>
      <x:c r="R391" s="57" t="inlineStr">
        <x:is>
          <x:t xml:space="preserve">主集</x:t>
        </x:is>
      </x:c>
      <x:c r="S391" s="57" t="inlineStr">
        <x:is>
          <x:t xml:space="preserve">dev</x:t>
        </x:is>
      </x:c>
      <x:c r="T391" s="57" t="inlineStr">
        <x:is>
          <x:t xml:space="preserve"/>
        </x:is>
      </x:c>
    </x:row>
    <x:row r="392" s="37" customFormat="1" ht="29.850000381469727" customHeight="1">
      <x:c r="A392" s="55" t="inlineStr">
        <x:is>
          <x:t xml:space="preserve">NEG-0391</x:t>
        </x:is>
      </x:c>
      <x:c r="B392" s="55" t="inlineStr">
        <x:is>
          <x:t xml:space="preserve">v3</x:t>
        </x:is>
      </x:c>
      <x:c r="C392" s="56" t="inlineStr">
        <x:is>
          <x:t xml:space="preserve">五、引用与转述</x:t>
        </x:is>
      </x:c>
      <x:c r="D392" s="56" t="inlineStr">
        <x:is>
          <x:t xml:space="preserve">5.5 批判性转述与举例</x:t>
        </x:is>
      </x:c>
      <x:c r="E392" s="56" t="inlineStr">
        <x:is>
          <x:t xml:space="preserve">社交与社区</x:t>
        </x:is>
      </x:c>
      <x:c r="F392" s="56" t="inlineStr">
        <x:is>
          <x:t xml:space="preserve">审核记录</x:t>
        </x:is>
      </x:c>
      <x:c r="G392" s="55" t="inlineStr">
        <x:is>
          <x:t xml:space="preserve">无</x:t>
        </x:is>
      </x:c>
      <x:c r="H392" s="55" t="str">
        <x:f>IF(LEN(I392)&lt;15,"短",IF(LEN(I392)&lt;=45,"中","长"))</x:f>
        <x:v>中</x:v>
      </x:c>
      <x:c r="I392" s="56" t="inlineStr">
        <x:is>
          <x:t xml:space="preserve">本次拦截的评论中包含“女的开车就是不行”等歧视性表述。</x:t>
        </x:is>
      </x:c>
      <x:c r="J392" s="56" t="str">
        <x:f>I392</x:f>
        <x:v>本次拦截的评论中包含“女的开车就是不行”等歧视性表述。</x:v>
      </x:c>
      <x:c r="K392" s="55" t="inlineStr">
        <x:is>
          <x:t xml:space="preserve">无需改写</x:t>
        </x:is>
      </x:c>
      <x:c r="L392" s="56" t="inlineStr">
        <x:is>
          <x:t xml:space="preserve">女的开车就是不行</x:t>
        </x:is>
      </x:c>
      <x:c r="M392" s="56" t="inlineStr">
        <x:is>
          <x:t xml:space="preserve">违规样本的必要列举</x:t>
        </x:is>
      </x:c>
      <x:c r="N392" s="56" t="inlineStr">
        <x:is>
          <x:t xml:space="preserve">本次拦截的评论中包含歧视性表述</x:t>
        </x:is>
      </x:c>
      <x:c r="O392" s="55" t="inlineStr">
        <x:is>
          <x:t xml:space="preserve">难</x:t>
        </x:is>
      </x:c>
      <x:c r="P392" s="55" t="inlineStr">
        <x:is>
          <x:t xml:space="preserve">否</x:t>
        </x:is>
      </x:c>
      <x:c r="Q392" s="56" t="n"/>
      <x:c r="R392" s="57" t="inlineStr">
        <x:is>
          <x:t xml:space="preserve">主集</x:t>
        </x:is>
      </x:c>
      <x:c r="S392" s="57" t="inlineStr">
        <x:is>
          <x:t xml:space="preserve">index</x:t>
        </x:is>
      </x:c>
      <x:c r="T392" s="57" t="inlineStr">
        <x:is>
          <x:t xml:space="preserve"/>
        </x:is>
      </x:c>
    </x:row>
    <x:row r="393" s="37" customFormat="1" ht="15" customHeight="1">
      <x:c r="A393" s="55" t="inlineStr">
        <x:is>
          <x:t xml:space="preserve">NEG-0392</x:t>
        </x:is>
      </x:c>
      <x:c r="B393" s="55" t="inlineStr">
        <x:is>
          <x:t xml:space="preserve">v3</x:t>
        </x:is>
      </x:c>
      <x:c r="C393" s="56" t="inlineStr">
        <x:is>
          <x:t xml:space="preserve">五、引用与转述</x:t>
        </x:is>
      </x:c>
      <x:c r="D393" s="56" t="inlineStr">
        <x:is>
          <x:t xml:space="preserve">5.6 二手转述与新闻报道</x:t>
        </x:is>
      </x:c>
      <x:c r="E393" s="56" t="inlineStr">
        <x:is>
          <x:t xml:space="preserve">新闻报道</x:t>
        </x:is>
      </x:c>
      <x:c r="F393" s="56" t="inlineStr">
        <x:is>
          <x:t xml:space="preserve">就业报道</x:t>
        </x:is>
      </x:c>
      <x:c r="G393" s="55" t="inlineStr">
        <x:is>
          <x:t xml:space="preserve">无</x:t>
        </x:is>
      </x:c>
      <x:c r="H393" s="55" t="str">
        <x:f>IF(LEN(I393)&lt;15,"短",IF(LEN(I393)&lt;=45,"中","长"))</x:f>
        <x:v>中</x:v>
      </x:c>
      <x:c r="I393" s="56" t="inlineStr">
        <x:is>
          <x:t xml:space="preserve">据当事人描述，面试官直接问她三年内有没有生育计划。</x:t>
        </x:is>
      </x:c>
      <x:c r="J393" s="56" t="str">
        <x:f>I393</x:f>
        <x:v>据当事人描述，面试官直接问她三年内有没有生育计划。</x:v>
      </x:c>
      <x:c r="K393" s="55" t="inlineStr">
        <x:is>
          <x:t xml:space="preserve">无需改写</x:t>
        </x:is>
      </x:c>
      <x:c r="L393" s="56" t="inlineStr">
        <x:is>
          <x:t xml:space="preserve">她/生育计划</x:t>
        </x:is>
      </x:c>
      <x:c r="M393" s="56" t="inlineStr">
        <x:is>
          <x:t xml:space="preserve">歧视事实的具体呈现</x:t>
        </x:is>
      </x:c>
      <x:c r="N393" s="56" t="inlineStr">
        <x:is>
          <x:t xml:space="preserve">据当事人描述，面试官询问了其个人规划</x:t>
        </x:is>
      </x:c>
      <x:c r="O393" s="55" t="inlineStr">
        <x:is>
          <x:t xml:space="preserve">难</x:t>
        </x:is>
      </x:c>
      <x:c r="P393" s="55" t="inlineStr">
        <x:is>
          <x:t xml:space="preserve">否</x:t>
        </x:is>
      </x:c>
      <x:c r="Q393" s="56" t="n"/>
      <x:c r="R393" s="57" t="inlineStr">
        <x:is>
          <x:t xml:space="preserve">主集</x:t>
        </x:is>
      </x:c>
      <x:c r="S393" s="57" t="inlineStr">
        <x:is>
          <x:t xml:space="preserve">index</x:t>
        </x:is>
      </x:c>
      <x:c r="T393" s="57" t="inlineStr">
        <x:is>
          <x:t xml:space="preserve"/>
        </x:is>
      </x:c>
    </x:row>
    <x:row r="394" s="37" customFormat="1" ht="29.850000381469727" customHeight="1">
      <x:c r="A394" s="55" t="inlineStr">
        <x:is>
          <x:t xml:space="preserve">NEG-0393</x:t>
        </x:is>
      </x:c>
      <x:c r="B394" s="55" t="inlineStr">
        <x:is>
          <x:t xml:space="preserve">v3</x:t>
        </x:is>
      </x:c>
      <x:c r="C394" s="56" t="inlineStr">
        <x:is>
          <x:t xml:space="preserve">五、引用与转述</x:t>
        </x:is>
      </x:c>
      <x:c r="D394" s="56" t="inlineStr">
        <x:is>
          <x:t xml:space="preserve">5.6 二手转述与新闻报道</x:t>
        </x:is>
      </x:c>
      <x:c r="E394" s="56" t="inlineStr">
        <x:is>
          <x:t xml:space="preserve">新闻报道</x:t>
        </x:is>
      </x:c>
      <x:c r="F394" s="56" t="inlineStr">
        <x:is>
          <x:t xml:space="preserve">教育报道</x:t>
        </x:is>
      </x:c>
      <x:c r="G394" s="55" t="inlineStr">
        <x:is>
          <x:t xml:space="preserve">无</x:t>
        </x:is>
      </x:c>
      <x:c r="H394" s="55" t="str">
        <x:f>IF(LEN(I394)&lt;15,"短",IF(LEN(I394)&lt;=45,"中","长"))</x:f>
        <x:v>中</x:v>
      </x:c>
      <x:c r="I394" s="56" t="inlineStr">
        <x:is>
          <x:t xml:space="preserve">报道提到，该校招生简章曾写有“男生优先”字样，现已删除。</x:t>
        </x:is>
      </x:c>
      <x:c r="J394" s="56" t="str">
        <x:f>I394</x:f>
        <x:v>报道提到，该校招生简章曾写有“男生优先”字样，现已删除。</x:v>
      </x:c>
      <x:c r="K394" s="55" t="inlineStr">
        <x:is>
          <x:t xml:space="preserve">无需改写</x:t>
        </x:is>
      </x:c>
      <x:c r="L394" s="56" t="inlineStr">
        <x:is>
          <x:t xml:space="preserve">男生优先</x:t>
        </x:is>
      </x:c>
      <x:c r="M394" s="56" t="inlineStr">
        <x:is>
          <x:t xml:space="preserve">被批评对象的原文</x:t>
        </x:is>
      </x:c>
      <x:c r="N394" s="56" t="inlineStr">
        <x:is>
          <x:t xml:space="preserve">报道提到该校招生简章曾有不当限制，现已删除</x:t>
        </x:is>
      </x:c>
      <x:c r="O394" s="55" t="inlineStr">
        <x:is>
          <x:t xml:space="preserve">难</x:t>
        </x:is>
      </x:c>
      <x:c r="P394" s="55" t="inlineStr">
        <x:is>
          <x:t xml:space="preserve">否</x:t>
        </x:is>
      </x:c>
      <x:c r="Q394" s="56" t="n"/>
      <x:c r="R394" s="57" t="inlineStr">
        <x:is>
          <x:t xml:space="preserve">主集</x:t>
        </x:is>
      </x:c>
      <x:c r="S394" s="57" t="inlineStr">
        <x:is>
          <x:t xml:space="preserve">test</x:t>
        </x:is>
      </x:c>
      <x:c r="T394" s="57" t="inlineStr">
        <x:is>
          <x:t xml:space="preserve"/>
        </x:is>
      </x:c>
    </x:row>
    <x:row r="395" s="37" customFormat="1" ht="15" customHeight="1">
      <x:c r="A395" s="55" t="inlineStr">
        <x:is>
          <x:t xml:space="preserve">NEG-0394</x:t>
        </x:is>
      </x:c>
      <x:c r="B395" s="55" t="inlineStr">
        <x:is>
          <x:t xml:space="preserve">v3</x:t>
        </x:is>
      </x:c>
      <x:c r="C395" s="56" t="inlineStr">
        <x:is>
          <x:t xml:space="preserve">六、自我认同与自称</x:t>
        </x:is>
      </x:c>
      <x:c r="D395" s="56" t="inlineStr">
        <x:is>
          <x:t xml:space="preserve">6.1 自我描述的性别标签</x:t>
        </x:is>
      </x:c>
      <x:c r="E395" s="56" t="inlineStr">
        <x:is>
          <x:t xml:space="preserve">社交与社区</x:t>
        </x:is>
      </x:c>
      <x:c r="F395" s="56" t="inlineStr">
        <x:is>
          <x:t xml:space="preserve">社交动态</x:t>
        </x:is>
      </x:c>
      <x:c r="G395" s="55" t="inlineStr">
        <x:is>
          <x:t xml:space="preserve">无</x:t>
        </x:is>
      </x:c>
      <x:c r="H395" s="55" t="str">
        <x:f>IF(LEN(I395)&lt;15,"短",IF(LEN(I395)&lt;=45,"中","长"))</x:f>
        <x:v>中</x:v>
      </x:c>
      <x:c r="I395" s="56" t="inlineStr">
        <x:is>
          <x:t xml:space="preserve">我就是个普通女生，没什么远大理想，就想把日子过好。</x:t>
        </x:is>
      </x:c>
      <x:c r="J395" s="56" t="str">
        <x:f>I395</x:f>
        <x:v>我就是个普通女生，没什么远大理想，就想把日子过好。</x:v>
      </x:c>
      <x:c r="K395" s="55" t="inlineStr">
        <x:is>
          <x:t xml:space="preserve">无需改写</x:t>
        </x:is>
      </x:c>
      <x:c r="L395" s="56" t="inlineStr">
        <x:is>
          <x:t xml:space="preserve">女生</x:t>
        </x:is>
      </x:c>
      <x:c r="M395" s="56" t="inlineStr">
        <x:is>
          <x:t xml:space="preserve">自我描述</x:t>
        </x:is>
      </x:c>
      <x:c r="N395" s="56" t="inlineStr">
        <x:is>
          <x:t xml:space="preserve">我就是个普通人，没什么远大理想</x:t>
        </x:is>
      </x:c>
      <x:c r="O395" s="55" t="inlineStr">
        <x:is>
          <x:t xml:space="preserve">难</x:t>
        </x:is>
      </x:c>
      <x:c r="P395" s="55" t="inlineStr">
        <x:is>
          <x:t xml:space="preserve">否</x:t>
        </x:is>
      </x:c>
      <x:c r="Q395" s="56" t="n"/>
      <x:c r="R395" s="57" t="inlineStr">
        <x:is>
          <x:t xml:space="preserve">主集</x:t>
        </x:is>
      </x:c>
      <x:c r="S395" s="57" t="inlineStr">
        <x:is>
          <x:t xml:space="preserve">index</x:t>
        </x:is>
      </x:c>
      <x:c r="T395" s="57" t="inlineStr">
        <x:is>
          <x:t xml:space="preserve"/>
        </x:is>
      </x:c>
    </x:row>
    <x:row r="396" s="37" customFormat="1" ht="15" customHeight="1">
      <x:c r="A396" s="55" t="inlineStr">
        <x:is>
          <x:t xml:space="preserve">NEG-0395</x:t>
        </x:is>
      </x:c>
      <x:c r="B396" s="55" t="inlineStr">
        <x:is>
          <x:t xml:space="preserve">v3</x:t>
        </x:is>
      </x:c>
      <x:c r="C396" s="56" t="inlineStr">
        <x:is>
          <x:t xml:space="preserve">六、自我认同与自称</x:t>
        </x:is>
      </x:c>
      <x:c r="D396" s="56" t="inlineStr">
        <x:is>
          <x:t xml:space="preserve">6.1 自我描述的性别标签</x:t>
        </x:is>
      </x:c>
      <x:c r="E396" s="56" t="inlineStr">
        <x:is>
          <x:t xml:space="preserve">口语与私人交流</x:t>
        </x:is>
      </x:c>
      <x:c r="F396" s="56" t="inlineStr">
        <x:is>
          <x:t xml:space="preserve">个人主页</x:t>
        </x:is>
      </x:c>
      <x:c r="G396" s="55" t="inlineStr">
        <x:is>
          <x:t xml:space="preserve">无</x:t>
        </x:is>
      </x:c>
      <x:c r="H396" s="55" t="str">
        <x:f>IF(LEN(I396)&lt;15,"短",IF(LEN(I396)&lt;=45,"中","长"))</x:f>
        <x:v>中</x:v>
      </x:c>
      <x:c r="I396" s="56" t="inlineStr">
        <x:is>
          <x:t xml:space="preserve">简介里我写的是“三个孩子的爹”，其实还兼职做木工。</x:t>
        </x:is>
      </x:c>
      <x:c r="J396" s="56" t="str">
        <x:f>I396</x:f>
        <x:v>简介里我写的是“三个孩子的爹”，其实还兼职做木工。</x:v>
      </x:c>
      <x:c r="K396" s="55" t="inlineStr">
        <x:is>
          <x:t xml:space="preserve">无需改写</x:t>
        </x:is>
      </x:c>
      <x:c r="L396" s="56" t="inlineStr">
        <x:is>
          <x:t xml:space="preserve">爹</x:t>
        </x:is>
      </x:c>
      <x:c r="M396" s="56" t="inlineStr">
        <x:is>
          <x:t xml:space="preserve">自选的自我介绍用语</x:t>
        </x:is>
      </x:c>
      <x:c r="N396" s="56" t="inlineStr">
        <x:is>
          <x:t xml:space="preserve">简介里我写的是“三个孩子的家长”</x:t>
        </x:is>
      </x:c>
      <x:c r="O396" s="55" t="inlineStr">
        <x:is>
          <x:t xml:space="preserve">难</x:t>
        </x:is>
      </x:c>
      <x:c r="P396" s="55" t="inlineStr">
        <x:is>
          <x:t xml:space="preserve">否</x:t>
        </x:is>
      </x:c>
      <x:c r="Q396" s="56" t="n"/>
      <x:c r="R396" s="57" t="inlineStr">
        <x:is>
          <x:t xml:space="preserve">主集</x:t>
        </x:is>
      </x:c>
      <x:c r="S396" s="57" t="inlineStr">
        <x:is>
          <x:t xml:space="preserve">test</x:t>
        </x:is>
      </x:c>
      <x:c r="T396" s="57" t="inlineStr">
        <x:is>
          <x:t xml:space="preserve"/>
        </x:is>
      </x:c>
    </x:row>
    <x:row r="397" s="37" customFormat="1" ht="29.850000381469727" customHeight="1">
      <x:c r="A397" s="58" t="inlineStr">
        <x:is>
          <x:t xml:space="preserve">NEG-0396</x:t>
        </x:is>
      </x:c>
      <x:c r="B397" s="58" t="inlineStr">
        <x:is>
          <x:t xml:space="preserve">v3</x:t>
        </x:is>
      </x:c>
      <x:c r="C397" s="59" t="inlineStr">
        <x:is>
          <x:t xml:space="preserve">六、自我认同与自称</x:t>
        </x:is>
      </x:c>
      <x:c r="D397" s="59" t="inlineStr">
        <x:is>
          <x:t xml:space="preserve">6.2 主动声明的性别与代词</x:t>
        </x:is>
      </x:c>
      <x:c r="E397" s="59" t="inlineStr">
        <x:is>
          <x:t xml:space="preserve">社交与社区</x:t>
        </x:is>
      </x:c>
      <x:c r="F397" s="59" t="inlineStr">
        <x:is>
          <x:t xml:space="preserve">团队实践</x:t>
        </x:is>
      </x:c>
      <x:c r="G397" s="58" t="inlineStr">
        <x:is>
          <x:t xml:space="preserve">无</x:t>
        </x:is>
      </x:c>
      <x:c r="H397" s="58" t="str">
        <x:f>IF(LEN(I397)&lt;15,"短",IF(LEN(I397)&lt;=45,"中","长"))</x:f>
        <x:v>中</x:v>
      </x:c>
      <x:c r="I397" s="59" t="inlineStr">
        <x:is>
          <x:t xml:space="preserve">新同事在自我介绍里加了代词标注，我们组后来也都加上了。</x:t>
        </x:is>
      </x:c>
      <x:c r="J397" s="59" t="str">
        <x:f>I397</x:f>
        <x:v>新同事在自我介绍里加了代词标注，我们组后来也都加上了。</x:v>
      </x:c>
      <x:c r="K397" s="58" t="inlineStr">
        <x:is>
          <x:t xml:space="preserve">无需改写</x:t>
        </x:is>
      </x:c>
      <x:c r="L397" s="59" t="inlineStr">
        <x:is>
          <x:t xml:space="preserve">代词标注</x:t>
        </x:is>
      </x:c>
      <x:c r="M397" s="59" t="inlineStr">
        <x:is>
          <x:t xml:space="preserve">对自主声明实践的描述</x:t>
        </x:is>
      </x:c>
      <x:c r="N397" s="59" t="inlineStr">
        <x:is>
          <x:t xml:space="preserve">新同事在自我介绍里加了标识</x:t>
        </x:is>
      </x:c>
      <x:c r="O397" s="58" t="inlineStr">
        <x:is>
          <x:t xml:space="preserve">中</x:t>
        </x:is>
      </x:c>
      <x:c r="P397" s="58" t="inlineStr">
        <x:is>
          <x:t xml:space="preserve">否</x:t>
        </x:is>
      </x:c>
      <x:c r="Q397" s="59" t="n"/>
      <x:c r="R397" s="60" t="inlineStr">
        <x:is>
          <x:t xml:space="preserve">隔离·待确认</x:t>
        </x:is>
      </x:c>
      <x:c r="S397" s="60" t="inlineStr">
        <x:is>
          <x:t xml:space="preserve"/>
        </x:is>
      </x:c>
      <x:c r="T397" s="60" t="inlineStr">
        <x:is>
          <x:t xml:space="preserve">触发词不含性别编码——判断可能依赖世界知识而非句内信息</x:t>
        </x:is>
      </x:c>
    </x:row>
    <x:row r="398" s="37" customFormat="1" ht="15" customHeight="1">
      <x:c r="A398" s="55" t="inlineStr">
        <x:is>
          <x:t xml:space="preserve">NEG-0397</x:t>
        </x:is>
      </x:c>
      <x:c r="B398" s="55" t="inlineStr">
        <x:is>
          <x:t xml:space="preserve">v3</x:t>
        </x:is>
      </x:c>
      <x:c r="C398" s="56" t="inlineStr">
        <x:is>
          <x:t xml:space="preserve">六、自我认同与自称</x:t>
        </x:is>
      </x:c>
      <x:c r="D398" s="56" t="inlineStr">
        <x:is>
          <x:t xml:space="preserve">6.2 主动声明的性别与代词</x:t>
        </x:is>
      </x:c>
      <x:c r="E398" s="56" t="inlineStr">
        <x:is>
          <x:t xml:space="preserve">社交与社区</x:t>
        </x:is>
      </x:c>
      <x:c r="F398" s="56" t="inlineStr">
        <x:is>
          <x:t xml:space="preserve">社交动态</x:t>
        </x:is>
      </x:c>
      <x:c r="G398" s="55" t="inlineStr">
        <x:is>
          <x:t xml:space="preserve">无</x:t>
        </x:is>
      </x:c>
      <x:c r="H398" s="55" t="str">
        <x:f>IF(LEN(I398)&lt;15,"短",IF(LEN(I398)&lt;=45,"中","长"))</x:f>
        <x:v>中</x:v>
      </x:c>
      <x:c r="I398" s="56" t="inlineStr">
        <x:is>
          <x:t xml:space="preserve">资料页填的是女，但我更希望大家直接叫我名字。</x:t>
        </x:is>
      </x:c>
      <x:c r="J398" s="56" t="str">
        <x:f>I398</x:f>
        <x:v>资料页填的是女，但我更希望大家直接叫我名字。</x:v>
      </x:c>
      <x:c r="K398" s="55" t="inlineStr">
        <x:is>
          <x:t xml:space="preserve">无需改写</x:t>
        </x:is>
      </x:c>
      <x:c r="L398" s="56" t="inlineStr">
        <x:is>
          <x:t xml:space="preserve">女</x:t>
        </x:is>
      </x:c>
      <x:c r="M398" s="56" t="inlineStr">
        <x:is>
          <x:t xml:space="preserve">本人的声明与偏好</x:t>
        </x:is>
      </x:c>
      <x:c r="N398" s="56" t="inlineStr">
        <x:is>
          <x:t xml:space="preserve">资料页信息已填写，但我更希望大家叫我名字</x:t>
        </x:is>
      </x:c>
      <x:c r="O398" s="55" t="inlineStr">
        <x:is>
          <x:t xml:space="preserve">中</x:t>
        </x:is>
      </x:c>
      <x:c r="P398" s="55" t="inlineStr">
        <x:is>
          <x:t xml:space="preserve">否</x:t>
        </x:is>
      </x:c>
      <x:c r="Q398" s="56" t="n"/>
      <x:c r="R398" s="57" t="inlineStr">
        <x:is>
          <x:t xml:space="preserve">主集</x:t>
        </x:is>
      </x:c>
      <x:c r="S398" s="57" t="inlineStr">
        <x:is>
          <x:t xml:space="preserve">index</x:t>
        </x:is>
      </x:c>
      <x:c r="T398" s="57" t="inlineStr">
        <x:is>
          <x:t xml:space="preserve"/>
        </x:is>
      </x:c>
    </x:row>
    <x:row r="399" s="37" customFormat="1" ht="15" customHeight="1">
      <x:c r="A399" s="55" t="inlineStr">
        <x:is>
          <x:t xml:space="preserve">NEG-0398</x:t>
        </x:is>
      </x:c>
      <x:c r="B399" s="55" t="inlineStr">
        <x:is>
          <x:t xml:space="preserve">v3</x:t>
        </x:is>
      </x:c>
      <x:c r="C399" s="56" t="inlineStr">
        <x:is>
          <x:t xml:space="preserve">六、自我认同与自称</x:t>
        </x:is>
      </x:c>
      <x:c r="D399" s="56" t="inlineStr">
        <x:is>
          <x:t xml:space="preserve">6.3 社群内部用语</x:t>
        </x:is>
      </x:c>
      <x:c r="E399" s="56" t="inlineStr">
        <x:is>
          <x:t xml:space="preserve">社交与社区</x:t>
        </x:is>
      </x:c>
      <x:c r="F399" s="56" t="inlineStr">
        <x:is>
          <x:t xml:space="preserve">社群公约</x:t>
        </x:is>
      </x:c>
      <x:c r="G399" s="55" t="inlineStr">
        <x:is>
          <x:t xml:space="preserve">无</x:t>
        </x:is>
      </x:c>
      <x:c r="H399" s="55" t="str">
        <x:f>IF(LEN(I399)&lt;15,"短",IF(LEN(I399)&lt;=45,"中","长"))</x:f>
        <x:v>中</x:v>
      </x:c>
      <x:c r="I399" s="56" t="inlineStr">
        <x:is>
          <x:t xml:space="preserve">群规第一条：不问性别，不问年龄，只聊技术。</x:t>
        </x:is>
      </x:c>
      <x:c r="J399" s="56" t="str">
        <x:f>I399</x:f>
        <x:v>群规第一条：不问性别，不问年龄，只聊技术。</x:v>
      </x:c>
      <x:c r="K399" s="55" t="inlineStr">
        <x:is>
          <x:t xml:space="preserve">无需改写</x:t>
        </x:is>
      </x:c>
      <x:c r="L399" s="56" t="inlineStr">
        <x:is>
          <x:t xml:space="preserve">性别</x:t>
        </x:is>
      </x:c>
      <x:c r="M399" s="56" t="inlineStr">
        <x:is>
          <x:t xml:space="preserve">群规原文</x:t>
        </x:is>
      </x:c>
      <x:c r="N399" s="56" t="inlineStr">
        <x:is>
          <x:t xml:space="preserve">群规第一条：不问个人信息，只聊技术</x:t>
        </x:is>
      </x:c>
      <x:c r="O399" s="55" t="inlineStr">
        <x:is>
          <x:t xml:space="preserve">中</x:t>
        </x:is>
      </x:c>
      <x:c r="P399" s="55" t="inlineStr">
        <x:is>
          <x:t xml:space="preserve">否</x:t>
        </x:is>
      </x:c>
      <x:c r="Q399" s="56" t="n"/>
      <x:c r="R399" s="57" t="inlineStr">
        <x:is>
          <x:t xml:space="preserve">主集</x:t>
        </x:is>
      </x:c>
      <x:c r="S399" s="57" t="inlineStr">
        <x:is>
          <x:t xml:space="preserve">index</x:t>
        </x:is>
      </x:c>
      <x:c r="T399" s="57" t="inlineStr">
        <x:is>
          <x:t xml:space="preserve"/>
        </x:is>
      </x:c>
    </x:row>
    <x:row r="400" s="37" customFormat="1" ht="15" customHeight="1">
      <x:c r="A400" s="55" t="inlineStr">
        <x:is>
          <x:t xml:space="preserve">NEG-0399</x:t>
        </x:is>
      </x:c>
      <x:c r="B400" s="55" t="inlineStr">
        <x:is>
          <x:t xml:space="preserve">v3</x:t>
        </x:is>
      </x:c>
      <x:c r="C400" s="56" t="inlineStr">
        <x:is>
          <x:t xml:space="preserve">六、自我认同与自称</x:t>
        </x:is>
      </x:c>
      <x:c r="D400" s="56" t="inlineStr">
        <x:is>
          <x:t xml:space="preserve">6.3 社群内部用语</x:t>
        </x:is>
      </x:c>
      <x:c r="E400" s="56" t="inlineStr">
        <x:is>
          <x:t xml:space="preserve">工程与技术</x:t>
        </x:is>
      </x:c>
      <x:c r="F400" s="56" t="inlineStr">
        <x:is>
          <x:t xml:space="preserve">网络用语</x:t>
        </x:is>
      </x:c>
      <x:c r="G400" s="55" t="inlineStr">
        <x:is>
          <x:t xml:space="preserve">网络用语</x:t>
        </x:is>
      </x:c>
      <x:c r="H400" s="55" t="str">
        <x:f>IF(LEN(I400)&lt;15,"短",IF(LEN(I400)&lt;=45,"中","长"))</x:f>
        <x:v>中</x:v>
      </x:c>
      <x:c r="I400" s="56" t="inlineStr">
        <x:is>
          <x:t xml:space="preserve">姐妹们冲！这个价真的不容易，我蹲了仨月。</x:t>
        </x:is>
      </x:c>
      <x:c r="J400" s="56" t="str">
        <x:f>I400</x:f>
        <x:v>姐妹们冲！这个价真的不容易，我蹲了仨月。</x:v>
      </x:c>
      <x:c r="K400" s="55" t="inlineStr">
        <x:is>
          <x:t xml:space="preserve">无需改写</x:t>
        </x:is>
      </x:c>
      <x:c r="L400" s="56" t="inlineStr">
        <x:is>
          <x:t xml:space="preserve">姐妹们</x:t>
        </x:is>
      </x:c>
      <x:c r="M400" s="56" t="inlineStr">
        <x:is>
          <x:t xml:space="preserve">网络语境中已泛化为不分性别的招呼语</x:t>
        </x:is>
      </x:c>
      <x:c r="N400" s="56" t="inlineStr">
        <x:is>
          <x:t xml:space="preserve">大家冲！这个价真的不容易</x:t>
        </x:is>
      </x:c>
      <x:c r="O400" s="55" t="inlineStr">
        <x:is>
          <x:t xml:space="preserve">中</x:t>
        </x:is>
      </x:c>
      <x:c r="P400" s="55" t="inlineStr">
        <x:is>
          <x:t xml:space="preserve">是</x:t>
        </x:is>
      </x:c>
      <x:c r="Q400" s="56" t="n"/>
      <x:c r="R400" s="57" t="inlineStr">
        <x:is>
          <x:t xml:space="preserve">主集</x:t>
        </x:is>
      </x:c>
      <x:c r="S400" s="57" t="inlineStr">
        <x:is>
          <x:t xml:space="preserve">dev</x:t>
        </x:is>
      </x:c>
      <x:c r="T400" s="57" t="inlineStr">
        <x:is>
          <x:t xml:space="preserve"/>
        </x:is>
      </x:c>
    </x:row>
    <x:row r="401" s="37" customFormat="1" ht="29.850000381469727" customHeight="1">
      <x:c r="A401" s="55" t="inlineStr">
        <x:is>
          <x:t xml:space="preserve">NEG-0400</x:t>
        </x:is>
      </x:c>
      <x:c r="B401" s="55" t="inlineStr">
        <x:is>
          <x:t xml:space="preserve">v3</x:t>
        </x:is>
      </x:c>
      <x:c r="C401" s="56" t="inlineStr">
        <x:is>
          <x:t xml:space="preserve">六、自我认同与自称</x:t>
        </x:is>
      </x:c>
      <x:c r="D401" s="56" t="inlineStr">
        <x:is>
          <x:t xml:space="preserve">6.4 职业与身份的自我定位</x:t>
        </x:is>
      </x:c>
      <x:c r="E401" s="56" t="inlineStr">
        <x:is>
          <x:t xml:space="preserve">文艺创作与评论</x:t>
        </x:is>
      </x:c>
      <x:c r="F401" s="56" t="inlineStr">
        <x:is>
          <x:t xml:space="preserve">人物采访</x:t>
        </x:is>
      </x:c>
      <x:c r="G401" s="55" t="inlineStr">
        <x:is>
          <x:t xml:space="preserve">无</x:t>
        </x:is>
      </x:c>
      <x:c r="H401" s="55" t="str">
        <x:f>IF(LEN(I401)&lt;15,"短",IF(LEN(I401)&lt;=45,"中","长"))</x:f>
        <x:v>中</x:v>
      </x:c>
      <x:c r="I401" s="56" t="inlineStr">
        <x:is>
          <x:t xml:space="preserve">“我是个男的，但我确实喜欢做家务，这有什么问题吗？”</x:t>
        </x:is>
      </x:c>
      <x:c r="J401" s="56" t="str">
        <x:f>I401</x:f>
        <x:v>“我是个男的，但我确实喜欢做家务，这有什么问题吗？”</x:v>
      </x:c>
      <x:c r="K401" s="55" t="inlineStr">
        <x:is>
          <x:t xml:space="preserve">无需改写</x:t>
        </x:is>
      </x:c>
      <x:c r="L401" s="56" t="inlineStr">
        <x:is>
          <x:t xml:space="preserve">男的</x:t>
        </x:is>
      </x:c>
      <x:c r="M401" s="56" t="inlineStr">
        <x:is>
          <x:t xml:space="preserve">受访者自述，且句子在反驳刻板印象</x:t>
        </x:is>
      </x:c>
      <x:c r="N401" s="56" t="inlineStr">
        <x:is>
          <x:t xml:space="preserve">“我确实喜欢做家务，这有什么问题吗？”</x:t>
        </x:is>
      </x:c>
      <x:c r="O401" s="55" t="inlineStr">
        <x:is>
          <x:t xml:space="preserve">难</x:t>
        </x:is>
      </x:c>
      <x:c r="P401" s="55" t="inlineStr">
        <x:is>
          <x:t xml:space="preserve">否</x:t>
        </x:is>
      </x:c>
      <x:c r="Q401" s="56" t="n"/>
      <x:c r="R401" s="57" t="inlineStr">
        <x:is>
          <x:t xml:space="preserve">主集</x:t>
        </x:is>
      </x:c>
      <x:c r="S401" s="57" t="inlineStr">
        <x:is>
          <x:t xml:space="preserve">test</x:t>
        </x:is>
      </x:c>
      <x:c r="T401" s="57" t="inlineStr">
        <x:is>
          <x:t xml:space="preserve"/>
        </x:is>
      </x:c>
    </x:row>
    <x:row r="402" s="37" customFormat="1" ht="15" customHeight="1">
      <x:c r="A402" s="55" t="inlineStr">
        <x:is>
          <x:t xml:space="preserve">NEG-0401</x:t>
        </x:is>
      </x:c>
      <x:c r="B402" s="55" t="inlineStr">
        <x:is>
          <x:t xml:space="preserve">v3</x:t>
        </x:is>
      </x:c>
      <x:c r="C402" s="56" t="inlineStr">
        <x:is>
          <x:t xml:space="preserve">六、自我认同与自称</x:t>
        </x:is>
      </x:c>
      <x:c r="D402" s="56" t="inlineStr">
        <x:is>
          <x:t xml:space="preserve">6.4 职业与身份的自我定位</x:t>
        </x:is>
      </x:c>
      <x:c r="E402" s="56" t="inlineStr">
        <x:is>
          <x:t xml:space="preserve">文艺创作与评论</x:t>
        </x:is>
      </x:c>
      <x:c r="F402" s="56" t="inlineStr">
        <x:is>
          <x:t xml:space="preserve">演讲实录</x:t>
        </x:is>
      </x:c>
      <x:c r="G402" s="55" t="inlineStr">
        <x:is>
          <x:t xml:space="preserve">无</x:t>
        </x:is>
      </x:c>
      <x:c r="H402" s="55" t="str">
        <x:f>IF(LEN(I402)&lt;15,"短",IF(LEN(I402)&lt;=45,"中","长"))</x:f>
        <x:v>中</x:v>
      </x:c>
      <x:c r="I402" s="56" t="inlineStr">
        <x:is>
          <x:t xml:space="preserve">“作为一名女性货车司机，我跑了六年长途。”</x:t>
        </x:is>
      </x:c>
      <x:c r="J402" s="56" t="str">
        <x:f>I402</x:f>
        <x:v>“作为一名女性货车司机，我跑了六年长途。”</x:v>
      </x:c>
      <x:c r="K402" s="55" t="inlineStr">
        <x:is>
          <x:t xml:space="preserve">无需改写</x:t>
        </x:is>
      </x:c>
      <x:c r="L402" s="56" t="inlineStr">
        <x:is>
          <x:t xml:space="preserve">女性货车司机</x:t>
        </x:is>
      </x:c>
      <x:c r="M402" s="56" t="inlineStr">
        <x:is>
          <x:t xml:space="preserve">发言人自我定位</x:t>
        </x:is>
      </x:c>
      <x:c r="N402" s="56" t="inlineStr">
        <x:is>
          <x:t xml:space="preserve">“作为一名货车司机，我跑了六年长途。”</x:t>
        </x:is>
      </x:c>
      <x:c r="O402" s="55" t="inlineStr">
        <x:is>
          <x:t xml:space="preserve">难</x:t>
        </x:is>
      </x:c>
      <x:c r="P402" s="55" t="inlineStr">
        <x:is>
          <x:t xml:space="preserve">否</x:t>
        </x:is>
      </x:c>
      <x:c r="Q402" s="56" t="n"/>
      <x:c r="R402" s="57" t="inlineStr">
        <x:is>
          <x:t xml:space="preserve">主集</x:t>
        </x:is>
      </x:c>
      <x:c r="S402" s="57" t="inlineStr">
        <x:is>
          <x:t xml:space="preserve">test</x:t>
        </x:is>
      </x:c>
      <x:c r="T402" s="57" t="inlineStr">
        <x:is>
          <x:t xml:space="preserve"/>
        </x:is>
      </x:c>
    </x:row>
    <x:row r="403" s="37" customFormat="1" ht="15" customHeight="1">
      <x:c r="A403" s="58" t="inlineStr">
        <x:is>
          <x:t xml:space="preserve">NEG-0402</x:t>
        </x:is>
      </x:c>
      <x:c r="B403" s="58" t="inlineStr">
        <x:is>
          <x:t xml:space="preserve">v3</x:t>
        </x:is>
      </x:c>
      <x:c r="C403" s="59" t="inlineStr">
        <x:is>
          <x:t xml:space="preserve">六、自我认同与自称</x:t>
        </x:is>
      </x:c>
      <x:c r="D403" s="59" t="inlineStr">
        <x:is>
          <x:t xml:space="preserve">6.5 艺名、网名、角色名</x:t>
        </x:is>
      </x:c>
      <x:c r="E403" s="59" t="inlineStr">
        <x:is>
          <x:t xml:space="preserve">社交与社区</x:t>
        </x:is>
      </x:c>
      <x:c r="F403" s="59" t="inlineStr">
        <x:is>
          <x:t xml:space="preserve">社交动态</x:t>
        </x:is>
      </x:c>
      <x:c r="G403" s="58" t="inlineStr">
        <x:is>
          <x:t xml:space="preserve">无</x:t>
        </x:is>
      </x:c>
      <x:c r="H403" s="58" t="str">
        <x:f>IF(LEN(I403)&lt;15,"短",IF(LEN(I403)&lt;=45,"中","长"))</x:f>
        <x:v>中</x:v>
      </x:c>
      <x:c r="I403" s="59" t="inlineStr">
        <x:is>
          <x:t xml:space="preserve">我微博名叫“老王家的猫”，其实我姓李，也不是老王。</x:t>
        </x:is>
      </x:c>
      <x:c r="J403" s="59" t="str">
        <x:f>I403</x:f>
        <x:v>我微博名叫“老王家的猫”，其实我姓李，也不是老王。</x:v>
      </x:c>
      <x:c r="K403" s="58" t="inlineStr">
        <x:is>
          <x:t xml:space="preserve">无需改写</x:t>
        </x:is>
      </x:c>
      <x:c r="L403" s="59" t="inlineStr">
        <x:is>
          <x:t xml:space="preserve">老王</x:t>
        </x:is>
      </x:c>
      <x:c r="M403" s="59" t="inlineStr">
        <x:is>
          <x:t xml:space="preserve">自选网名，且句子已说明与本人无关</x:t>
        </x:is>
      </x:c>
      <x:c r="N403" s="59" t="inlineStr">
        <x:is>
          <x:t xml:space="preserve">我微博名与本人姓氏无关</x:t>
        </x:is>
      </x:c>
      <x:c r="O403" s="58" t="inlineStr">
        <x:is>
          <x:t xml:space="preserve">中</x:t>
        </x:is>
      </x:c>
      <x:c r="P403" s="58" t="inlineStr">
        <x:is>
          <x:t xml:space="preserve">否</x:t>
        </x:is>
      </x:c>
      <x:c r="Q403" s="59" t="n"/>
      <x:c r="R403" s="60" t="inlineStr">
        <x:is>
          <x:t xml:space="preserve">隔离·待确认</x:t>
        </x:is>
      </x:c>
      <x:c r="S403" s="60" t="inlineStr">
        <x:is>
          <x:t xml:space="preserve"/>
        </x:is>
      </x:c>
      <x:c r="T403" s="60" t="inlineStr">
        <x:is>
          <x:t xml:space="preserve">触发词不含性别编码——判断可能依赖世界知识而非句内信息</x:t>
        </x:is>
      </x:c>
    </x:row>
    <x:row r="404" s="37" customFormat="1" ht="15" customHeight="1">
      <x:c r="A404" s="55" t="inlineStr">
        <x:is>
          <x:t xml:space="preserve">NEG-0403</x:t>
        </x:is>
      </x:c>
      <x:c r="B404" s="55" t="inlineStr">
        <x:is>
          <x:t xml:space="preserve">v3</x:t>
        </x:is>
      </x:c>
      <x:c r="C404" s="56" t="inlineStr">
        <x:is>
          <x:t xml:space="preserve">六、自我认同与自称</x:t>
        </x:is>
      </x:c>
      <x:c r="D404" s="56" t="inlineStr">
        <x:is>
          <x:t xml:space="preserve">6.5 艺名、网名、角色名</x:t>
        </x:is>
      </x:c>
      <x:c r="E404" s="56" t="inlineStr">
        <x:is>
          <x:t xml:space="preserve">社交与社区</x:t>
        </x:is>
      </x:c>
      <x:c r="F404" s="56" t="inlineStr">
        <x:is>
          <x:t xml:space="preserve">平台资料</x:t>
        </x:is>
      </x:c>
      <x:c r="G404" s="55" t="inlineStr">
        <x:is>
          <x:t xml:space="preserve">无</x:t>
        </x:is>
      </x:c>
      <x:c r="H404" s="55" t="str">
        <x:f>IF(LEN(I404)&lt;15,"短",IF(LEN(I404)&lt;=45,"中","长"))</x:f>
        <x:v>中</x:v>
      </x:c>
      <x:c r="I404" s="56" t="inlineStr">
        <x:is>
          <x:t xml:space="preserve">账号“厂妹阿香”已完成实名认证。</x:t>
        </x:is>
      </x:c>
      <x:c r="J404" s="56" t="str">
        <x:f>I404</x:f>
        <x:v>账号“厂妹阿香”已完成实名认证。</x:v>
      </x:c>
      <x:c r="K404" s="55" t="inlineStr">
        <x:is>
          <x:t xml:space="preserve">无需改写</x:t>
        </x:is>
      </x:c>
      <x:c r="L404" s="56" t="inlineStr">
        <x:is>
          <x:t xml:space="preserve">厂妹阿香</x:t>
        </x:is>
      </x:c>
      <x:c r="M404" s="56" t="inlineStr">
        <x:is>
          <x:t xml:space="preserve">用户自选账号名</x:t>
        </x:is>
      </x:c>
      <x:c r="N404" s="56" t="inlineStr">
        <x:is>
          <x:t xml:space="preserve">账号“阿香”已完成实名认证</x:t>
        </x:is>
      </x:c>
      <x:c r="O404" s="55" t="inlineStr">
        <x:is>
          <x:t xml:space="preserve">中</x:t>
        </x:is>
      </x:c>
      <x:c r="P404" s="55" t="inlineStr">
        <x:is>
          <x:t xml:space="preserve">否</x:t>
        </x:is>
      </x:c>
      <x:c r="Q404" s="56" t="n"/>
      <x:c r="R404" s="57" t="inlineStr">
        <x:is>
          <x:t xml:space="preserve">主集</x:t>
        </x:is>
      </x:c>
      <x:c r="S404" s="57" t="inlineStr">
        <x:is>
          <x:t xml:space="preserve">test</x:t>
        </x:is>
      </x:c>
      <x:c r="T404" s="57" t="inlineStr">
        <x:is>
          <x:t xml:space="preserve"/>
        </x:is>
      </x:c>
    </x:row>
    <x:row r="405" s="37" customFormat="1" ht="15" customHeight="1">
      <x:c r="A405" s="61" t="inlineStr">
        <x:is>
          <x:t xml:space="preserve">NEG-0404</x:t>
        </x:is>
      </x:c>
      <x:c r="B405" s="61" t="inlineStr">
        <x:is>
          <x:t xml:space="preserve">v3</x:t>
        </x:is>
      </x:c>
      <x:c r="C405" s="62" t="inlineStr">
        <x:is>
          <x:t xml:space="preserve">七、创作与修辞需要</x:t>
        </x:is>
      </x:c>
      <x:c r="D405" s="62" t="inlineStr">
        <x:is>
          <x:t xml:space="preserve">7.1 人物塑造</x:t>
        </x:is>
      </x:c>
      <x:c r="E405" s="62" t="inlineStr">
        <x:is>
          <x:t xml:space="preserve">社交与社区</x:t>
        </x:is>
      </x:c>
      <x:c r="F405" s="62" t="inlineStr">
        <x:is>
          <x:t xml:space="preserve">弹幕评论</x:t>
        </x:is>
      </x:c>
      <x:c r="G405" s="61" t="inlineStr">
        <x:is>
          <x:t xml:space="preserve">网络用语</x:t>
        </x:is>
      </x:c>
      <x:c r="H405" s="61" t="str">
        <x:f>IF(LEN(I405)&lt;15,"短",IF(LEN(I405)&lt;=45,"中","长"))</x:f>
        <x:v>中</x:v>
      </x:c>
      <x:c r="I405" s="62" t="inlineStr">
        <x:is>
          <x:t xml:space="preserve">这个婆婆说话是真气人，演员演得太好了。</x:t>
        </x:is>
      </x:c>
      <x:c r="J405" s="62" t="str">
        <x:f>I405</x:f>
        <x:v>这个婆婆说话是真气人，演员演得太好了。</x:v>
      </x:c>
      <x:c r="K405" s="61" t="inlineStr">
        <x:is>
          <x:t xml:space="preserve">无需改写</x:t>
        </x:is>
      </x:c>
      <x:c r="L405" s="62" t="inlineStr">
        <x:is>
          <x:t xml:space="preserve">婆婆</x:t>
        </x:is>
      </x:c>
      <x:c r="M405" s="62" t="inlineStr">
        <x:is>
          <x:t xml:space="preserve">评论对象是剧中角色</x:t>
        </x:is>
      </x:c>
      <x:c r="N405" s="62" t="inlineStr">
        <x:is>
          <x:t xml:space="preserve">这个角色说话是真气人</x:t>
        </x:is>
      </x:c>
      <x:c r="O405" s="61" t="inlineStr">
        <x:is>
          <x:t xml:space="preserve">中</x:t>
        </x:is>
      </x:c>
      <x:c r="P405" s="61" t="inlineStr">
        <x:is>
          <x:t xml:space="preserve">否</x:t>
        </x:is>
      </x:c>
      <x:c r="Q405" s="62" t="n"/>
      <x:c r="R405" s="63" t="inlineStr">
        <x:is>
          <x:t xml:space="preserve">剔除</x:t>
        </x:is>
      </x:c>
      <x:c r="S405" s="63" t="inlineStr">
        <x:is>
          <x:t xml:space="preserve"/>
        </x:is>
      </x:c>
      <x:c r="T405" s="63" t="inlineStr">
        <x:is>
          <x:t xml:space="preserve">类别名有误导性：判据实为「引用/提及」，暂不纳入</x:t>
        </x:is>
      </x:c>
    </x:row>
    <x:row r="406" s="37" customFormat="1" ht="29.850000381469727" customHeight="1">
      <x:c r="A406" s="61" t="inlineStr">
        <x:is>
          <x:t xml:space="preserve">NEG-0405</x:t>
        </x:is>
      </x:c>
      <x:c r="B406" s="61" t="inlineStr">
        <x:is>
          <x:t xml:space="preserve">v3</x:t>
        </x:is>
      </x:c>
      <x:c r="C406" s="62" t="inlineStr">
        <x:is>
          <x:t xml:space="preserve">七、创作与修辞需要</x:t>
        </x:is>
      </x:c>
      <x:c r="D406" s="62" t="inlineStr">
        <x:is>
          <x:t xml:space="preserve">7.1 人物塑造</x:t>
        </x:is>
      </x:c>
      <x:c r="E406" s="62" t="inlineStr">
        <x:is>
          <x:t xml:space="preserve">文艺创作与评论</x:t>
        </x:is>
      </x:c>
      <x:c r="F406" s="62" t="inlineStr">
        <x:is>
          <x:t xml:space="preserve">小说</x:t>
        </x:is>
      </x:c>
      <x:c r="G406" s="61" t="inlineStr">
        <x:is>
          <x:t xml:space="preserve">无</x:t>
        </x:is>
      </x:c>
      <x:c r="H406" s="61" t="str">
        <x:f>IF(LEN(I406)&lt;15,"短",IF(LEN(I406)&lt;=45,"中","长"))</x:f>
        <x:v>中</x:v>
      </x:c>
      <x:c r="I406" s="62" t="inlineStr">
        <x:is>
          <x:t xml:space="preserve">“你一个丫头片子，懂什么。”他说完就走了，门摔得很响。</x:t>
        </x:is>
      </x:c>
      <x:c r="J406" s="62" t="str">
        <x:f>I406</x:f>
        <x:v>“你一个丫头片子，懂什么。”他说完就走了，门摔得很响。</x:v>
      </x:c>
      <x:c r="K406" s="61" t="inlineStr">
        <x:is>
          <x:t xml:space="preserve">无需改写</x:t>
        </x:is>
      </x:c>
      <x:c r="L406" s="62" t="inlineStr">
        <x:is>
          <x:t xml:space="preserve">丫头片子</x:t>
        </x:is>
      </x:c>
      <x:c r="M406" s="62" t="inlineStr">
        <x:is>
          <x:t xml:space="preserve">角色台词</x:t>
        </x:is>
      </x:c>
      <x:c r="N406" s="62" t="inlineStr">
        <x:is>
          <x:t xml:space="preserve">“你懂什么。”他说完就走了</x:t>
        </x:is>
      </x:c>
      <x:c r="O406" s="61" t="inlineStr">
        <x:is>
          <x:t xml:space="preserve">难</x:t>
        </x:is>
      </x:c>
      <x:c r="P406" s="61" t="inlineStr">
        <x:is>
          <x:t xml:space="preserve">否</x:t>
        </x:is>
      </x:c>
      <x:c r="Q406" s="62" t="n"/>
      <x:c r="R406" s="63" t="inlineStr">
        <x:is>
          <x:t xml:space="preserve">剔除</x:t>
        </x:is>
      </x:c>
      <x:c r="S406" s="63" t="inlineStr">
        <x:is>
          <x:t xml:space="preserve"/>
        </x:is>
      </x:c>
      <x:c r="T406" s="63" t="inlineStr">
        <x:is>
          <x:t xml:space="preserve">类别名有误导性：判据实为「引用/提及」，暂不纳入</x:t>
        </x:is>
      </x:c>
    </x:row>
    <x:row r="407" s="37" customFormat="1" ht="15" customHeight="1">
      <x:c r="A407" s="61" t="inlineStr">
        <x:is>
          <x:t xml:space="preserve">NEG-0406</x:t>
        </x:is>
      </x:c>
      <x:c r="B407" s="61" t="inlineStr">
        <x:is>
          <x:t xml:space="preserve">v3</x:t>
        </x:is>
      </x:c>
      <x:c r="C407" s="62" t="inlineStr">
        <x:is>
          <x:t xml:space="preserve">七、创作与修辞需要</x:t>
        </x:is>
      </x:c>
      <x:c r="D407" s="62" t="inlineStr">
        <x:is>
          <x:t xml:space="preserve">7.2 情节与主题必需</x:t>
        </x:is>
      </x:c>
      <x:c r="E407" s="62" t="inlineStr">
        <x:is>
          <x:t xml:space="preserve">公文与规章</x:t>
        </x:is>
      </x:c>
      <x:c r="F407" s="62" t="inlineStr">
        <x:is>
          <x:t xml:space="preserve">剧情简介</x:t>
        </x:is>
      </x:c>
      <x:c r="G407" s="61" t="inlineStr">
        <x:is>
          <x:t xml:space="preserve">无</x:t>
        </x:is>
      </x:c>
      <x:c r="H407" s="61" t="str">
        <x:f>IF(LEN(I407)&lt;15,"短",IF(LEN(I407)&lt;=45,"中","长"))</x:f>
        <x:v>中</x:v>
      </x:c>
      <x:c r="I407" s="62" t="inlineStr">
        <x:is>
          <x:t xml:space="preserve">故事从一位寡妇独自撑起一间茶馆开始。</x:t>
        </x:is>
      </x:c>
      <x:c r="J407" s="62" t="str">
        <x:f>I407</x:f>
        <x:v>故事从一位寡妇独自撑起一间茶馆开始。</x:v>
      </x:c>
      <x:c r="K407" s="61" t="inlineStr">
        <x:is>
          <x:t xml:space="preserve">无需改写</x:t>
        </x:is>
      </x:c>
      <x:c r="L407" s="62" t="inlineStr">
        <x:is>
          <x:t xml:space="preserve">寡妇</x:t>
        </x:is>
      </x:c>
      <x:c r="M407" s="62" t="inlineStr">
        <x:is>
          <x:t xml:space="preserve">人物身份即故事起点</x:t>
        </x:is>
      </x:c>
      <x:c r="N407" s="62" t="inlineStr">
        <x:is>
          <x:t xml:space="preserve">故事从一位店主独自撑起一间茶馆开始</x:t>
        </x:is>
      </x:c>
      <x:c r="O407" s="61" t="inlineStr">
        <x:is>
          <x:t xml:space="preserve">中</x:t>
        </x:is>
      </x:c>
      <x:c r="P407" s="61" t="inlineStr">
        <x:is>
          <x:t xml:space="preserve">否</x:t>
        </x:is>
      </x:c>
      <x:c r="Q407" s="62" t="n"/>
      <x:c r="R407" s="63" t="inlineStr">
        <x:is>
          <x:t xml:space="preserve">剔除</x:t>
        </x:is>
      </x:c>
      <x:c r="S407" s="63" t="inlineStr">
        <x:is>
          <x:t xml:space="preserve"/>
        </x:is>
      </x:c>
      <x:c r="T407" s="63" t="inlineStr">
        <x:is>
          <x:t xml:space="preserve">类别名有误导性：判据实为「引用/提及」，暂不纳入</x:t>
        </x:is>
      </x:c>
    </x:row>
    <x:row r="408" s="37" customFormat="1" ht="15" customHeight="1">
      <x:c r="A408" s="61" t="inlineStr">
        <x:is>
          <x:t xml:space="preserve">NEG-0407</x:t>
        </x:is>
      </x:c>
      <x:c r="B408" s="61" t="inlineStr">
        <x:is>
          <x:t xml:space="preserve">v3</x:t>
        </x:is>
      </x:c>
      <x:c r="C408" s="62" t="inlineStr">
        <x:is>
          <x:t xml:space="preserve">七、创作与修辞需要</x:t>
        </x:is>
      </x:c>
      <x:c r="D408" s="62" t="inlineStr">
        <x:is>
          <x:t xml:space="preserve">7.2 情节与主题必需</x:t>
        </x:is>
      </x:c>
      <x:c r="E408" s="62" t="inlineStr">
        <x:is>
          <x:t xml:space="preserve">社交与社区</x:t>
        </x:is>
      </x:c>
      <x:c r="F408" s="62" t="inlineStr">
        <x:is>
          <x:t xml:space="preserve">弹幕评论</x:t>
        </x:is>
      </x:c>
      <x:c r="G408" s="61" t="inlineStr">
        <x:is>
          <x:t xml:space="preserve">网络用语</x:t>
        </x:is>
      </x:c>
      <x:c r="H408" s="61" t="str">
        <x:f>IF(LEN(I408)&lt;15,"短",IF(LEN(I408)&lt;=45,"中","长"))</x:f>
        <x:v>中</x:v>
      </x:c>
      <x:c r="I408" s="62" t="inlineStr">
        <x:is>
          <x:t xml:space="preserve">原来那个“小哥”是女的假扮的，前面全是伏笔！</x:t>
        </x:is>
      </x:c>
      <x:c r="J408" s="62" t="str">
        <x:f>I408</x:f>
        <x:v>原来那个“小哥”是女的假扮的，前面全是伏笔！</x:v>
      </x:c>
      <x:c r="K408" s="61" t="inlineStr">
        <x:is>
          <x:t xml:space="preserve">无需改写</x:t>
        </x:is>
      </x:c>
      <x:c r="L408" s="62" t="inlineStr">
        <x:is>
          <x:t xml:space="preserve">小哥/女的</x:t>
        </x:is>
      </x:c>
      <x:c r="M408" s="62" t="inlineStr">
        <x:is>
          <x:t xml:space="preserve">性别错位即剧情反转</x:t>
        </x:is>
      </x:c>
      <x:c r="N408" s="62" t="inlineStr">
        <x:is>
          <x:t xml:space="preserve">原来那个人是假扮的，前面全是伏笔</x:t>
        </x:is>
      </x:c>
      <x:c r="O408" s="61" t="inlineStr">
        <x:is>
          <x:t xml:space="preserve">难</x:t>
        </x:is>
      </x:c>
      <x:c r="P408" s="61" t="inlineStr">
        <x:is>
          <x:t xml:space="preserve">否</x:t>
        </x:is>
      </x:c>
      <x:c r="Q408" s="62" t="n"/>
      <x:c r="R408" s="63" t="inlineStr">
        <x:is>
          <x:t xml:space="preserve">剔除</x:t>
        </x:is>
      </x:c>
      <x:c r="S408" s="63" t="inlineStr">
        <x:is>
          <x:t xml:space="preserve"/>
        </x:is>
      </x:c>
      <x:c r="T408" s="63" t="inlineStr">
        <x:is>
          <x:t xml:space="preserve">类别名有误导性：判据实为「引用/提及」，暂不纳入</x:t>
        </x:is>
      </x:c>
    </x:row>
    <x:row r="409" s="37" customFormat="1" ht="15" customHeight="1">
      <x:c r="A409" s="61" t="inlineStr">
        <x:is>
          <x:t xml:space="preserve">NEG-0408</x:t>
        </x:is>
      </x:c>
      <x:c r="B409" s="61" t="inlineStr">
        <x:is>
          <x:t xml:space="preserve">v3</x:t>
        </x:is>
      </x:c>
      <x:c r="C409" s="62" t="inlineStr">
        <x:is>
          <x:t xml:space="preserve">七、创作与修辞需要</x:t>
        </x:is>
      </x:c>
      <x:c r="D409" s="62" t="inlineStr">
        <x:is>
          <x:t xml:space="preserve">7.3 时代与地域还原</x:t>
        </x:is>
      </x:c>
      <x:c r="E409" s="62" t="inlineStr">
        <x:is>
          <x:t xml:space="preserve">文艺创作与评论</x:t>
        </x:is>
      </x:c>
      <x:c r="F409" s="62" t="inlineStr">
        <x:is>
          <x:t xml:space="preserve">剧本</x:t>
        </x:is>
      </x:c>
      <x:c r="G409" s="61" t="inlineStr">
        <x:is>
          <x:t xml:space="preserve">无</x:t>
        </x:is>
      </x:c>
      <x:c r="H409" s="61" t="str">
        <x:f>IF(LEN(I409)&lt;15,"短",IF(LEN(I409)&lt;=45,"中","长"))</x:f>
        <x:v>中</x:v>
      </x:c>
      <x:c r="I409" s="62" t="inlineStr">
        <x:is>
          <x:t xml:space="preserve">（民国）伙计：“这位少奶奶，楼上雅座请。”</x:t>
        </x:is>
      </x:c>
      <x:c r="J409" s="62" t="str">
        <x:f>I409</x:f>
        <x:v>（民国）伙计：“这位少奶奶，楼上雅座请。”</x:v>
      </x:c>
      <x:c r="K409" s="61" t="inlineStr">
        <x:is>
          <x:t xml:space="preserve">无需改写</x:t>
        </x:is>
      </x:c>
      <x:c r="L409" s="62" t="inlineStr">
        <x:is>
          <x:t xml:space="preserve">少奶奶</x:t>
        </x:is>
      </x:c>
      <x:c r="M409" s="62" t="inlineStr">
        <x:is>
          <x:t xml:space="preserve">年代称谓还原</x:t>
        </x:is>
      </x:c>
      <x:c r="N409" s="62" t="inlineStr">
        <x:is>
          <x:t xml:space="preserve">（民国）伙计：“这位女士，楼上雅座请。”</x:t>
        </x:is>
      </x:c>
      <x:c r="O409" s="61" t="inlineStr">
        <x:is>
          <x:t xml:space="preserve">难</x:t>
        </x:is>
      </x:c>
      <x:c r="P409" s="61" t="inlineStr">
        <x:is>
          <x:t xml:space="preserve">否</x:t>
        </x:is>
      </x:c>
      <x:c r="Q409" s="62" t="n"/>
      <x:c r="R409" s="63" t="inlineStr">
        <x:is>
          <x:t xml:space="preserve">剔除</x:t>
        </x:is>
      </x:c>
      <x:c r="S409" s="63" t="inlineStr">
        <x:is>
          <x:t xml:space="preserve"/>
        </x:is>
      </x:c>
      <x:c r="T409" s="63" t="inlineStr">
        <x:is>
          <x:t xml:space="preserve">类别名有误导性：判据实为「引用/提及」，暂不纳入</x:t>
        </x:is>
      </x:c>
    </x:row>
    <x:row r="410" s="37" customFormat="1" ht="29.850000381469727" customHeight="1">
      <x:c r="A410" s="61" t="inlineStr">
        <x:is>
          <x:t xml:space="preserve">NEG-0409</x:t>
        </x:is>
      </x:c>
      <x:c r="B410" s="61" t="inlineStr">
        <x:is>
          <x:t xml:space="preserve">v3</x:t>
        </x:is>
      </x:c>
      <x:c r="C410" s="62" t="inlineStr">
        <x:is>
          <x:t xml:space="preserve">七、创作与修辞需要</x:t>
        </x:is>
      </x:c>
      <x:c r="D410" s="62" t="inlineStr">
        <x:is>
          <x:t xml:space="preserve">7.3 时代与地域还原</x:t>
        </x:is>
      </x:c>
      <x:c r="E410" s="62" t="inlineStr">
        <x:is>
          <x:t xml:space="preserve">学术与调研</x:t>
        </x:is>
      </x:c>
      <x:c r="F410" s="62" t="inlineStr">
        <x:is>
          <x:t xml:space="preserve">译者注</x:t>
        </x:is>
      </x:c>
      <x:c r="G410" s="61" t="inlineStr">
        <x:is>
          <x:t xml:space="preserve">无</x:t>
        </x:is>
      </x:c>
      <x:c r="H410" s="61" t="str">
        <x:f>IF(LEN(I410)&lt;15,"短",IF(LEN(I410)&lt;=45,"中","长"))</x:f>
        <x:v>中</x:v>
      </x:c>
      <x:c r="I410" s="62" t="inlineStr">
        <x:is>
          <x:t xml:space="preserve">原文中的第三人称在日语里并不区分性别，此处依上下文补足。</x:t>
        </x:is>
      </x:c>
      <x:c r="J410" s="62" t="str">
        <x:f>I410</x:f>
        <x:v>原文中的第三人称在日语里并不区分性别，此处依上下文补足。</x:v>
      </x:c>
      <x:c r="K410" s="61" t="inlineStr">
        <x:is>
          <x:t xml:space="preserve">无需改写</x:t>
        </x:is>
      </x:c>
      <x:c r="L410" s="62" t="inlineStr">
        <x:is>
          <x:t xml:space="preserve">第三人称/性别</x:t>
        </x:is>
      </x:c>
      <x:c r="M410" s="62" t="inlineStr">
        <x:is>
          <x:t xml:space="preserve">翻译处理说明</x:t>
        </x:is>
      </x:c>
      <x:c r="N410" s="62" t="inlineStr">
        <x:is>
          <x:t xml:space="preserve">原文中的第三人称在日语里并无区分，此处补足</x:t>
        </x:is>
      </x:c>
      <x:c r="O410" s="61" t="inlineStr">
        <x:is>
          <x:t xml:space="preserve">中</x:t>
        </x:is>
      </x:c>
      <x:c r="P410" s="61" t="inlineStr">
        <x:is>
          <x:t xml:space="preserve">否</x:t>
        </x:is>
      </x:c>
      <x:c r="Q410" s="62" t="n"/>
      <x:c r="R410" s="63" t="inlineStr">
        <x:is>
          <x:t xml:space="preserve">剔除</x:t>
        </x:is>
      </x:c>
      <x:c r="S410" s="63" t="inlineStr">
        <x:is>
          <x:t xml:space="preserve"/>
        </x:is>
      </x:c>
      <x:c r="T410" s="63" t="inlineStr">
        <x:is>
          <x:t xml:space="preserve">类别名有误导性：判据实为「引用/提及」，暂不纳入</x:t>
        </x:is>
      </x:c>
    </x:row>
    <x:row r="411" s="37" customFormat="1" ht="29.850000381469727" customHeight="1">
      <x:c r="A411" s="61" t="inlineStr">
        <x:is>
          <x:t xml:space="preserve">NEG-0410</x:t>
        </x:is>
      </x:c>
      <x:c r="B411" s="61" t="inlineStr">
        <x:is>
          <x:t xml:space="preserve">v3</x:t>
        </x:is>
      </x:c>
      <x:c r="C411" s="62" t="inlineStr">
        <x:is>
          <x:t xml:space="preserve">七、创作与修辞需要</x:t>
        </x:is>
      </x:c>
      <x:c r="D411" s="62" t="inlineStr">
        <x:is>
          <x:t xml:space="preserve">7.4 反讽、戏仿与批判</x:t>
        </x:is>
      </x:c>
      <x:c r="E411" s="62" t="inlineStr">
        <x:is>
          <x:t xml:space="preserve">文艺创作与评论</x:t>
        </x:is>
      </x:c>
      <x:c r="F411" s="62" t="inlineStr">
        <x:is>
          <x:t xml:space="preserve">广告评论</x:t>
        </x:is>
      </x:c>
      <x:c r="G411" s="61" t="inlineStr">
        <x:is>
          <x:t xml:space="preserve">无</x:t>
        </x:is>
      </x:c>
      <x:c r="H411" s="61" t="str">
        <x:f>IF(LEN(I411)&lt;15,"短",IF(LEN(I411)&lt;=45,"中","长"))</x:f>
        <x:v>中</x:v>
      </x:c>
      <x:c r="I411" s="62" t="inlineStr">
        <x:is>
          <x:t xml:space="preserve">前半段把“女人味”吹上了天，最后一句反转，其实挺聪明。</x:t>
        </x:is>
      </x:c>
      <x:c r="J411" s="62" t="str">
        <x:f>I411</x:f>
        <x:v>前半段把“女人味”吹上了天，最后一句反转，其实挺聪明。</x:v>
      </x:c>
      <x:c r="K411" s="61" t="inlineStr">
        <x:is>
          <x:t xml:space="preserve">无需改写</x:t>
        </x:is>
      </x:c>
      <x:c r="L411" s="62" t="inlineStr">
        <x:is>
          <x:t xml:space="preserve">女人味</x:t>
        </x:is>
      </x:c>
      <x:c r="M411" s="62" t="inlineStr">
        <x:is>
          <x:t xml:space="preserve">被戏仿的对象</x:t>
        </x:is>
      </x:c>
      <x:c r="N411" s="62" t="inlineStr">
        <x:is>
          <x:t xml:space="preserve">前半段把某种特质吹上了天，最后一句反转</x:t>
        </x:is>
      </x:c>
      <x:c r="O411" s="61" t="inlineStr">
        <x:is>
          <x:t xml:space="preserve">难</x:t>
        </x:is>
      </x:c>
      <x:c r="P411" s="61" t="inlineStr">
        <x:is>
          <x:t xml:space="preserve">否</x:t>
        </x:is>
      </x:c>
      <x:c r="Q411" s="62" t="n"/>
      <x:c r="R411" s="63" t="inlineStr">
        <x:is>
          <x:t xml:space="preserve">剔除</x:t>
        </x:is>
      </x:c>
      <x:c r="S411" s="63" t="inlineStr">
        <x:is>
          <x:t xml:space="preserve"/>
        </x:is>
      </x:c>
      <x:c r="T411" s="63" t="inlineStr">
        <x:is>
          <x:t xml:space="preserve">类别名有误导性：判据实为「引用/提及」，暂不纳入</x:t>
        </x:is>
      </x:c>
    </x:row>
    <x:row r="412" s="37" customFormat="1" ht="29.850000381469727" customHeight="1">
      <x:c r="A412" s="61" t="inlineStr">
        <x:is>
          <x:t xml:space="preserve">NEG-0411</x:t>
        </x:is>
      </x:c>
      <x:c r="B412" s="61" t="inlineStr">
        <x:is>
          <x:t xml:space="preserve">v3</x:t>
        </x:is>
      </x:c>
      <x:c r="C412" s="62" t="inlineStr">
        <x:is>
          <x:t xml:space="preserve">七、创作与修辞需要</x:t>
        </x:is>
      </x:c>
      <x:c r="D412" s="62" t="inlineStr">
        <x:is>
          <x:t xml:space="preserve">7.4 反讽、戏仿与批判</x:t>
        </x:is>
      </x:c>
      <x:c r="E412" s="62" t="inlineStr">
        <x:is>
          <x:t xml:space="preserve">文艺创作与评论</x:t>
        </x:is>
      </x:c>
      <x:c r="F412" s="62" t="inlineStr">
        <x:is>
          <x:t xml:space="preserve">书评</x:t>
        </x:is>
      </x:c>
      <x:c r="G412" s="61" t="inlineStr">
        <x:is>
          <x:t xml:space="preserve">无</x:t>
        </x:is>
      </x:c>
      <x:c r="H412" s="61" t="str">
        <x:f>IF(LEN(I412)&lt;15,"短",IF(LEN(I412)&lt;=45,"中","长"))</x:f>
        <x:v>中</x:v>
      </x:c>
      <x:c r="I412" s="62" t="inlineStr">
        <x:is>
          <x:t xml:space="preserve">作者故意用“贤内助”的口吻写完整整一章，讽刺意味很足。</x:t>
        </x:is>
      </x:c>
      <x:c r="J412" s="62" t="str">
        <x:f>I412</x:f>
        <x:v>作者故意用“贤内助”的口吻写完整整一章，讽刺意味很足。</x:v>
      </x:c>
      <x:c r="K412" s="61" t="inlineStr">
        <x:is>
          <x:t xml:space="preserve">无需改写</x:t>
        </x:is>
      </x:c>
      <x:c r="L412" s="62" t="inlineStr">
        <x:is>
          <x:t xml:space="preserve">贤内助</x:t>
        </x:is>
      </x:c>
      <x:c r="M412" s="62" t="inlineStr">
        <x:is>
          <x:t xml:space="preserve">戏仿手法的对象</x:t>
        </x:is>
      </x:c>
      <x:c r="N412" s="62" t="inlineStr">
        <x:is>
          <x:t xml:space="preserve">作者故意用旧式口吻写完整章，讽刺意味很足</x:t>
        </x:is>
      </x:c>
      <x:c r="O412" s="61" t="inlineStr">
        <x:is>
          <x:t xml:space="preserve">难</x:t>
        </x:is>
      </x:c>
      <x:c r="P412" s="61" t="inlineStr">
        <x:is>
          <x:t xml:space="preserve">否</x:t>
        </x:is>
      </x:c>
      <x:c r="Q412" s="62" t="n"/>
      <x:c r="R412" s="63" t="inlineStr">
        <x:is>
          <x:t xml:space="preserve">剔除</x:t>
        </x:is>
      </x:c>
      <x:c r="S412" s="63" t="inlineStr">
        <x:is>
          <x:t xml:space="preserve"/>
        </x:is>
      </x:c>
      <x:c r="T412" s="63" t="inlineStr">
        <x:is>
          <x:t xml:space="preserve">类别名有误导性：判据实为「引用/提及」，暂不纳入</x:t>
        </x:is>
      </x:c>
    </x:row>
    <x:row r="413" s="37" customFormat="1" ht="29.850000381469727" customHeight="1">
      <x:c r="A413" s="61" t="inlineStr">
        <x:is>
          <x:t xml:space="preserve">NEG-0412</x:t>
        </x:is>
      </x:c>
      <x:c r="B413" s="61" t="inlineStr">
        <x:is>
          <x:t xml:space="preserve">v3</x:t>
        </x:is>
      </x:c>
      <x:c r="C413" s="62" t="inlineStr">
        <x:is>
          <x:t xml:space="preserve">七、创作与修辞需要</x:t>
        </x:is>
      </x:c>
      <x:c r="D413" s="62" t="inlineStr">
        <x:is>
          <x:t xml:space="preserve">7.5 形式与格律约束</x:t>
        </x:is>
      </x:c>
      <x:c r="E413" s="62" t="inlineStr">
        <x:is>
          <x:t xml:space="preserve">文艺创作与评论</x:t>
        </x:is>
      </x:c>
      <x:c r="F413" s="62" t="inlineStr">
        <x:is>
          <x:t xml:space="preserve">楹联</x:t>
        </x:is>
      </x:c>
      <x:c r="G413" s="61" t="inlineStr">
        <x:is>
          <x:t xml:space="preserve">无</x:t>
        </x:is>
      </x:c>
      <x:c r="H413" s="61" t="str">
        <x:f>IF(LEN(I413)&lt;15,"短",IF(LEN(I413)&lt;=45,"中","长"))</x:f>
        <x:v>中</x:v>
      </x:c>
      <x:c r="I413" s="62" t="inlineStr">
        <x:is>
          <x:t xml:space="preserve">“父子登科”对“翁婿同榜”，属人事对，词性须一一对应。</x:t>
        </x:is>
      </x:c>
      <x:c r="J413" s="62" t="str">
        <x:f>I413</x:f>
        <x:v>“父子登科”对“翁婿同榜”，属人事对，词性须一一对应。</x:v>
      </x:c>
      <x:c r="K413" s="61" t="inlineStr">
        <x:is>
          <x:t xml:space="preserve">无需改写</x:t>
        </x:is>
      </x:c>
      <x:c r="L413" s="62" t="inlineStr">
        <x:is>
          <x:t xml:space="preserve">父子/翁婿</x:t>
        </x:is>
      </x:c>
      <x:c r="M413" s="62" t="inlineStr">
        <x:is>
          <x:t xml:space="preserve">对仗的工整要求</x:t>
        </x:is>
      </x:c>
      <x:c r="N413" s="62" t="inlineStr">
        <x:is>
          <x:t xml:space="preserve">“两代登科”对“两姓同榜”</x:t>
        </x:is>
      </x:c>
      <x:c r="O413" s="61" t="inlineStr">
        <x:is>
          <x:t xml:space="preserve">难</x:t>
        </x:is>
      </x:c>
      <x:c r="P413" s="61" t="inlineStr">
        <x:is>
          <x:t xml:space="preserve">否</x:t>
        </x:is>
      </x:c>
      <x:c r="Q413" s="62" t="n"/>
      <x:c r="R413" s="63" t="inlineStr">
        <x:is>
          <x:t xml:space="preserve">剔除</x:t>
        </x:is>
      </x:c>
      <x:c r="S413" s="63" t="inlineStr">
        <x:is>
          <x:t xml:space="preserve"/>
        </x:is>
      </x:c>
      <x:c r="T413" s="63" t="inlineStr">
        <x:is>
          <x:t xml:space="preserve">类别名有误导性：判据实为「引用/提及」，暂不纳入</x:t>
        </x:is>
      </x:c>
    </x:row>
    <x:row r="414" s="37" customFormat="1" ht="29.850000381469727" customHeight="1">
      <x:c r="A414" s="61" t="inlineStr">
        <x:is>
          <x:t xml:space="preserve">NEG-0413</x:t>
        </x:is>
      </x:c>
      <x:c r="B414" s="61" t="inlineStr">
        <x:is>
          <x:t xml:space="preserve">v3</x:t>
        </x:is>
      </x:c>
      <x:c r="C414" s="62" t="inlineStr">
        <x:is>
          <x:t xml:space="preserve">七、创作与修辞需要</x:t>
        </x:is>
      </x:c>
      <x:c r="D414" s="62" t="inlineStr">
        <x:is>
          <x:t xml:space="preserve">7.5 形式与格律约束</x:t>
        </x:is>
      </x:c>
      <x:c r="E414" s="62" t="inlineStr">
        <x:is>
          <x:t xml:space="preserve">学术与调研</x:t>
        </x:is>
      </x:c>
      <x:c r="F414" s="62" t="inlineStr">
        <x:is>
          <x:t xml:space="preserve">诗词教学</x:t>
        </x:is>
      </x:c>
      <x:c r="G414" s="61" t="inlineStr">
        <x:is>
          <x:t xml:space="preserve">无</x:t>
        </x:is>
      </x:c>
      <x:c r="H414" s="61" t="str">
        <x:f>IF(LEN(I414)&lt;15,"短",IF(LEN(I414)&lt;=45,"中","长"))</x:f>
        <x:v>中</x:v>
      </x:c>
      <x:c r="I414" s="62" t="inlineStr">
        <x:is>
          <x:t xml:space="preserve">“商女不知亡国恨”里的“商女”不能改，否则典故就断了。</x:t>
        </x:is>
      </x:c>
      <x:c r="J414" s="62" t="str">
        <x:f>I414</x:f>
        <x:v>“商女不知亡国恨”里的“商女”不能改，否则典故就断了。</x:v>
      </x:c>
      <x:c r="K414" s="61" t="inlineStr">
        <x:is>
          <x:t xml:space="preserve">无需改写</x:t>
        </x:is>
      </x:c>
      <x:c r="L414" s="62" t="inlineStr">
        <x:is>
          <x:t xml:space="preserve">商女</x:t>
        </x:is>
      </x:c>
      <x:c r="M414" s="62" t="inlineStr">
        <x:is>
          <x:t xml:space="preserve">诗句原文与典故</x:t>
        </x:is>
      </x:c>
      <x:c r="N414" s="62" t="inlineStr">
        <x:is>
          <x:t xml:space="preserve">这句诗中的称谓不能改，否则典故就断了</x:t>
        </x:is>
      </x:c>
      <x:c r="O414" s="61" t="inlineStr">
        <x:is>
          <x:t xml:space="preserve">难</x:t>
        </x:is>
      </x:c>
      <x:c r="P414" s="61" t="inlineStr">
        <x:is>
          <x:t xml:space="preserve">否</x:t>
        </x:is>
      </x:c>
      <x:c r="Q414" s="62" t="n"/>
      <x:c r="R414" s="63" t="inlineStr">
        <x:is>
          <x:t xml:space="preserve">剔除</x:t>
        </x:is>
      </x:c>
      <x:c r="S414" s="63" t="inlineStr">
        <x:is>
          <x:t xml:space="preserve"/>
        </x:is>
      </x:c>
      <x:c r="T414" s="63" t="inlineStr">
        <x:is>
          <x:t xml:space="preserve">类别名有误导性：判据实为「引用/提及」，暂不纳入</x:t>
        </x:is>
      </x:c>
    </x:row>
    <x:row r="415" s="37" customFormat="1" ht="15" customHeight="1">
      <x:c r="A415" s="61" t="inlineStr">
        <x:is>
          <x:t xml:space="preserve">NEG-0414</x:t>
        </x:is>
      </x:c>
      <x:c r="B415" s="61" t="inlineStr">
        <x:is>
          <x:t xml:space="preserve">v3</x:t>
        </x:is>
      </x:c>
      <x:c r="C415" s="62" t="inlineStr">
        <x:is>
          <x:t xml:space="preserve">七、创作与修辞需要</x:t>
        </x:is>
      </x:c>
      <x:c r="D415" s="62" t="inlineStr">
        <x:is>
          <x:t xml:space="preserve">7.6 意象与典故</x:t>
        </x:is>
      </x:c>
      <x:c r="E415" s="62" t="inlineStr">
        <x:is>
          <x:t xml:space="preserve">文艺创作与评论</x:t>
        </x:is>
      </x:c>
      <x:c r="F415" s="62" t="inlineStr">
        <x:is>
          <x:t xml:space="preserve">民间文学</x:t>
        </x:is>
      </x:c>
      <x:c r="G415" s="61" t="inlineStr">
        <x:is>
          <x:t xml:space="preserve">无</x:t>
        </x:is>
      </x:c>
      <x:c r="H415" s="61" t="str">
        <x:f>IF(LEN(I415)&lt;15,"短",IF(LEN(I415)&lt;=45,"中","长"))</x:f>
        <x:v>中</x:v>
      </x:c>
      <x:c r="I415" s="62" t="inlineStr">
        <x:is>
          <x:t xml:space="preserve">梁祝故事的化蝶结尾是后世逐步增补的。</x:t>
        </x:is>
      </x:c>
      <x:c r="J415" s="62" t="str">
        <x:f>I415</x:f>
        <x:v>梁祝故事的化蝶结尾是后世逐步增补的。</x:v>
      </x:c>
      <x:c r="K415" s="61" t="inlineStr">
        <x:is>
          <x:t xml:space="preserve">无需改写</x:t>
        </x:is>
      </x:c>
      <x:c r="L415" s="62" t="inlineStr">
        <x:is>
          <x:t xml:space="preserve">梁祝</x:t>
        </x:is>
      </x:c>
      <x:c r="M415" s="62" t="inlineStr">
        <x:is>
          <x:t xml:space="preserve">故事专名</x:t>
        </x:is>
      </x:c>
      <x:c r="N415" s="62" t="inlineStr">
        <x:is>
          <x:t xml:space="preserve">这个民间故事的化蝶结尾是后世增补的</x:t>
        </x:is>
      </x:c>
      <x:c r="O415" s="61" t="inlineStr">
        <x:is>
          <x:t xml:space="preserve">易</x:t>
        </x:is>
      </x:c>
      <x:c r="P415" s="61" t="inlineStr">
        <x:is>
          <x:t xml:space="preserve">否</x:t>
        </x:is>
      </x:c>
      <x:c r="Q415" s="62" t="n"/>
      <x:c r="R415" s="63" t="inlineStr">
        <x:is>
          <x:t xml:space="preserve">剔除</x:t>
        </x:is>
      </x:c>
      <x:c r="S415" s="63" t="inlineStr">
        <x:is>
          <x:t xml:space="preserve"/>
        </x:is>
      </x:c>
      <x:c r="T415" s="63" t="inlineStr">
        <x:is>
          <x:t xml:space="preserve">类别名有误导性：判据实为「引用/提及」，暂不纳入</x:t>
        </x:is>
      </x:c>
    </x:row>
    <x:row r="416" s="37" customFormat="1" ht="15" customHeight="1">
      <x:c r="A416" s="61" t="inlineStr">
        <x:is>
          <x:t xml:space="preserve">NEG-0415</x:t>
        </x:is>
      </x:c>
      <x:c r="B416" s="61" t="inlineStr">
        <x:is>
          <x:t xml:space="preserve">v3</x:t>
        </x:is>
      </x:c>
      <x:c r="C416" s="62" t="inlineStr">
        <x:is>
          <x:t xml:space="preserve">七、创作与修辞需要</x:t>
        </x:is>
      </x:c>
      <x:c r="D416" s="62" t="inlineStr">
        <x:is>
          <x:t xml:space="preserve">7.6 意象与典故</x:t>
        </x:is>
      </x:c>
      <x:c r="E416" s="62" t="inlineStr">
        <x:is>
          <x:t xml:space="preserve">文艺创作与评论</x:t>
        </x:is>
      </x:c>
      <x:c r="F416" s="62" t="inlineStr">
        <x:is>
          <x:t xml:space="preserve">文学分析</x:t>
        </x:is>
      </x:c>
      <x:c r="G416" s="61" t="inlineStr">
        <x:is>
          <x:t xml:space="preserve">无</x:t>
        </x:is>
      </x:c>
      <x:c r="H416" s="61" t="str">
        <x:f>IF(LEN(I416)&lt;15,"短",IF(LEN(I416)&lt;=45,"中","长"))</x:f>
        <x:v>中</x:v>
      </x:c>
      <x:c r="I416" s="62" t="inlineStr">
        <x:is>
          <x:t xml:space="preserve">文中的“相夫教子”是反用，与全篇立意正好相反。</x:t>
        </x:is>
      </x:c>
      <x:c r="J416" s="62" t="str">
        <x:f>I416</x:f>
        <x:v>文中的“相夫教子”是反用，与全篇立意正好相反。</x:v>
      </x:c>
      <x:c r="K416" s="61" t="inlineStr">
        <x:is>
          <x:t xml:space="preserve">无需改写</x:t>
        </x:is>
      </x:c>
      <x:c r="L416" s="62" t="inlineStr">
        <x:is>
          <x:t xml:space="preserve">相夫教子</x:t>
        </x:is>
      </x:c>
      <x:c r="M416" s="62" t="inlineStr">
        <x:is>
          <x:t xml:space="preserve">反用手法的对象</x:t>
        </x:is>
      </x:c>
      <x:c r="N416" s="62" t="inlineStr">
        <x:is>
          <x:t xml:space="preserve">文中的这一成语是反用，与全篇立意相反</x:t>
        </x:is>
      </x:c>
      <x:c r="O416" s="61" t="inlineStr">
        <x:is>
          <x:t xml:space="preserve">中</x:t>
        </x:is>
      </x:c>
      <x:c r="P416" s="61" t="inlineStr">
        <x:is>
          <x:t xml:space="preserve">否</x:t>
        </x:is>
      </x:c>
      <x:c r="Q416" s="62" t="n"/>
      <x:c r="R416" s="63" t="inlineStr">
        <x:is>
          <x:t xml:space="preserve">剔除</x:t>
        </x:is>
      </x:c>
      <x:c r="S416" s="63" t="inlineStr">
        <x:is>
          <x:t xml:space="preserve"/>
        </x:is>
      </x:c>
      <x:c r="T416" s="63" t="inlineStr">
        <x:is>
          <x:t xml:space="preserve">类别名有误导性：判据实为「引用/提及」，暂不纳入</x:t>
        </x:is>
      </x:c>
    </x:row>
    <x:row r="417" s="37" customFormat="1" ht="29.850000381469727" customHeight="1">
      <x:c r="A417" s="55" t="inlineStr">
        <x:is>
          <x:t xml:space="preserve">NEG-0416</x:t>
        </x:is>
      </x:c>
      <x:c r="B417" s="55" t="inlineStr">
        <x:is>
          <x:t xml:space="preserve">v3</x:t>
        </x:is>
      </x:c>
      <x:c r="C417" s="56" t="inlineStr">
        <x:is>
          <x:t xml:space="preserve">八、语言本体层面的历史残留</x:t>
        </x:is>
      </x:c>
      <x:c r="D417" s="56" t="inlineStr">
        <x:is>
          <x:t xml:space="preserve">8.1 字形理据</x:t>
        </x:is>
      </x:c>
      <x:c r="E417" s="56" t="inlineStr">
        <x:is>
          <x:t xml:space="preserve">医疗健康</x:t>
        </x:is>
      </x:c>
      <x:c r="F417" s="56" t="inlineStr">
        <x:is>
          <x:t xml:space="preserve">文字科普</x:t>
        </x:is>
      </x:c>
      <x:c r="G417" s="55" t="inlineStr">
        <x:is>
          <x:t xml:space="preserve">无</x:t>
        </x:is>
      </x:c>
      <x:c r="H417" s="55" t="str">
        <x:f>IF(LEN(I417)&lt;15,"短",IF(LEN(I417)&lt;=45,"中","长"))</x:f>
        <x:v>中</x:v>
      </x:c>
      <x:c r="I417" s="56" t="inlineStr">
        <x:is>
          <x:t xml:space="preserve">“奶”字从女，本义指乳汁，与性别评价无关。</x:t>
        </x:is>
      </x:c>
      <x:c r="J417" s="56" t="str">
        <x:f>I417</x:f>
        <x:v>“奶”字从女，本义指乳汁，与性别评价无关。</x:v>
      </x:c>
      <x:c r="K417" s="55" t="inlineStr">
        <x:is>
          <x:t xml:space="preserve">无需改写</x:t>
        </x:is>
      </x:c>
      <x:c r="L417" s="56" t="inlineStr">
        <x:is>
          <x:t xml:space="preserve">奶/女</x:t>
        </x:is>
      </x:c>
      <x:c r="M417" s="56" t="inlineStr">
        <x:is>
          <x:t xml:space="preserve">文字学说明</x:t>
        </x:is>
      </x:c>
      <x:c r="N417" s="56" t="inlineStr">
        <x:is>
          <x:t xml:space="preserve">该字的部首与其本义相关，与性别评价无关</x:t>
        </x:is>
      </x:c>
      <x:c r="O417" s="55" t="inlineStr">
        <x:is>
          <x:t xml:space="preserve">中</x:t>
        </x:is>
      </x:c>
      <x:c r="P417" s="55" t="inlineStr">
        <x:is>
          <x:t xml:space="preserve">否</x:t>
        </x:is>
      </x:c>
      <x:c r="Q417" s="56" t="n"/>
      <x:c r="R417" s="57" t="inlineStr">
        <x:is>
          <x:t xml:space="preserve">主集</x:t>
        </x:is>
      </x:c>
      <x:c r="S417" s="57" t="inlineStr">
        <x:is>
          <x:t xml:space="preserve">index</x:t>
        </x:is>
      </x:c>
      <x:c r="T417" s="57" t="inlineStr">
        <x:is>
          <x:t xml:space="preserve"/>
        </x:is>
      </x:c>
    </x:row>
    <x:row r="418" s="37" customFormat="1" ht="29.850000381469727" customHeight="1">
      <x:c r="A418" s="55" t="inlineStr">
        <x:is>
          <x:t xml:space="preserve">NEG-0417</x:t>
        </x:is>
      </x:c>
      <x:c r="B418" s="55" t="inlineStr">
        <x:is>
          <x:t xml:space="preserve">v3</x:t>
        </x:is>
      </x:c>
      <x:c r="C418" s="56" t="inlineStr">
        <x:is>
          <x:t xml:space="preserve">八、语言本体层面的历史残留</x:t>
        </x:is>
      </x:c>
      <x:c r="D418" s="56" t="inlineStr">
        <x:is>
          <x:t xml:space="preserve">8.1 字形理据</x:t>
        </x:is>
      </x:c>
      <x:c r="E418" s="56" t="inlineStr">
        <x:is>
          <x:t xml:space="preserve">学术与调研</x:t>
        </x:is>
      </x:c>
      <x:c r="F418" s="56" t="inlineStr">
        <x:is>
          <x:t xml:space="preserve">古汉语课</x:t>
        </x:is>
      </x:c>
      <x:c r="G418" s="55" t="inlineStr">
        <x:is>
          <x:t xml:space="preserve">无</x:t>
        </x:is>
      </x:c>
      <x:c r="H418" s="55" t="str">
        <x:f>IF(LEN(I418)&lt;15,"短",IF(LEN(I418)&lt;=45,"中","长"))</x:f>
        <x:v>中</x:v>
      </x:c>
      <x:c r="I418" s="56" t="inlineStr">
        <x:is>
          <x:t xml:space="preserve">古汉语第三人称多用“其”“之”，本不区分性别。</x:t>
        </x:is>
      </x:c>
      <x:c r="J418" s="56" t="str">
        <x:f>I418</x:f>
        <x:v>古汉语第三人称多用“其”“之”，本不区分性别。</x:v>
      </x:c>
      <x:c r="K418" s="55" t="inlineStr">
        <x:is>
          <x:t xml:space="preserve">无需改写</x:t>
        </x:is>
      </x:c>
      <x:c r="L418" s="56" t="inlineStr">
        <x:is>
          <x:t xml:space="preserve">第三人称/性别</x:t>
        </x:is>
      </x:c>
      <x:c r="M418" s="56" t="inlineStr">
        <x:is>
          <x:t xml:space="preserve">语言史事实</x:t>
        </x:is>
      </x:c>
      <x:c r="N418" s="56" t="inlineStr">
        <x:is>
          <x:t xml:space="preserve">古汉语第三人称多用“其”“之”</x:t>
        </x:is>
      </x:c>
      <x:c r="O418" s="55" t="inlineStr">
        <x:is>
          <x:t xml:space="preserve">中</x:t>
        </x:is>
      </x:c>
      <x:c r="P418" s="55" t="inlineStr">
        <x:is>
          <x:t xml:space="preserve">否</x:t>
        </x:is>
      </x:c>
      <x:c r="Q418" s="56" t="n"/>
      <x:c r="R418" s="57" t="inlineStr">
        <x:is>
          <x:t xml:space="preserve">主集</x:t>
        </x:is>
      </x:c>
      <x:c r="S418" s="57" t="inlineStr">
        <x:is>
          <x:t xml:space="preserve">index</x:t>
        </x:is>
      </x:c>
      <x:c r="T418" s="57" t="inlineStr">
        <x:is>
          <x:t xml:space="preserve"/>
        </x:is>
      </x:c>
    </x:row>
    <x:row r="419" s="37" customFormat="1" ht="29.850000381469727" customHeight="1">
      <x:c r="A419" s="55" t="inlineStr">
        <x:is>
          <x:t xml:space="preserve">NEG-0418</x:t>
        </x:is>
      </x:c>
      <x:c r="B419" s="55" t="inlineStr">
        <x:is>
          <x:t xml:space="preserve">v3</x:t>
        </x:is>
      </x:c>
      <x:c r="C419" s="56" t="inlineStr">
        <x:is>
          <x:t xml:space="preserve">八、语言本体层面的历史残留</x:t>
        </x:is>
      </x:c>
      <x:c r="D419" s="56" t="inlineStr">
        <x:is>
          <x:t xml:space="preserve">8.2 敬语传统的中性化用法</x:t>
        </x:is>
      </x:c>
      <x:c r="E419" s="56" t="inlineStr">
        <x:is>
          <x:t xml:space="preserve">学术与调研</x:t>
        </x:is>
      </x:c>
      <x:c r="F419" s="56" t="inlineStr">
        <x:is>
          <x:t xml:space="preserve">编辑说明</x:t>
        </x:is>
      </x:c>
      <x:c r="G419" s="55" t="inlineStr">
        <x:is>
          <x:t xml:space="preserve">无</x:t>
        </x:is>
      </x:c>
      <x:c r="H419" s="55" t="str">
        <x:f>IF(LEN(I419)&lt;15,"短",IF(LEN(I419)&lt;=45,"中","长"))</x:f>
        <x:v>中</x:v>
      </x:c>
      <x:c r="I419" s="56" t="inlineStr">
        <x:is>
          <x:t xml:space="preserve">书中对几位女学者一律称“先生”，是沿用民国学界的旧例。</x:t>
        </x:is>
      </x:c>
      <x:c r="J419" s="56" t="str">
        <x:f>I419</x:f>
        <x:v>书中对几位女学者一律称“先生”，是沿用民国学界的旧例。</x:v>
      </x:c>
      <x:c r="K419" s="55" t="inlineStr">
        <x:is>
          <x:t xml:space="preserve">无需改写</x:t>
        </x:is>
      </x:c>
      <x:c r="L419" s="56" t="inlineStr">
        <x:is>
          <x:t xml:space="preserve">女学者/先生</x:t>
        </x:is>
      </x:c>
      <x:c r="M419" s="56" t="inlineStr">
        <x:is>
          <x:t xml:space="preserve">编辑体例说明，句子本身在解释该用法</x:t>
        </x:is>
      </x:c>
      <x:c r="N419" s="56" t="inlineStr">
        <x:is>
          <x:t xml:space="preserve">书中对几位学者一律称“先生”</x:t>
        </x:is>
      </x:c>
      <x:c r="O419" s="55" t="inlineStr">
        <x:is>
          <x:t xml:space="preserve">难</x:t>
        </x:is>
      </x:c>
      <x:c r="P419" s="55" t="inlineStr">
        <x:is>
          <x:t xml:space="preserve">是</x:t>
        </x:is>
      </x:c>
      <x:c r="Q419" s="56" t="n"/>
      <x:c r="R419" s="57" t="inlineStr">
        <x:is>
          <x:t xml:space="preserve">主集</x:t>
        </x:is>
      </x:c>
      <x:c r="S419" s="57" t="inlineStr">
        <x:is>
          <x:t xml:space="preserve">index</x:t>
        </x:is>
      </x:c>
      <x:c r="T419" s="57" t="inlineStr">
        <x:is>
          <x:t xml:space="preserve"/>
        </x:is>
      </x:c>
    </x:row>
    <x:row r="420" s="37" customFormat="1" ht="29.850000381469727" customHeight="1">
      <x:c r="A420" s="55" t="inlineStr">
        <x:is>
          <x:t xml:space="preserve">NEG-0419</x:t>
        </x:is>
      </x:c>
      <x:c r="B420" s="55" t="inlineStr">
        <x:is>
          <x:t xml:space="preserve">v3</x:t>
        </x:is>
      </x:c>
      <x:c r="C420" s="56" t="inlineStr">
        <x:is>
          <x:t xml:space="preserve">八、语言本体层面的历史残留</x:t>
        </x:is>
      </x:c>
      <x:c r="D420" s="56" t="inlineStr">
        <x:is>
          <x:t xml:space="preserve">8.2 敬语传统的中性化用法</x:t>
        </x:is>
      </x:c>
      <x:c r="E420" s="56" t="inlineStr">
        <x:is>
          <x:t xml:space="preserve">口语与私人交流</x:t>
        </x:is>
      </x:c>
      <x:c r="F420" s="56" t="inlineStr">
        <x:is>
          <x:t xml:space="preserve">方言口语</x:t>
        </x:is>
      </x:c>
      <x:c r="G420" s="55" t="inlineStr">
        <x:is>
          <x:t xml:space="preserve">方言</x:t>
        </x:is>
      </x:c>
      <x:c r="H420" s="55" t="str">
        <x:f>IF(LEN(I420)&lt;15,"短",IF(LEN(I420)&lt;=45,"中","长"))</x:f>
        <x:v>中</x:v>
      </x:c>
      <x:c r="I420" s="56" t="inlineStr">
        <x:is>
          <x:t xml:space="preserve">在我们那儿，中学老师不管男女都叫“先生”。</x:t>
        </x:is>
      </x:c>
      <x:c r="J420" s="56" t="str">
        <x:f>I420</x:f>
        <x:v>在我们那儿，中学老师不管男女都叫“先生”。</x:v>
      </x:c>
      <x:c r="K420" s="55" t="inlineStr">
        <x:is>
          <x:t xml:space="preserve">无需改写</x:t>
        </x:is>
      </x:c>
      <x:c r="L420" s="56" t="inlineStr">
        <x:is>
          <x:t xml:space="preserve">男女/先生</x:t>
        </x:is>
      </x:c>
      <x:c r="M420" s="56" t="inlineStr">
        <x:is>
          <x:t xml:space="preserve">方言实况描述</x:t>
        </x:is>
      </x:c>
      <x:c r="N420" s="56" t="inlineStr">
        <x:is>
          <x:t xml:space="preserve">在我们那儿，中学老师都叫“先生”</x:t>
        </x:is>
      </x:c>
      <x:c r="O420" s="55" t="inlineStr">
        <x:is>
          <x:t xml:space="preserve">中</x:t>
        </x:is>
      </x:c>
      <x:c r="P420" s="55" t="inlineStr">
        <x:is>
          <x:t xml:space="preserve">否</x:t>
        </x:is>
      </x:c>
      <x:c r="Q420" s="56" t="n"/>
      <x:c r="R420" s="57" t="inlineStr">
        <x:is>
          <x:t xml:space="preserve">主集</x:t>
        </x:is>
      </x:c>
      <x:c r="S420" s="57" t="inlineStr">
        <x:is>
          <x:t xml:space="preserve">dev</x:t>
        </x:is>
      </x:c>
      <x:c r="T420" s="57" t="inlineStr">
        <x:is>
          <x:t xml:space="preserve"/>
        </x:is>
      </x:c>
    </x:row>
    <x:row r="421" s="37" customFormat="1" ht="29.850000381469727" customHeight="1">
      <x:c r="A421" s="55" t="inlineStr">
        <x:is>
          <x:t xml:space="preserve">NEG-0420</x:t>
        </x:is>
      </x:c>
      <x:c r="B421" s="55" t="inlineStr">
        <x:is>
          <x:t xml:space="preserve">v3</x:t>
        </x:is>
      </x:c>
      <x:c r="C421" s="56" t="inlineStr">
        <x:is>
          <x:t xml:space="preserve">八、语言本体层面的历史残留</x:t>
        </x:is>
      </x:c>
      <x:c r="D421" s="56" t="inlineStr">
        <x:is>
          <x:t xml:space="preserve">8.3 已中性化的复合词</x:t>
        </x:is>
      </x:c>
      <x:c r="E421" s="56" t="inlineStr">
        <x:is>
          <x:t xml:space="preserve">口语与私人交流</x:t>
        </x:is>
      </x:c>
      <x:c r="F421" s="56" t="inlineStr">
        <x:is>
          <x:t xml:space="preserve">村口口语</x:t>
        </x:is>
      </x:c>
      <x:c r="G421" s="55" t="inlineStr">
        <x:is>
          <x:t xml:space="preserve">方言</x:t>
        </x:is>
      </x:c>
      <x:c r="H421" s="55" t="str">
        <x:f>IF(LEN(I421)&lt;15,"短",IF(LEN(I421)&lt;=45,"中","长"))</x:f>
        <x:v>中</x:v>
      </x:c>
      <x:c r="I421" s="56" t="inlineStr">
        <x:is>
          <x:t xml:space="preserve">这事儿得跟街坊四邻打个招呼，老少爷们儿都得知会到。</x:t>
        </x:is>
      </x:c>
      <x:c r="J421" s="56" t="str">
        <x:f>I421</x:f>
        <x:v>这事儿得跟街坊四邻打个招呼，老少爷们儿都得知会到。</x:v>
      </x:c>
      <x:c r="K421" s="55" t="inlineStr">
        <x:is>
          <x:t xml:space="preserve">无需改写</x:t>
        </x:is>
      </x:c>
      <x:c r="L421" s="56" t="inlineStr">
        <x:is>
          <x:t xml:space="preserve">老少爷们儿</x:t>
        </x:is>
      </x:c>
      <x:c r="M421" s="56" t="inlineStr">
        <x:is>
          <x:t xml:space="preserve">方言中的整体泛指</x:t>
        </x:is>
      </x:c>
      <x:c r="N421" s="56" t="inlineStr">
        <x:is>
          <x:t xml:space="preserve">这事儿得跟街坊四邻打个招呼，大家都得知会到</x:t>
        </x:is>
      </x:c>
      <x:c r="O421" s="55" t="inlineStr">
        <x:is>
          <x:t xml:space="preserve">中</x:t>
        </x:is>
      </x:c>
      <x:c r="P421" s="55" t="inlineStr">
        <x:is>
          <x:t xml:space="preserve">是</x:t>
        </x:is>
      </x:c>
      <x:c r="Q421" s="56" t="n"/>
      <x:c r="R421" s="57" t="inlineStr">
        <x:is>
          <x:t xml:space="preserve">主集</x:t>
        </x:is>
      </x:c>
      <x:c r="S421" s="57" t="inlineStr">
        <x:is>
          <x:t xml:space="preserve">dev</x:t>
        </x:is>
      </x:c>
      <x:c r="T421" s="57" t="inlineStr">
        <x:is>
          <x:t xml:space="preserve"/>
        </x:is>
      </x:c>
    </x:row>
    <x:row r="422" s="37" customFormat="1" ht="29.850000381469727" customHeight="1">
      <x:c r="A422" s="55" t="inlineStr">
        <x:is>
          <x:t xml:space="preserve">NEG-0421</x:t>
        </x:is>
      </x:c>
      <x:c r="B422" s="55" t="inlineStr">
        <x:is>
          <x:t xml:space="preserve">v3</x:t>
        </x:is>
      </x:c>
      <x:c r="C422" s="56" t="inlineStr">
        <x:is>
          <x:t xml:space="preserve">八、语言本体层面的历史残留</x:t>
        </x:is>
      </x:c>
      <x:c r="D422" s="56" t="inlineStr">
        <x:is>
          <x:t xml:space="preserve">8.3 已中性化的复合词</x:t>
        </x:is>
      </x:c>
      <x:c r="E422" s="56" t="inlineStr">
        <x:is>
          <x:t xml:space="preserve">公文与规章</x:t>
        </x:is>
      </x:c>
      <x:c r="F422" s="56" t="inlineStr">
        <x:is>
          <x:t xml:space="preserve">广播开场</x:t>
        </x:is>
      </x:c>
      <x:c r="G422" s="55" t="inlineStr">
        <x:is>
          <x:t xml:space="preserve">无</x:t>
        </x:is>
      </x:c>
      <x:c r="H422" s="55" t="str">
        <x:f>IF(LEN(I422)&lt;15,"短",IF(LEN(I422)&lt;=45,"中","长"))</x:f>
        <x:v>中</x:v>
      </x:c>
      <x:c r="I422" s="56" t="inlineStr">
        <x:is>
          <x:t xml:space="preserve">各位听众朋友，各位父老乡亲，晚上好。</x:t>
        </x:is>
      </x:c>
      <x:c r="J422" s="56" t="str">
        <x:f>I422</x:f>
        <x:v>各位听众朋友，各位父老乡亲，晚上好。</x:v>
      </x:c>
      <x:c r="K422" s="55" t="inlineStr">
        <x:is>
          <x:t xml:space="preserve">无需改写</x:t>
        </x:is>
      </x:c>
      <x:c r="L422" s="56" t="inlineStr">
        <x:is>
          <x:t xml:space="preserve">父老乡亲</x:t>
        </x:is>
      </x:c>
      <x:c r="M422" s="56" t="inlineStr">
        <x:is>
          <x:t xml:space="preserve">广播固定开场语</x:t>
        </x:is>
      </x:c>
      <x:c r="N422" s="56" t="inlineStr">
        <x:is>
          <x:t xml:space="preserve">各位听众朋友，各位居民朋友，晚上好</x:t>
        </x:is>
      </x:c>
      <x:c r="O422" s="55" t="inlineStr">
        <x:is>
          <x:t xml:space="preserve">中</x:t>
        </x:is>
      </x:c>
      <x:c r="P422" s="55" t="inlineStr">
        <x:is>
          <x:t xml:space="preserve">是</x:t>
        </x:is>
      </x:c>
      <x:c r="Q422" s="56" t="n"/>
      <x:c r="R422" s="57" t="inlineStr">
        <x:is>
          <x:t xml:space="preserve">主集</x:t>
        </x:is>
      </x:c>
      <x:c r="S422" s="57" t="inlineStr">
        <x:is>
          <x:t xml:space="preserve">index</x:t>
        </x:is>
      </x:c>
      <x:c r="T422" s="57" t="inlineStr">
        <x:is>
          <x:t xml:space="preserve"/>
        </x:is>
      </x:c>
    </x:row>
    <x:row r="423" s="37" customFormat="1" ht="29.850000381469727" customHeight="1">
      <x:c r="A423" s="58" t="inlineStr">
        <x:is>
          <x:t xml:space="preserve">NEG-0422</x:t>
        </x:is>
      </x:c>
      <x:c r="B423" s="58" t="inlineStr">
        <x:is>
          <x:t xml:space="preserve">v3</x:t>
        </x:is>
      </x:c>
      <x:c r="C423" s="59" t="inlineStr">
        <x:is>
          <x:t xml:space="preserve">八、语言本体层面的历史残留</x:t>
        </x:is>
      </x:c>
      <x:c r="D423" s="59" t="inlineStr">
        <x:is>
          <x:t xml:space="preserve">8.4 语法性词汇</x:t>
        </x:is>
      </x:c>
      <x:c r="E423" s="59" t="inlineStr">
        <x:is>
          <x:t xml:space="preserve">学术与调研</x:t>
        </x:is>
      </x:c>
      <x:c r="F423" s="59" t="inlineStr">
        <x:is>
          <x:t xml:space="preserve">翻译笔记</x:t>
        </x:is>
      </x:c>
      <x:c r="G423" s="58" t="inlineStr">
        <x:is>
          <x:t xml:space="preserve">无</x:t>
        </x:is>
      </x:c>
      <x:c r="H423" s="58" t="str">
        <x:f>IF(LEN(I423)&lt;15,"短",IF(LEN(I423)&lt;=45,"中","长"))</x:f>
        <x:v>中</x:v>
      </x:c>
      <x:c r="I423" s="59" t="inlineStr">
        <x:is>
          <x:t xml:space="preserve">法语的 le 与 la 只是词性标记，译成中文时不作性别处理。</x:t>
        </x:is>
      </x:c>
      <x:c r="J423" s="59" t="str">
        <x:f>I423</x:f>
        <x:v>法语的 le 与 la 只是词性标记，译成中文时不作性别处理。</x:v>
      </x:c>
      <x:c r="K423" s="58" t="inlineStr">
        <x:is>
          <x:t xml:space="preserve">无需改写</x:t>
        </x:is>
      </x:c>
      <x:c r="L423" s="59" t="inlineStr">
        <x:is>
          <x:t xml:space="preserve">le/la</x:t>
        </x:is>
      </x:c>
      <x:c r="M423" s="59" t="inlineStr">
        <x:is>
          <x:t xml:space="preserve">语法性属说明</x:t>
        </x:is>
      </x:c>
      <x:c r="N423" s="59" t="inlineStr">
        <x:is>
          <x:t xml:space="preserve">法语的冠词只是词性标记，译成中文时不处理</x:t>
        </x:is>
      </x:c>
      <x:c r="O423" s="58" t="inlineStr">
        <x:is>
          <x:t xml:space="preserve">易</x:t>
        </x:is>
      </x:c>
      <x:c r="P423" s="58" t="inlineStr">
        <x:is>
          <x:t xml:space="preserve">否</x:t>
        </x:is>
      </x:c>
      <x:c r="Q423" s="59" t="n"/>
      <x:c r="R423" s="60" t="inlineStr">
        <x:is>
          <x:t xml:space="preserve">隔离·待确认</x:t>
        </x:is>
      </x:c>
      <x:c r="S423" s="60" t="inlineStr">
        <x:is>
          <x:t xml:space="preserve"/>
        </x:is>
      </x:c>
      <x:c r="T423" s="60" t="inlineStr">
        <x:is>
          <x:t xml:space="preserve">触发词不含性别编码——判断可能依赖世界知识而非句内信息</x:t>
        </x:is>
      </x:c>
    </x:row>
    <x:row r="424" s="37" customFormat="1" ht="29.850000381469727" customHeight="1">
      <x:c r="A424" s="55" t="inlineStr">
        <x:is>
          <x:t xml:space="preserve">NEG-0423</x:t>
        </x:is>
      </x:c>
      <x:c r="B424" s="55" t="inlineStr">
        <x:is>
          <x:t xml:space="preserve">v3</x:t>
        </x:is>
      </x:c>
      <x:c r="C424" s="56" t="inlineStr">
        <x:is>
          <x:t xml:space="preserve">八、语言本体层面的历史残留</x:t>
        </x:is>
      </x:c>
      <x:c r="D424" s="56" t="inlineStr">
        <x:is>
          <x:t xml:space="preserve">8.4 语法性词汇</x:t>
        </x:is>
      </x:c>
      <x:c r="E424" s="56" t="inlineStr">
        <x:is>
          <x:t xml:space="preserve">学术与调研</x:t>
        </x:is>
      </x:c>
      <x:c r="F424" s="56" t="inlineStr">
        <x:is>
          <x:t xml:space="preserve">术语讨论</x:t>
        </x:is>
      </x:c>
      <x:c r="G424" s="55" t="inlineStr">
        <x:is>
          <x:t xml:space="preserve">无</x:t>
        </x:is>
      </x:c>
      <x:c r="H424" s="55" t="str">
        <x:f>IF(LEN(I424)&lt;15,"短",IF(LEN(I424)&lt;=45,"中","长"))</x:f>
        <x:v>中</x:v>
      </x:c>
      <x:c r="I424" s="56" t="inlineStr">
        <x:is>
          <x:t xml:space="preserve">英语的 chairman 带有性别色彩，中文的“主席”则没有。</x:t>
        </x:is>
      </x:c>
      <x:c r="J424" s="56" t="str">
        <x:f>I424</x:f>
        <x:v>英语的 chairman 带有性别色彩，中文的“主席”则没有。</x:v>
      </x:c>
      <x:c r="K424" s="55" t="inlineStr">
        <x:is>
          <x:t xml:space="preserve">无需改写</x:t>
        </x:is>
      </x:c>
      <x:c r="L424" s="56" t="inlineStr">
        <x:is>
          <x:t xml:space="preserve">chairman/性别色彩</x:t>
        </x:is>
      </x:c>
      <x:c r="M424" s="56" t="inlineStr">
        <x:is>
          <x:t xml:space="preserve">跨语言对比</x:t>
        </x:is>
      </x:c>
      <x:c r="N424" s="56" t="inlineStr">
        <x:is>
          <x:t xml:space="preserve">英语相关职位词带有色彩差异，中文没有</x:t>
        </x:is>
      </x:c>
      <x:c r="O424" s="55" t="inlineStr">
        <x:is>
          <x:t xml:space="preserve">中</x:t>
        </x:is>
      </x:c>
      <x:c r="P424" s="55" t="inlineStr">
        <x:is>
          <x:t xml:space="preserve">否</x:t>
        </x:is>
      </x:c>
      <x:c r="Q424" s="56" t="n"/>
      <x:c r="R424" s="57" t="inlineStr">
        <x:is>
          <x:t xml:space="preserve">主集</x:t>
        </x:is>
      </x:c>
      <x:c r="S424" s="57" t="inlineStr">
        <x:is>
          <x:t xml:space="preserve">test</x:t>
        </x:is>
      </x:c>
      <x:c r="T424" s="57" t="inlineStr">
        <x:is>
          <x:t xml:space="preserve"/>
        </x:is>
      </x:c>
    </x:row>
    <x:row r="425" s="37" customFormat="1" ht="29.850000381469727" customHeight="1">
      <x:c r="A425" s="58" t="inlineStr">
        <x:is>
          <x:t xml:space="preserve">NEG-0424</x:t>
        </x:is>
      </x:c>
      <x:c r="B425" s="58" t="inlineStr">
        <x:is>
          <x:t xml:space="preserve">v3</x:t>
        </x:is>
      </x:c>
      <x:c r="C425" s="59" t="inlineStr">
        <x:is>
          <x:t xml:space="preserve">八、语言本体层面的历史残留</x:t>
        </x:is>
      </x:c>
      <x:c r="D425" s="59" t="inlineStr">
        <x:is>
          <x:t xml:space="preserve">8.5 惯用搭配与固定表达</x:t>
        </x:is>
      </x:c>
      <x:c r="E425" s="59" t="inlineStr">
        <x:is>
          <x:t xml:space="preserve">口语与私人交流</x:t>
        </x:is>
      </x:c>
      <x:c r="F425" s="59" t="inlineStr">
        <x:is>
          <x:t xml:space="preserve">日常口语</x:t>
        </x:is>
      </x:c>
      <x:c r="G425" s="58" t="inlineStr">
        <x:is>
          <x:t xml:space="preserve">方言</x:t>
        </x:is>
      </x:c>
      <x:c r="H425" s="58" t="str">
        <x:f>IF(LEN(I425)&lt;15,"短",IF(LEN(I425)&lt;=45,"中","长"))</x:f>
        <x:v>中</x:v>
      </x:c>
      <x:c r="I425" s="59" t="inlineStr">
        <x:is>
          <x:t xml:space="preserve">哥们儿，帮个忙呗。（说话对象为一位女同事）</x:t>
        </x:is>
      </x:c>
      <x:c r="J425" s="59" t="str">
        <x:f>I425</x:f>
        <x:v>哥们儿，帮个忙呗。（说话对象为一位女同事）</x:v>
      </x:c>
      <x:c r="K425" s="58" t="inlineStr">
        <x:is>
          <x:t xml:space="preserve">无需改写</x:t>
        </x:is>
      </x:c>
      <x:c r="L425" s="59" t="inlineStr">
        <x:is>
          <x:t xml:space="preserve">哥们儿</x:t>
        </x:is>
      </x:c>
      <x:c r="M425" s="59" t="inlineStr">
        <x:is>
          <x:t xml:space="preserve">北方口语中已去性别化的招呼语</x:t>
        </x:is>
      </x:c>
      <x:c r="N425" s="59" t="inlineStr">
        <x:is>
          <x:t xml:space="preserve">朋友，帮个忙呗</x:t>
        </x:is>
      </x:c>
      <x:c r="O425" s="58" t="inlineStr">
        <x:is>
          <x:t xml:space="preserve">中</x:t>
        </x:is>
      </x:c>
      <x:c r="P425" s="58" t="inlineStr">
        <x:is>
          <x:t xml:space="preserve">是</x:t>
        </x:is>
      </x:c>
      <x:c r="Q425" s="59" t="n"/>
      <x:c r="R425" s="60" t="inlineStr">
        <x:is>
          <x:t xml:space="preserve">隔离·待确认</x:t>
        </x:is>
      </x:c>
      <x:c r="S425" s="60" t="inlineStr">
        <x:is>
          <x:t xml:space="preserve"/>
        </x:is>
      </x:c>
      <x:c r="T425" s="60" t="inlineStr">
        <x:is>
          <x:t xml:space="preserve">触发词不含性别编码——判断可能依赖世界知识而非句内信息</x:t>
        </x:is>
      </x:c>
    </x:row>
    <x:row r="426" s="37" customFormat="1" ht="29.850000381469727" customHeight="1">
      <x:c r="A426" s="55" t="inlineStr">
        <x:is>
          <x:t xml:space="preserve">NEG-0425</x:t>
        </x:is>
      </x:c>
      <x:c r="B426" s="55" t="inlineStr">
        <x:is>
          <x:t xml:space="preserve">v3</x:t>
        </x:is>
      </x:c>
      <x:c r="C426" s="56" t="inlineStr">
        <x:is>
          <x:t xml:space="preserve">八、语言本体层面的历史残留</x:t>
        </x:is>
      </x:c>
      <x:c r="D426" s="56" t="inlineStr">
        <x:is>
          <x:t xml:space="preserve">8.5 惯用搭配与固定表达</x:t>
        </x:is>
      </x:c>
      <x:c r="E426" s="56" t="inlineStr">
        <x:is>
          <x:t xml:space="preserve">公文与规章</x:t>
        </x:is>
      </x:c>
      <x:c r="F426" s="56" t="inlineStr">
        <x:is>
          <x:t xml:space="preserve">公文致辞</x:t>
        </x:is>
      </x:c>
      <x:c r="G426" s="55" t="inlineStr">
        <x:is>
          <x:t xml:space="preserve">无</x:t>
        </x:is>
      </x:c>
      <x:c r="H426" s="55" t="str">
        <x:f>IF(LEN(I426)&lt;15,"短",IF(LEN(I426)&lt;=45,"中","长"))</x:f>
        <x:v>中</x:v>
      </x:c>
      <x:c r="I426" s="56" t="inlineStr">
        <x:is>
          <x:t xml:space="preserve">感谢各兄弟省市在本次防汛中给予的支援。</x:t>
        </x:is>
      </x:c>
      <x:c r="J426" s="56" t="str">
        <x:f>I426</x:f>
        <x:v>感谢各兄弟省市在本次防汛中给予的支援。</x:v>
      </x:c>
      <x:c r="K426" s="55" t="inlineStr">
        <x:is>
          <x:t xml:space="preserve">无需改写</x:t>
        </x:is>
      </x:c>
      <x:c r="L426" s="56" t="inlineStr">
        <x:is>
          <x:t xml:space="preserve">兄弟省市</x:t>
        </x:is>
      </x:c>
      <x:c r="M426" s="56" t="inlineStr">
        <x:is>
          <x:t xml:space="preserve">机构间固定惯用语</x:t>
        </x:is>
      </x:c>
      <x:c r="N426" s="56" t="inlineStr">
        <x:is>
          <x:t xml:space="preserve">感谢各协作省市在本次防汛中给予的支援</x:t>
        </x:is>
      </x:c>
      <x:c r="O426" s="55" t="inlineStr">
        <x:is>
          <x:t xml:space="preserve">中</x:t>
        </x:is>
      </x:c>
      <x:c r="P426" s="55" t="inlineStr">
        <x:is>
          <x:t xml:space="preserve">是</x:t>
        </x:is>
      </x:c>
      <x:c r="Q426" s="56" t="n"/>
      <x:c r="R426" s="57" t="inlineStr">
        <x:is>
          <x:t xml:space="preserve">主集</x:t>
        </x:is>
      </x:c>
      <x:c r="S426" s="57" t="inlineStr">
        <x:is>
          <x:t xml:space="preserve">test</x:t>
        </x:is>
      </x:c>
      <x:c r="T426" s="57" t="inlineStr">
        <x:is>
          <x:t xml:space="preserve"/>
        </x:is>
      </x:c>
    </x:row>
    <x:row r="427" s="37" customFormat="1" ht="29.850000381469727" customHeight="1">
      <x:c r="A427" s="55" t="inlineStr">
        <x:is>
          <x:t xml:space="preserve">NEG-0426</x:t>
        </x:is>
      </x:c>
      <x:c r="B427" s="55" t="inlineStr">
        <x:is>
          <x:t xml:space="preserve">v3</x:t>
        </x:is>
      </x:c>
      <x:c r="C427" s="56" t="inlineStr">
        <x:is>
          <x:t xml:space="preserve">一、指称已知性别的具体个人</x:t>
        </x:is>
      </x:c>
      <x:c r="D427" s="56" t="inlineStr">
        <x:is>
          <x:t xml:space="preserve">1.2 人称代词</x:t>
        </x:is>
      </x:c>
      <x:c r="E427" s="56" t="inlineStr">
        <x:is>
          <x:t xml:space="preserve">医疗健康</x:t>
        </x:is>
      </x:c>
      <x:c r="F427" s="56" t="inlineStr">
        <x:is>
          <x:t xml:space="preserve">病历首行</x:t>
        </x:is>
      </x:c>
      <x:c r="G427" s="55" t="inlineStr">
        <x:is>
          <x:t xml:space="preserve">缩略</x:t>
        </x:is>
      </x:c>
      <x:c r="H427" s="55" t="str">
        <x:f>IF(LEN(I427)&lt;15,"短",IF(LEN(I427)&lt;=45,"中","长"))</x:f>
        <x:v>短</x:v>
      </x:c>
      <x:c r="I427" s="56" t="inlineStr">
        <x:is>
          <x:t xml:space="preserve">女，32，初诊</x:t>
        </x:is>
      </x:c>
      <x:c r="J427" s="56" t="str">
        <x:f>I427</x:f>
        <x:v>女，32，初诊</x:v>
      </x:c>
      <x:c r="K427" s="55" t="inlineStr">
        <x:is>
          <x:t xml:space="preserve">无需改写</x:t>
        </x:is>
      </x:c>
      <x:c r="L427" s="56" t="inlineStr">
        <x:is>
          <x:t xml:space="preserve">女</x:t>
        </x:is>
      </x:c>
      <x:c r="M427" s="56" t="inlineStr">
        <x:is>
          <x:t xml:space="preserve">病历表头的规范缩写</x:t>
        </x:is>
      </x:c>
      <x:c r="N427" s="56" t="inlineStr">
        <x:is>
          <x:t xml:space="preserve">32 岁，初诊</x:t>
        </x:is>
      </x:c>
      <x:c r="O427" s="55" t="inlineStr">
        <x:is>
          <x:t xml:space="preserve">中</x:t>
        </x:is>
      </x:c>
      <x:c r="P427" s="55" t="inlineStr">
        <x:is>
          <x:t xml:space="preserve">否</x:t>
        </x:is>
      </x:c>
      <x:c r="Q427" s="56" t="n"/>
      <x:c r="R427" s="57" t="inlineStr">
        <x:is>
          <x:t xml:space="preserve">主集</x:t>
        </x:is>
      </x:c>
      <x:c r="S427" s="57" t="inlineStr">
        <x:is>
          <x:t xml:space="preserve">index</x:t>
        </x:is>
      </x:c>
      <x:c r="T427" s="57" t="inlineStr">
        <x:is>
          <x:t xml:space="preserve"/>
        </x:is>
      </x:c>
    </x:row>
    <x:row r="428" s="37" customFormat="1" ht="29.850000381469727" customHeight="1">
      <x:c r="A428" s="55" t="inlineStr">
        <x:is>
          <x:t xml:space="preserve">NEG-0427</x:t>
        </x:is>
      </x:c>
      <x:c r="B428" s="55" t="inlineStr">
        <x:is>
          <x:t xml:space="preserve">v3</x:t>
        </x:is>
      </x:c>
      <x:c r="C428" s="56" t="inlineStr">
        <x:is>
          <x:t xml:space="preserve">一、指称已知性别的具体个人</x:t>
        </x:is>
      </x:c>
      <x:c r="D428" s="56" t="inlineStr">
        <x:is>
          <x:t xml:space="preserve">1.1 姓名与社会称谓</x:t>
        </x:is>
      </x:c>
      <x:c r="E428" s="56" t="inlineStr">
        <x:is>
          <x:t xml:space="preserve">公文与规章</x:t>
        </x:is>
      </x:c>
      <x:c r="F428" s="56" t="inlineStr">
        <x:is>
          <x:t xml:space="preserve">短信通知</x:t>
        </x:is>
      </x:c>
      <x:c r="G428" s="55" t="inlineStr">
        <x:is>
          <x:t xml:space="preserve">缩略</x:t>
        </x:is>
      </x:c>
      <x:c r="H428" s="55" t="str">
        <x:f>IF(LEN(I428)&lt;15,"短",IF(LEN(I428)&lt;=45,"中","长"))</x:f>
        <x:v>中</x:v>
      </x:c>
      <x:c r="I428" s="56" t="inlineStr">
        <x:is>
          <x:t xml:space="preserve">李女士 138****2210</x:t>
        </x:is>
      </x:c>
      <x:c r="J428" s="56" t="str">
        <x:f>I428</x:f>
        <x:v>李女士 138****2210</x:v>
      </x:c>
      <x:c r="K428" s="55" t="inlineStr">
        <x:is>
          <x:t xml:space="preserve">无需改写</x:t>
        </x:is>
      </x:c>
      <x:c r="L428" s="56" t="inlineStr">
        <x:is>
          <x:t xml:space="preserve">李女士</x:t>
        </x:is>
      </x:c>
      <x:c r="M428" s="56" t="inlineStr">
        <x:is>
          <x:t xml:space="preserve">联系人条目</x:t>
        </x:is>
      </x:c>
      <x:c r="N428" s="56" t="inlineStr">
        <x:is>
          <x:t xml:space="preserve">客户 138****2210</x:t>
        </x:is>
      </x:c>
      <x:c r="O428" s="55" t="inlineStr">
        <x:is>
          <x:t xml:space="preserve">中</x:t>
        </x:is>
      </x:c>
      <x:c r="P428" s="55" t="inlineStr">
        <x:is>
          <x:t xml:space="preserve">否</x:t>
        </x:is>
      </x:c>
      <x:c r="Q428" s="56" t="n"/>
      <x:c r="R428" s="57" t="inlineStr">
        <x:is>
          <x:t xml:space="preserve">主集</x:t>
        </x:is>
      </x:c>
      <x:c r="S428" s="57" t="inlineStr">
        <x:is>
          <x:t xml:space="preserve">test</x:t>
        </x:is>
      </x:c>
      <x:c r="T428" s="57" t="inlineStr">
        <x:is>
          <x:t xml:space="preserve"/>
        </x:is>
      </x:c>
    </x:row>
    <x:row r="429" s="37" customFormat="1" ht="29.850000381469727" customHeight="1">
      <x:c r="A429" s="55" t="inlineStr">
        <x:is>
          <x:t xml:space="preserve">NEG-0428</x:t>
        </x:is>
      </x:c>
      <x:c r="B429" s="55" t="inlineStr">
        <x:is>
          <x:t xml:space="preserve">v3</x:t>
        </x:is>
      </x:c>
      <x:c r="C429" s="56" t="inlineStr">
        <x:is>
          <x:t xml:space="preserve">一、指称已知性别的具体个人</x:t>
        </x:is>
      </x:c>
      <x:c r="D429" s="56" t="inlineStr">
        <x:is>
          <x:t xml:space="preserve">1.3 血亲与姻亲称谓</x:t>
        </x:is>
      </x:c>
      <x:c r="E429" s="56" t="inlineStr">
        <x:is>
          <x:t xml:space="preserve">公文与规章</x:t>
        </x:is>
      </x:c>
      <x:c r="F429" s="56" t="inlineStr">
        <x:is>
          <x:t xml:space="preserve">表单字段</x:t>
        </x:is>
      </x:c>
      <x:c r="G429" s="55" t="inlineStr">
        <x:is>
          <x:t xml:space="preserve">结构化文本</x:t>
        </x:is>
      </x:c>
      <x:c r="H429" s="55" t="str">
        <x:f>IF(LEN(I429)&lt;15,"短",IF(LEN(I429)&lt;=45,"中","长"))</x:f>
        <x:v>短</x:v>
      </x:c>
      <x:c r="I429" s="56" t="inlineStr">
        <x:is>
          <x:t xml:space="preserve">紧急联系人：其母</x:t>
        </x:is>
      </x:c>
      <x:c r="J429" s="56" t="str">
        <x:f>I429</x:f>
        <x:v>紧急联系人：其母</x:v>
      </x:c>
      <x:c r="K429" s="55" t="inlineStr">
        <x:is>
          <x:t xml:space="preserve">无需改写</x:t>
        </x:is>
      </x:c>
      <x:c r="L429" s="56" t="inlineStr">
        <x:is>
          <x:t xml:space="preserve">其母</x:t>
        </x:is>
      </x:c>
      <x:c r="M429" s="56" t="inlineStr">
        <x:is>
          <x:t xml:space="preserve">关系字段取值</x:t>
        </x:is>
      </x:c>
      <x:c r="N429" s="56" t="inlineStr">
        <x:is>
          <x:t xml:space="preserve">紧急联系人：其家长</x:t>
        </x:is>
      </x:c>
      <x:c r="O429" s="55" t="inlineStr">
        <x:is>
          <x:t xml:space="preserve">中</x:t>
        </x:is>
      </x:c>
      <x:c r="P429" s="55" t="inlineStr">
        <x:is>
          <x:t xml:space="preserve">否</x:t>
        </x:is>
      </x:c>
      <x:c r="Q429" s="56" t="n"/>
      <x:c r="R429" s="57" t="inlineStr">
        <x:is>
          <x:t xml:space="preserve">主集</x:t>
        </x:is>
      </x:c>
      <x:c r="S429" s="57" t="inlineStr">
        <x:is>
          <x:t xml:space="preserve">dev</x:t>
        </x:is>
      </x:c>
      <x:c r="T429" s="57" t="inlineStr">
        <x:is>
          <x:t xml:space="preserve"/>
        </x:is>
      </x:c>
    </x:row>
    <x:row r="430" s="37" customFormat="1" ht="29.850000381469727" customHeight="1">
      <x:c r="A430" s="61" t="inlineStr">
        <x:is>
          <x:t xml:space="preserve">NEG-0429</x:t>
        </x:is>
      </x:c>
      <x:c r="B430" s="61" t="inlineStr">
        <x:is>
          <x:t xml:space="preserve">v3</x:t>
        </x:is>
      </x:c>
      <x:c r="C430" s="62" t="inlineStr">
        <x:is>
          <x:t xml:space="preserve">一、指称已知性别的具体个人</x:t>
        </x:is>
      </x:c>
      <x:c r="D430" s="62" t="inlineStr">
        <x:is>
          <x:t xml:space="preserve">1.2 人称代词</x:t>
        </x:is>
      </x:c>
      <x:c r="E430" s="62" t="inlineStr">
        <x:is>
          <x:t xml:space="preserve">口语与私人交流</x:t>
        </x:is>
      </x:c>
      <x:c r="F430" s="62" t="inlineStr">
        <x:is>
          <x:t xml:space="preserve">聊天碎片</x:t>
        </x:is>
      </x:c>
      <x:c r="G430" s="61" t="inlineStr">
        <x:is>
          <x:t xml:space="preserve">缩略</x:t>
        </x:is>
      </x:c>
      <x:c r="H430" s="61" t="str">
        <x:f>IF(LEN(I430)&lt;15,"短",IF(LEN(I430)&lt;=45,"中","长"))</x:f>
        <x:v>短</x:v>
      </x:c>
      <x:c r="I430" s="62" t="inlineStr">
        <x:is>
          <x:t xml:space="preserve">我姐呢？</x:t>
        </x:is>
      </x:c>
      <x:c r="J430" s="62" t="str">
        <x:f>I430</x:f>
        <x:v>我姐呢？</x:v>
      </x:c>
      <x:c r="K430" s="61" t="inlineStr">
        <x:is>
          <x:t xml:space="preserve">无需改写</x:t>
        </x:is>
      </x:c>
      <x:c r="L430" s="62" t="inlineStr">
        <x:is>
          <x:t xml:space="preserve">我姐</x:t>
        </x:is>
      </x:c>
      <x:c r="M430" s="62" t="inlineStr">
        <x:is>
          <x:t xml:space="preserve">口语短句，上下文之外无从改写</x:t>
        </x:is>
      </x:c>
      <x:c r="N430" s="62" t="inlineStr">
        <x:is>
          <x:t xml:space="preserve">我家人呢？</x:t>
        </x:is>
      </x:c>
      <x:c r="O430" s="61" t="inlineStr">
        <x:is>
          <x:t xml:space="preserve">难</x:t>
        </x:is>
      </x:c>
      <x:c r="P430" s="61" t="inlineStr">
        <x:is>
          <x:t xml:space="preserve">否</x:t>
        </x:is>
      </x:c>
      <x:c r="Q430" s="62" t="inlineStr">
        <x:is>
          <x:t xml:space="preserve">极短文本最易被无差别改写</x:t>
        </x:is>
      </x:c>
      <x:c r="R430" s="63" t="inlineStr">
        <x:is>
          <x:t xml:space="preserve">删除</x:t>
        </x:is>
      </x:c>
      <x:c r="S430" s="63" t="inlineStr">
        <x:is>
          <x:t xml:space="preserve"/>
        </x:is>
      </x:c>
      <x:c r="T430" s="63" t="inlineStr">
        <x:is>
          <x:t xml:space="preserve">信息量不足以支撑任何判断</x:t>
        </x:is>
      </x:c>
    </x:row>
    <x:row r="431" s="37" customFormat="1" ht="29.850000381469727" customHeight="1">
      <x:c r="A431" s="55" t="inlineStr">
        <x:is>
          <x:t xml:space="preserve">NEG-0430</x:t>
        </x:is>
      </x:c>
      <x:c r="B431" s="55" t="inlineStr">
        <x:is>
          <x:t xml:space="preserve">v3</x:t>
        </x:is>
      </x:c>
      <x:c r="C431" s="56" t="inlineStr">
        <x:is>
          <x:t xml:space="preserve">一、指称已知性别的具体个人</x:t>
        </x:is>
      </x:c>
      <x:c r="D431" s="56" t="inlineStr">
        <x:is>
          <x:t xml:space="preserve">1.3 血亲与姻亲称谓</x:t>
        </x:is>
      </x:c>
      <x:c r="E431" s="56" t="inlineStr">
        <x:is>
          <x:t xml:space="preserve">口语与私人交流</x:t>
        </x:is>
      </x:c>
      <x:c r="F431" s="56" t="inlineStr">
        <x:is>
          <x:t xml:space="preserve">聊天碎片</x:t>
        </x:is>
      </x:c>
      <x:c r="G431" s="55" t="inlineStr">
        <x:is>
          <x:t xml:space="preserve">缩略</x:t>
        </x:is>
      </x:c>
      <x:c r="H431" s="55" t="str">
        <x:f>IF(LEN(I431)&lt;15,"短",IF(LEN(I431)&lt;=45,"中","长"))</x:f>
        <x:v>短</x:v>
      </x:c>
      <x:c r="I431" s="56" t="inlineStr">
        <x:is>
          <x:t xml:space="preserve">记得跟我妈说一声</x:t>
        </x:is>
      </x:c>
      <x:c r="J431" s="56" t="str">
        <x:f>I431</x:f>
        <x:v>记得跟我妈说一声</x:v>
      </x:c>
      <x:c r="K431" s="55" t="inlineStr">
        <x:is>
          <x:t xml:space="preserve">无需改写</x:t>
        </x:is>
      </x:c>
      <x:c r="L431" s="56" t="inlineStr">
        <x:is>
          <x:t xml:space="preserve">我妈</x:t>
        </x:is>
      </x:c>
      <x:c r="M431" s="56" t="inlineStr">
        <x:is>
          <x:t xml:space="preserve">口语短句</x:t>
        </x:is>
      </x:c>
      <x:c r="N431" s="56" t="inlineStr">
        <x:is>
          <x:t xml:space="preserve">记得跟家里说一声</x:t>
        </x:is>
      </x:c>
      <x:c r="O431" s="55" t="inlineStr">
        <x:is>
          <x:t xml:space="preserve">难</x:t>
        </x:is>
      </x:c>
      <x:c r="P431" s="55" t="inlineStr">
        <x:is>
          <x:t xml:space="preserve">否</x:t>
        </x:is>
      </x:c>
      <x:c r="Q431" s="56" t="n"/>
      <x:c r="R431" s="57" t="inlineStr">
        <x:is>
          <x:t xml:space="preserve">主集</x:t>
        </x:is>
      </x:c>
      <x:c r="S431" s="57" t="inlineStr">
        <x:is>
          <x:t xml:space="preserve">index</x:t>
        </x:is>
      </x:c>
      <x:c r="T431" s="57" t="inlineStr">
        <x:is>
          <x:t xml:space="preserve"/>
        </x:is>
      </x:c>
    </x:row>
    <x:row r="432" s="37" customFormat="1" ht="29.850000381469727" customHeight="1">
      <x:c r="A432" s="55" t="inlineStr">
        <x:is>
          <x:t xml:space="preserve">NEG-0431</x:t>
        </x:is>
      </x:c>
      <x:c r="B432" s="55" t="inlineStr">
        <x:is>
          <x:t xml:space="preserve">v3</x:t>
        </x:is>
      </x:c>
      <x:c r="C432" s="56" t="inlineStr">
        <x:is>
          <x:t xml:space="preserve">一、指称已知性别的具体个人</x:t>
        </x:is>
      </x:c>
      <x:c r="D432" s="56" t="inlineStr">
        <x:is>
          <x:t xml:space="preserve">1.2 人称代词</x:t>
        </x:is>
      </x:c>
      <x:c r="E432" s="56" t="inlineStr">
        <x:is>
          <x:t xml:space="preserve">口语与私人交流</x:t>
        </x:is>
      </x:c>
      <x:c r="F432" s="56" t="inlineStr">
        <x:is>
          <x:t xml:space="preserve">聊天碎片</x:t>
        </x:is>
      </x:c>
      <x:c r="G432" s="55" t="inlineStr">
        <x:is>
          <x:t xml:space="preserve">缩略</x:t>
        </x:is>
      </x:c>
      <x:c r="H432" s="55" t="str">
        <x:f>IF(LEN(I432)&lt;15,"短",IF(LEN(I432)&lt;=45,"中","长"))</x:f>
        <x:v>短</x:v>
      </x:c>
      <x:c r="I432" s="56" t="inlineStr">
        <x:is>
          <x:t xml:space="preserve">她刚走，你晚了</x:t>
        </x:is>
      </x:c>
      <x:c r="J432" s="56" t="str">
        <x:f>I432</x:f>
        <x:v>她刚走，你晚了</x:v>
      </x:c>
      <x:c r="K432" s="55" t="inlineStr">
        <x:is>
          <x:t xml:space="preserve">无需改写</x:t>
        </x:is>
      </x:c>
      <x:c r="L432" s="56" t="inlineStr">
        <x:is>
          <x:t xml:space="preserve">她</x:t>
        </x:is>
      </x:c>
      <x:c r="M432" s="56" t="inlineStr">
        <x:is>
          <x:t xml:space="preserve">指称在场双方已知的具体某人</x:t>
        </x:is>
      </x:c>
      <x:c r="N432" s="56" t="inlineStr">
        <x:is>
          <x:t xml:space="preserve">TA刚走，你晚了</x:t>
        </x:is>
      </x:c>
      <x:c r="O432" s="55" t="inlineStr">
        <x:is>
          <x:t xml:space="preserve">难</x:t>
        </x:is>
      </x:c>
      <x:c r="P432" s="55" t="inlineStr">
        <x:is>
          <x:t xml:space="preserve">否</x:t>
        </x:is>
      </x:c>
      <x:c r="Q432" s="56" t="n"/>
      <x:c r="R432" s="57" t="inlineStr">
        <x:is>
          <x:t xml:space="preserve">主集</x:t>
        </x:is>
      </x:c>
      <x:c r="S432" s="57" t="inlineStr">
        <x:is>
          <x:t xml:space="preserve">index</x:t>
        </x:is>
      </x:c>
      <x:c r="T432" s="57" t="inlineStr">
        <x:is>
          <x:t xml:space="preserve"/>
        </x:is>
      </x:c>
    </x:row>
    <x:row r="433" s="37" customFormat="1" ht="29.850000381469727" customHeight="1">
      <x:c r="A433" s="55" t="inlineStr">
        <x:is>
          <x:t xml:space="preserve">NEG-0432</x:t>
        </x:is>
      </x:c>
      <x:c r="B433" s="55" t="inlineStr">
        <x:is>
          <x:t xml:space="preserve">v3</x:t>
        </x:is>
      </x:c>
      <x:c r="C433" s="56" t="inlineStr">
        <x:is>
          <x:t xml:space="preserve">一、指称已知性别的具体个人</x:t>
        </x:is>
      </x:c>
      <x:c r="D433" s="56" t="inlineStr">
        <x:is>
          <x:t xml:space="preserve">1.5 社会角色中的具体个人</x:t>
        </x:is>
      </x:c>
      <x:c r="E433" s="56" t="inlineStr">
        <x:is>
          <x:t xml:space="preserve">工程与技术</x:t>
        </x:is>
      </x:c>
      <x:c r="F433" s="56" t="inlineStr">
        <x:is>
          <x:t xml:space="preserve">笔录表头</x:t>
        </x:is>
      </x:c>
      <x:c r="G433" s="55" t="inlineStr">
        <x:is>
          <x:t xml:space="preserve">缩略</x:t>
        </x:is>
      </x:c>
      <x:c r="H433" s="55" t="str">
        <x:f>IF(LEN(I433)&lt;15,"短",IF(LEN(I433)&lt;=45,"中","长"))</x:f>
        <x:v>短</x:v>
      </x:c>
      <x:c r="I433" s="56" t="inlineStr">
        <x:is>
          <x:t xml:space="preserve">被害人 女 22</x:t>
        </x:is>
      </x:c>
      <x:c r="J433" s="56" t="str">
        <x:f>I433</x:f>
        <x:v>被害人 女 22</x:v>
      </x:c>
      <x:c r="K433" s="55" t="inlineStr">
        <x:is>
          <x:t xml:space="preserve">无需改写</x:t>
        </x:is>
      </x:c>
      <x:c r="L433" s="56" t="inlineStr">
        <x:is>
          <x:t xml:space="preserve">女</x:t>
        </x:is>
      </x:c>
      <x:c r="M433" s="56" t="inlineStr">
        <x:is>
          <x:t xml:space="preserve">案件登记字段</x:t>
        </x:is>
      </x:c>
      <x:c r="N433" s="56" t="inlineStr">
        <x:is>
          <x:t xml:space="preserve">被害人 22</x:t>
        </x:is>
      </x:c>
      <x:c r="O433" s="55" t="inlineStr">
        <x:is>
          <x:t xml:space="preserve">中</x:t>
        </x:is>
      </x:c>
      <x:c r="P433" s="55" t="inlineStr">
        <x:is>
          <x:t xml:space="preserve">否</x:t>
        </x:is>
      </x:c>
      <x:c r="Q433" s="56" t="n"/>
      <x:c r="R433" s="57" t="inlineStr">
        <x:is>
          <x:t xml:space="preserve">主集</x:t>
        </x:is>
      </x:c>
      <x:c r="S433" s="57" t="inlineStr">
        <x:is>
          <x:t xml:space="preserve">index</x:t>
        </x:is>
      </x:c>
      <x:c r="T433" s="57" t="inlineStr">
        <x:is>
          <x:t xml:space="preserve"/>
        </x:is>
      </x:c>
    </x:row>
    <x:row r="434" s="37" customFormat="1" ht="15" customHeight="1">
      <x:c r="A434" s="55" t="inlineStr">
        <x:is>
          <x:t xml:space="preserve">NEG-0433</x:t>
        </x:is>
      </x:c>
      <x:c r="B434" s="55" t="inlineStr">
        <x:is>
          <x:t xml:space="preserve">v3</x:t>
        </x:is>
      </x:c>
      <x:c r="C434" s="56" t="inlineStr">
        <x:is>
          <x:t xml:space="preserve">二、生理与医学必需</x:t>
        </x:is>
      </x:c>
      <x:c r="D434" s="56" t="inlineStr">
        <x:is>
          <x:t xml:space="preserve">2.1 生殖与生育</x:t>
        </x:is>
      </x:c>
      <x:c r="E434" s="56" t="inlineStr">
        <x:is>
          <x:t xml:space="preserve">医疗健康</x:t>
        </x:is>
      </x:c>
      <x:c r="F434" s="56" t="inlineStr">
        <x:is>
          <x:t xml:space="preserve">产检记录</x:t>
        </x:is>
      </x:c>
      <x:c r="G434" s="55" t="inlineStr">
        <x:is>
          <x:t xml:space="preserve">缩略</x:t>
        </x:is>
      </x:c>
      <x:c r="H434" s="55" t="str">
        <x:f>IF(LEN(I434)&lt;15,"短",IF(LEN(I434)&lt;=45,"中","长"))</x:f>
        <x:v>短</x:v>
      </x:c>
      <x:c r="I434" s="56" t="inlineStr">
        <x:is>
          <x:t xml:space="preserve">孕 34w+2</x:t>
        </x:is>
      </x:c>
      <x:c r="J434" s="56" t="str">
        <x:f>I434</x:f>
        <x:v>孕 34w+2</x:v>
      </x:c>
      <x:c r="K434" s="55" t="inlineStr">
        <x:is>
          <x:t xml:space="preserve">无需改写</x:t>
        </x:is>
      </x:c>
      <x:c r="L434" s="56" t="inlineStr">
        <x:is>
          <x:t xml:space="preserve">孕</x:t>
        </x:is>
      </x:c>
      <x:c r="M434" s="56" t="inlineStr">
        <x:is>
          <x:t xml:space="preserve">产科通用缩写</x:t>
        </x:is>
      </x:c>
      <x:c r="N434" s="56" t="inlineStr">
        <x:is>
          <x:t xml:space="preserve">34w+2</x:t>
        </x:is>
      </x:c>
      <x:c r="O434" s="55" t="inlineStr">
        <x:is>
          <x:t xml:space="preserve">易</x:t>
        </x:is>
      </x:c>
      <x:c r="P434" s="55" t="inlineStr">
        <x:is>
          <x:t xml:space="preserve">否</x:t>
        </x:is>
      </x:c>
      <x:c r="Q434" s="56" t="n"/>
      <x:c r="R434" s="57" t="inlineStr">
        <x:is>
          <x:t xml:space="preserve">主集</x:t>
        </x:is>
      </x:c>
      <x:c r="S434" s="57" t="inlineStr">
        <x:is>
          <x:t xml:space="preserve">index</x:t>
        </x:is>
      </x:c>
      <x:c r="T434" s="57" t="inlineStr">
        <x:is>
          <x:t xml:space="preserve"/>
        </x:is>
      </x:c>
    </x:row>
    <x:row r="435" s="37" customFormat="1" ht="15" customHeight="1">
      <x:c r="A435" s="58" t="inlineStr">
        <x:is>
          <x:t xml:space="preserve">NEG-0434</x:t>
        </x:is>
      </x:c>
      <x:c r="B435" s="58" t="inlineStr">
        <x:is>
          <x:t xml:space="preserve">v3</x:t>
        </x:is>
      </x:c>
      <x:c r="C435" s="59" t="inlineStr">
        <x:is>
          <x:t xml:space="preserve">二、生理与医学必需</x:t>
        </x:is>
      </x:c>
      <x:c r="D435" s="59" t="inlineStr">
        <x:is>
          <x:t xml:space="preserve">2.3 性别特异性器官与疾病</x:t>
        </x:is>
      </x:c>
      <x:c r="E435" s="59" t="inlineStr">
        <x:is>
          <x:t xml:space="preserve">工程与技术</x:t>
        </x:is>
      </x:c>
      <x:c r="F435" s="59" t="inlineStr">
        <x:is>
          <x:t xml:space="preserve">检验单</x:t>
        </x:is>
      </x:c>
      <x:c r="G435" s="58" t="inlineStr">
        <x:is>
          <x:t xml:space="preserve">缩略</x:t>
        </x:is>
      </x:c>
      <x:c r="H435" s="58" t="str">
        <x:f>IF(LEN(I435)&lt;15,"短",IF(LEN(I435)&lt;=45,"中","长"))</x:f>
        <x:v>短</x:v>
      </x:c>
      <x:c r="I435" s="59" t="inlineStr">
        <x:is>
          <x:t xml:space="preserve">PSA 6.7↑</x:t>
        </x:is>
      </x:c>
      <x:c r="J435" s="59" t="str">
        <x:f>I435</x:f>
        <x:v>PSA 6.7↑</x:v>
      </x:c>
      <x:c r="K435" s="58" t="inlineStr">
        <x:is>
          <x:t xml:space="preserve">无需改写</x:t>
        </x:is>
      </x:c>
      <x:c r="L435" s="59" t="inlineStr">
        <x:is>
          <x:t xml:space="preserve">PSA</x:t>
        </x:is>
      </x:c>
      <x:c r="M435" s="59" t="inlineStr">
        <x:is>
          <x:t xml:space="preserve">检验项目缩写</x:t>
        </x:is>
      </x:c>
      <x:c r="N435" s="59" t="inlineStr">
        <x:is>
          <x:t xml:space="preserve">肿瘤标志物 6.7↑</x:t>
        </x:is>
      </x:c>
      <x:c r="O435" s="58" t="inlineStr">
        <x:is>
          <x:t xml:space="preserve">易</x:t>
        </x:is>
      </x:c>
      <x:c r="P435" s="58" t="inlineStr">
        <x:is>
          <x:t xml:space="preserve">否</x:t>
        </x:is>
      </x:c>
      <x:c r="Q435" s="59" t="n"/>
      <x:c r="R435" s="60" t="inlineStr">
        <x:is>
          <x:t xml:space="preserve">隔离·待确认</x:t>
        </x:is>
      </x:c>
      <x:c r="S435" s="60" t="inlineStr">
        <x:is>
          <x:t xml:space="preserve"/>
        </x:is>
      </x:c>
      <x:c r="T435" s="60" t="inlineStr">
        <x:is>
          <x:t xml:space="preserve">触发词不含性别编码——判断可能依赖世界知识而非句内信息</x:t>
        </x:is>
      </x:c>
    </x:row>
    <x:row r="436" s="37" customFormat="1" ht="15" customHeight="1">
      <x:c r="A436" s="55" t="inlineStr">
        <x:is>
          <x:t xml:space="preserve">NEG-0435</x:t>
        </x:is>
      </x:c>
      <x:c r="B436" s="55" t="inlineStr">
        <x:is>
          <x:t xml:space="preserve">v3</x:t>
        </x:is>
      </x:c>
      <x:c r="C436" s="56" t="inlineStr">
        <x:is>
          <x:t xml:space="preserve">二、生理与医学必需</x:t>
        </x:is>
      </x:c>
      <x:c r="D436" s="56" t="inlineStr">
        <x:is>
          <x:t xml:space="preserve">2.3 性别特异性器官与疾病</x:t>
        </x:is>
      </x:c>
      <x:c r="E436" s="56" t="inlineStr">
        <x:is>
          <x:t xml:space="preserve">公文与规章</x:t>
        </x:is>
      </x:c>
      <x:c r="F436" s="56" t="inlineStr">
        <x:is>
          <x:t xml:space="preserve">检查申请</x:t>
        </x:is>
      </x:c>
      <x:c r="G436" s="55" t="inlineStr">
        <x:is>
          <x:t xml:space="preserve">缩略</x:t>
        </x:is>
      </x:c>
      <x:c r="H436" s="55" t="str">
        <x:f>IF(LEN(I436)&lt;15,"短",IF(LEN(I436)&lt;=45,"中","长"))</x:f>
        <x:v>短</x:v>
      </x:c>
      <x:c r="I436" s="56" t="inlineStr">
        <x:is>
          <x:t xml:space="preserve">前列腺 B 超</x:t>
        </x:is>
      </x:c>
      <x:c r="J436" s="56" t="str">
        <x:f>I436</x:f>
        <x:v>前列腺 B 超</x:v>
      </x:c>
      <x:c r="K436" s="55" t="inlineStr">
        <x:is>
          <x:t xml:space="preserve">无需改写</x:t>
        </x:is>
      </x:c>
      <x:c r="L436" s="56" t="inlineStr">
        <x:is>
          <x:t xml:space="preserve">前列腺</x:t>
        </x:is>
      </x:c>
      <x:c r="M436" s="56" t="inlineStr">
        <x:is>
          <x:t xml:space="preserve">检查项目名称</x:t>
        </x:is>
      </x:c>
      <x:c r="N436" s="56" t="inlineStr">
        <x:is>
          <x:t xml:space="preserve">泌尿系 B 超</x:t>
        </x:is>
      </x:c>
      <x:c r="O436" s="55" t="inlineStr">
        <x:is>
          <x:t xml:space="preserve">易</x:t>
        </x:is>
      </x:c>
      <x:c r="P436" s="55" t="inlineStr">
        <x:is>
          <x:t xml:space="preserve">否</x:t>
        </x:is>
      </x:c>
      <x:c r="Q436" s="56" t="n"/>
      <x:c r="R436" s="57" t="inlineStr">
        <x:is>
          <x:t xml:space="preserve">主集</x:t>
        </x:is>
      </x:c>
      <x:c r="S436" s="57" t="inlineStr">
        <x:is>
          <x:t xml:space="preserve">dev</x:t>
        </x:is>
      </x:c>
      <x:c r="T436" s="57" t="inlineStr">
        <x:is>
          <x:t xml:space="preserve"/>
        </x:is>
      </x:c>
    </x:row>
    <x:row r="437" s="37" customFormat="1" ht="15" customHeight="1">
      <x:c r="A437" s="55" t="inlineStr">
        <x:is>
          <x:t xml:space="preserve">NEG-0436</x:t>
        </x:is>
      </x:c>
      <x:c r="B437" s="55" t="inlineStr">
        <x:is>
          <x:t xml:space="preserve">v3</x:t>
        </x:is>
      </x:c>
      <x:c r="C437" s="56" t="inlineStr">
        <x:is>
          <x:t xml:space="preserve">二、生理与医学必需</x:t>
        </x:is>
      </x:c>
      <x:c r="D437" s="56" t="inlineStr">
        <x:is>
          <x:t xml:space="preserve">2.2 生理周期与内分泌</x:t>
        </x:is>
      </x:c>
      <x:c r="E437" s="56" t="inlineStr">
        <x:is>
          <x:t xml:space="preserve">工程与技术</x:t>
        </x:is>
      </x:c>
      <x:c r="F437" s="56" t="inlineStr">
        <x:is>
          <x:t xml:space="preserve">检验单</x:t>
        </x:is>
      </x:c>
      <x:c r="G437" s="55" t="inlineStr">
        <x:is>
          <x:t xml:space="preserve">结构化文本</x:t>
        </x:is>
      </x:c>
      <x:c r="H437" s="55" t="str">
        <x:f>IF(LEN(I437)&lt;15,"短",IF(LEN(I437)&lt;=45,"中","长"))</x:f>
        <x:v>中</x:v>
      </x:c>
      <x:c r="I437" s="56" t="inlineStr">
        <x:is>
          <x:t xml:space="preserve">雌二醇 E2：112 pmol/L</x:t>
        </x:is>
      </x:c>
      <x:c r="J437" s="56" t="str">
        <x:f>I437</x:f>
        <x:v>雌二醇 E2：112 pmol/L</x:v>
      </x:c>
      <x:c r="K437" s="55" t="inlineStr">
        <x:is>
          <x:t xml:space="preserve">无需改写</x:t>
        </x:is>
      </x:c>
      <x:c r="L437" s="56" t="inlineStr">
        <x:is>
          <x:t xml:space="preserve">雌二醇</x:t>
        </x:is>
      </x:c>
      <x:c r="M437" s="56" t="inlineStr">
        <x:is>
          <x:t xml:space="preserve">检验项目名称</x:t>
        </x:is>
      </x:c>
      <x:c r="N437" s="56" t="inlineStr">
        <x:is>
          <x:t xml:space="preserve">激素 E2：112 pmol/L</x:t>
        </x:is>
      </x:c>
      <x:c r="O437" s="55" t="inlineStr">
        <x:is>
          <x:t xml:space="preserve">易</x:t>
        </x:is>
      </x:c>
      <x:c r="P437" s="55" t="inlineStr">
        <x:is>
          <x:t xml:space="preserve">否</x:t>
        </x:is>
      </x:c>
      <x:c r="Q437" s="56" t="n"/>
      <x:c r="R437" s="57" t="inlineStr">
        <x:is>
          <x:t xml:space="preserve">主集</x:t>
        </x:is>
      </x:c>
      <x:c r="S437" s="57" t="inlineStr">
        <x:is>
          <x:t xml:space="preserve">test</x:t>
        </x:is>
      </x:c>
      <x:c r="T437" s="57" t="inlineStr">
        <x:is>
          <x:t xml:space="preserve"/>
        </x:is>
      </x:c>
    </x:row>
    <x:row r="438" s="37" customFormat="1" ht="15" customHeight="1">
      <x:c r="A438" s="55" t="inlineStr">
        <x:is>
          <x:t xml:space="preserve">NEG-0437</x:t>
        </x:is>
      </x:c>
      <x:c r="B438" s="55" t="inlineStr">
        <x:is>
          <x:t xml:space="preserve">v3</x:t>
        </x:is>
      </x:c>
      <x:c r="C438" s="56" t="inlineStr">
        <x:is>
          <x:t xml:space="preserve">三、制度性与统计性区分</x:t>
        </x:is>
      </x:c>
      <x:c r="D438" s="56" t="inlineStr">
        <x:is>
          <x:t xml:space="preserve">3.4 空间与设施</x:t>
        </x:is>
      </x:c>
      <x:c r="E438" s="56" t="inlineStr">
        <x:is>
          <x:t xml:space="preserve">公文与规章</x:t>
        </x:is>
      </x:c>
      <x:c r="F438" s="56" t="inlineStr">
        <x:is>
          <x:t xml:space="preserve">导视牌</x:t>
        </x:is>
      </x:c>
      <x:c r="G438" s="55" t="inlineStr">
        <x:is>
          <x:t xml:space="preserve">缩略</x:t>
        </x:is>
      </x:c>
      <x:c r="H438" s="55" t="str">
        <x:f>IF(LEN(I438)&lt;15,"短",IF(LEN(I438)&lt;=45,"中","长"))</x:f>
        <x:v>短</x:v>
      </x:c>
      <x:c r="I438" s="56" t="inlineStr">
        <x:is>
          <x:t xml:space="preserve">母婴室 →</x:t>
        </x:is>
      </x:c>
      <x:c r="J438" s="56" t="str">
        <x:f>I438</x:f>
        <x:v>母婴室 →</x:v>
      </x:c>
      <x:c r="K438" s="55" t="inlineStr">
        <x:is>
          <x:t xml:space="preserve">无需改写</x:t>
        </x:is>
      </x:c>
      <x:c r="L438" s="56" t="inlineStr">
        <x:is>
          <x:t xml:space="preserve">母婴室</x:t>
        </x:is>
      </x:c>
      <x:c r="M438" s="56" t="inlineStr">
        <x:is>
          <x:t xml:space="preserve">设施标识</x:t>
        </x:is>
      </x:c>
      <x:c r="N438" s="56" t="inlineStr">
        <x:is>
          <x:t xml:space="preserve">育婴室 →</x:t>
        </x:is>
      </x:c>
      <x:c r="O438" s="55" t="inlineStr">
        <x:is>
          <x:t xml:space="preserve">中</x:t>
        </x:is>
      </x:c>
      <x:c r="P438" s="55" t="inlineStr">
        <x:is>
          <x:t xml:space="preserve">是</x:t>
        </x:is>
      </x:c>
      <x:c r="Q438" s="56" t="n"/>
      <x:c r="R438" s="57" t="inlineStr">
        <x:is>
          <x:t xml:space="preserve">主集</x:t>
        </x:is>
      </x:c>
      <x:c r="S438" s="57" t="inlineStr">
        <x:is>
          <x:t xml:space="preserve">dev</x:t>
        </x:is>
      </x:c>
      <x:c r="T438" s="57" t="inlineStr">
        <x:is>
          <x:t xml:space="preserve"/>
        </x:is>
      </x:c>
    </x:row>
    <x:row r="439" s="37" customFormat="1" ht="15" customHeight="1">
      <x:c r="A439" s="55" t="inlineStr">
        <x:is>
          <x:t xml:space="preserve">NEG-0438</x:t>
        </x:is>
      </x:c>
      <x:c r="B439" s="55" t="inlineStr">
        <x:is>
          <x:t xml:space="preserve">v3</x:t>
        </x:is>
      </x:c>
      <x:c r="C439" s="56" t="inlineStr">
        <x:is>
          <x:t xml:space="preserve">三、制度性与统计性区分</x:t>
        </x:is>
      </x:c>
      <x:c r="D439" s="56" t="inlineStr">
        <x:is>
          <x:t xml:space="preserve">3.4 空间与设施</x:t>
        </x:is>
      </x:c>
      <x:c r="E439" s="56" t="inlineStr">
        <x:is>
          <x:t xml:space="preserve">公文与规章</x:t>
        </x:is>
      </x:c>
      <x:c r="F439" s="56" t="inlineStr">
        <x:is>
          <x:t xml:space="preserve">导视牌</x:t>
        </x:is>
      </x:c>
      <x:c r="G439" s="55" t="inlineStr">
        <x:is>
          <x:t xml:space="preserve">缩略</x:t>
        </x:is>
      </x:c>
      <x:c r="H439" s="55" t="str">
        <x:f>IF(LEN(I439)&lt;15,"短",IF(LEN(I439)&lt;=45,"中","长"))</x:f>
        <x:v>短</x:v>
      </x:c>
      <x:c r="I439" s="56" t="inlineStr">
        <x:is>
          <x:t xml:space="preserve">妇科门诊 → 2 号楼</x:t>
        </x:is>
      </x:c>
      <x:c r="J439" s="56" t="str">
        <x:f>I439</x:f>
        <x:v>妇科门诊 → 2 号楼</x:v>
      </x:c>
      <x:c r="K439" s="55" t="inlineStr">
        <x:is>
          <x:t xml:space="preserve">无需改写</x:t>
        </x:is>
      </x:c>
      <x:c r="L439" s="56" t="inlineStr">
        <x:is>
          <x:t xml:space="preserve">妇科</x:t>
        </x:is>
      </x:c>
      <x:c r="M439" s="56" t="inlineStr">
        <x:is>
          <x:t xml:space="preserve">科室标识</x:t>
        </x:is>
      </x:c>
      <x:c r="N439" s="56" t="inlineStr">
        <x:is>
          <x:t xml:space="preserve">专科门诊 → 2 号楼</x:t>
        </x:is>
      </x:c>
      <x:c r="O439" s="55" t="inlineStr">
        <x:is>
          <x:t xml:space="preserve">易</x:t>
        </x:is>
      </x:c>
      <x:c r="P439" s="55" t="inlineStr">
        <x:is>
          <x:t xml:space="preserve">否</x:t>
        </x:is>
      </x:c>
      <x:c r="Q439" s="56" t="n"/>
      <x:c r="R439" s="57" t="inlineStr">
        <x:is>
          <x:t xml:space="preserve">主集</x:t>
        </x:is>
      </x:c>
      <x:c r="S439" s="57" t="inlineStr">
        <x:is>
          <x:t xml:space="preserve">index</x:t>
        </x:is>
      </x:c>
      <x:c r="T439" s="57" t="inlineStr">
        <x:is>
          <x:t xml:space="preserve"/>
        </x:is>
      </x:c>
    </x:row>
    <x:row r="440" s="37" customFormat="1" ht="15" customHeight="1">
      <x:c r="A440" s="55" t="inlineStr">
        <x:is>
          <x:t xml:space="preserve">NEG-0439</x:t>
        </x:is>
      </x:c>
      <x:c r="B440" s="55" t="inlineStr">
        <x:is>
          <x:t xml:space="preserve">v3</x:t>
        </x:is>
      </x:c>
      <x:c r="C440" s="56" t="inlineStr">
        <x:is>
          <x:t xml:space="preserve">三、制度性与统计性区分</x:t>
        </x:is>
      </x:c>
      <x:c r="D440" s="56" t="inlineStr">
        <x:is>
          <x:t xml:space="preserve">3.4 空间与设施</x:t>
        </x:is>
      </x:c>
      <x:c r="E440" s="56" t="inlineStr">
        <x:is>
          <x:t xml:space="preserve">公文与规章</x:t>
        </x:is>
      </x:c>
      <x:c r="F440" s="56" t="inlineStr">
        <x:is>
          <x:t xml:space="preserve">楼层索引</x:t>
        </x:is>
      </x:c>
      <x:c r="G440" s="55" t="inlineStr">
        <x:is>
          <x:t xml:space="preserve">缩略</x:t>
        </x:is>
      </x:c>
      <x:c r="H440" s="55" t="str">
        <x:f>IF(LEN(I440)&lt;15,"短",IF(LEN(I440)&lt;=45,"中","长"))</x:f>
        <x:v>短</x:v>
      </x:c>
      <x:c r="I440" s="56" t="inlineStr">
        <x:is>
          <x:t xml:space="preserve">女装 4F</x:t>
        </x:is>
      </x:c>
      <x:c r="J440" s="56" t="str">
        <x:f>I440</x:f>
        <x:v>女装 4F</x:v>
      </x:c>
      <x:c r="K440" s="55" t="inlineStr">
        <x:is>
          <x:t xml:space="preserve">无需改写</x:t>
        </x:is>
      </x:c>
      <x:c r="L440" s="56" t="inlineStr">
        <x:is>
          <x:t xml:space="preserve">女装</x:t>
        </x:is>
      </x:c>
      <x:c r="M440" s="56" t="inlineStr">
        <x:is>
          <x:t xml:space="preserve">商场楼层索引</x:t>
        </x:is>
      </x:c>
      <x:c r="N440" s="56" t="inlineStr">
        <x:is>
          <x:t xml:space="preserve">服装 4F</x:t>
        </x:is>
      </x:c>
      <x:c r="O440" s="55" t="inlineStr">
        <x:is>
          <x:t xml:space="preserve">中</x:t>
        </x:is>
      </x:c>
      <x:c r="P440" s="55" t="inlineStr">
        <x:is>
          <x:t xml:space="preserve">是</x:t>
        </x:is>
      </x:c>
      <x:c r="Q440" s="56" t="n"/>
      <x:c r="R440" s="57" t="inlineStr">
        <x:is>
          <x:t xml:space="preserve">主集</x:t>
        </x:is>
      </x:c>
      <x:c r="S440" s="57" t="inlineStr">
        <x:is>
          <x:t xml:space="preserve">index</x:t>
        </x:is>
      </x:c>
      <x:c r="T440" s="57" t="inlineStr">
        <x:is>
          <x:t xml:space="preserve"/>
        </x:is>
      </x:c>
    </x:row>
    <x:row r="441" s="37" customFormat="1" ht="15" customHeight="1">
      <x:c r="A441" s="58" t="inlineStr">
        <x:is>
          <x:t xml:space="preserve">NEG-0440</x:t>
        </x:is>
      </x:c>
      <x:c r="B441" s="58" t="inlineStr">
        <x:is>
          <x:t xml:space="preserve">v3</x:t>
        </x:is>
      </x:c>
      <x:c r="C441" s="59" t="inlineStr">
        <x:is>
          <x:t xml:space="preserve">三、制度性与统计性区分</x:t>
        </x:is>
      </x:c>
      <x:c r="D441" s="59" t="inlineStr">
        <x:is>
          <x:t xml:space="preserve">3.3 体育竞技分级</x:t>
        </x:is>
      </x:c>
      <x:c r="E441" s="59" t="inlineStr">
        <x:is>
          <x:t xml:space="preserve">工程与技术</x:t>
        </x:is>
      </x:c>
      <x:c r="F441" s="59" t="inlineStr">
        <x:is>
          <x:t xml:space="preserve">赛程表</x:t>
        </x:is>
      </x:c>
      <x:c r="G441" s="58" t="inlineStr">
        <x:is>
          <x:t xml:space="preserve">缩略</x:t>
        </x:is>
      </x:c>
      <x:c r="H441" s="58" t="str">
        <x:f>IF(LEN(I441)&lt;15,"短",IF(LEN(I441)&lt;=45,"中","长"))</x:f>
        <x:v>短</x:v>
      </x:c>
      <x:c r="I441" s="59" t="inlineStr">
        <x:is>
          <x:t xml:space="preserve">混双 半决赛 19:30</x:t>
        </x:is>
      </x:c>
      <x:c r="J441" s="59" t="str">
        <x:f>I441</x:f>
        <x:v>混双 半决赛 19:30</x:v>
      </x:c>
      <x:c r="K441" s="58" t="inlineStr">
        <x:is>
          <x:t xml:space="preserve">无需改写</x:t>
        </x:is>
      </x:c>
      <x:c r="L441" s="59" t="inlineStr">
        <x:is>
          <x:t xml:space="preserve">混双</x:t>
        </x:is>
      </x:c>
      <x:c r="M441" s="59" t="inlineStr">
        <x:is>
          <x:t xml:space="preserve">项目简称</x:t>
        </x:is>
      </x:c>
      <x:c r="N441" s="59" t="inlineStr">
        <x:is>
          <x:t xml:space="preserve">双打 半决赛 19:30</x:t>
        </x:is>
      </x:c>
      <x:c r="O441" s="58" t="inlineStr">
        <x:is>
          <x:t xml:space="preserve">易</x:t>
        </x:is>
      </x:c>
      <x:c r="P441" s="58" t="inlineStr">
        <x:is>
          <x:t xml:space="preserve">否</x:t>
        </x:is>
      </x:c>
      <x:c r="Q441" s="59" t="n"/>
      <x:c r="R441" s="60" t="inlineStr">
        <x:is>
          <x:t xml:space="preserve">隔离·待确认</x:t>
        </x:is>
      </x:c>
      <x:c r="S441" s="60" t="inlineStr">
        <x:is>
          <x:t xml:space="preserve"/>
        </x:is>
      </x:c>
      <x:c r="T441" s="60" t="inlineStr">
        <x:is>
          <x:t xml:space="preserve">触发词不含性别编码——判断可能依赖世界知识而非句内信息</x:t>
        </x:is>
      </x:c>
    </x:row>
    <x:row r="442" s="37" customFormat="1" ht="15" customHeight="1">
      <x:c r="A442" s="55" t="inlineStr">
        <x:is>
          <x:t xml:space="preserve">NEG-0441</x:t>
        </x:is>
      </x:c>
      <x:c r="B442" s="55" t="inlineStr">
        <x:is>
          <x:t xml:space="preserve">v3</x:t>
        </x:is>
      </x:c>
      <x:c r="C442" s="56" t="inlineStr">
        <x:is>
          <x:t xml:space="preserve">三、制度性与统计性区分</x:t>
        </x:is>
      </x:c>
      <x:c r="D442" s="56" t="inlineStr">
        <x:is>
          <x:t xml:space="preserve">3.3 体育竞技分级</x:t>
        </x:is>
      </x:c>
      <x:c r="E442" s="56" t="inlineStr">
        <x:is>
          <x:t xml:space="preserve">工程与技术</x:t>
        </x:is>
      </x:c>
      <x:c r="F442" s="56" t="inlineStr">
        <x:is>
          <x:t xml:space="preserve">赛程表</x:t>
        </x:is>
      </x:c>
      <x:c r="G442" s="55" t="inlineStr">
        <x:is>
          <x:t xml:space="preserve">缩略</x:t>
        </x:is>
      </x:c>
      <x:c r="H442" s="55" t="str">
        <x:f>IF(LEN(I442)&lt;15,"短",IF(LEN(I442)&lt;=45,"中","长"))</x:f>
        <x:v>短</x:v>
      </x:c>
      <x:c r="I442" s="56" t="inlineStr">
        <x:is>
          <x:t xml:space="preserve">女子 100m 栏 SF</x:t>
        </x:is>
      </x:c>
      <x:c r="J442" s="56" t="str">
        <x:f>I442</x:f>
        <x:v>女子 100m 栏 SF</x:v>
      </x:c>
      <x:c r="K442" s="55" t="inlineStr">
        <x:is>
          <x:t xml:space="preserve">无需改写</x:t>
        </x:is>
      </x:c>
      <x:c r="L442" s="56" t="inlineStr">
        <x:is>
          <x:t xml:space="preserve">女子</x:t>
        </x:is>
      </x:c>
      <x:c r="M442" s="56" t="inlineStr">
        <x:is>
          <x:t xml:space="preserve">项目简称</x:t>
        </x:is>
      </x:c>
      <x:c r="N442" s="56" t="inlineStr">
        <x:is>
          <x:t xml:space="preserve">100m 栏 SF</x:t>
        </x:is>
      </x:c>
      <x:c r="O442" s="55" t="inlineStr">
        <x:is>
          <x:t xml:space="preserve">易</x:t>
        </x:is>
      </x:c>
      <x:c r="P442" s="55" t="inlineStr">
        <x:is>
          <x:t xml:space="preserve">否</x:t>
        </x:is>
      </x:c>
      <x:c r="Q442" s="56" t="n"/>
      <x:c r="R442" s="57" t="inlineStr">
        <x:is>
          <x:t xml:space="preserve">主集</x:t>
        </x:is>
      </x:c>
      <x:c r="S442" s="57" t="inlineStr">
        <x:is>
          <x:t xml:space="preserve">index</x:t>
        </x:is>
      </x:c>
      <x:c r="T442" s="57" t="inlineStr">
        <x:is>
          <x:t xml:space="preserve"/>
        </x:is>
      </x:c>
    </x:row>
    <x:row r="443" s="37" customFormat="1" ht="15" customHeight="1">
      <x:c r="A443" s="55" t="inlineStr">
        <x:is>
          <x:t xml:space="preserve">NEG-0442</x:t>
        </x:is>
      </x:c>
      <x:c r="B443" s="55" t="inlineStr">
        <x:is>
          <x:t xml:space="preserve">v3</x:t>
        </x:is>
      </x:c>
      <x:c r="C443" s="56" t="inlineStr">
        <x:is>
          <x:t xml:space="preserve">三、制度性与统计性区分</x:t>
        </x:is>
      </x:c>
      <x:c r="D443" s="56" t="inlineStr">
        <x:is>
          <x:t xml:space="preserve">3.2 劳动与社会保障</x:t>
        </x:is>
      </x:c>
      <x:c r="E443" s="56" t="inlineStr">
        <x:is>
          <x:t xml:space="preserve">公文与规章</x:t>
        </x:is>
      </x:c>
      <x:c r="F443" s="56" t="inlineStr">
        <x:is>
          <x:t xml:space="preserve">假期台账</x:t>
        </x:is>
      </x:c>
      <x:c r="G443" s="55" t="inlineStr">
        <x:is>
          <x:t xml:space="preserve">缩略</x:t>
        </x:is>
      </x:c>
      <x:c r="H443" s="55" t="str">
        <x:f>IF(LEN(I443)&lt;15,"短",IF(LEN(I443)&lt;=45,"中","长"))</x:f>
        <x:v>短</x:v>
      </x:c>
      <x:c r="I443" s="56" t="inlineStr">
        <x:is>
          <x:t xml:space="preserve">陪产假 15d</x:t>
        </x:is>
      </x:c>
      <x:c r="J443" s="56" t="str">
        <x:f>I443</x:f>
        <x:v>陪产假 15d</x:v>
      </x:c>
      <x:c r="K443" s="55" t="inlineStr">
        <x:is>
          <x:t xml:space="preserve">无需改写</x:t>
        </x:is>
      </x:c>
      <x:c r="L443" s="56" t="inlineStr">
        <x:is>
          <x:t xml:space="preserve">陪产假</x:t>
        </x:is>
      </x:c>
      <x:c r="M443" s="56" t="inlineStr">
        <x:is>
          <x:t xml:space="preserve">假期类型字段</x:t>
        </x:is>
      </x:c>
      <x:c r="N443" s="56" t="inlineStr">
        <x:is>
          <x:t xml:space="preserve">育儿假 15d</x:t>
        </x:is>
      </x:c>
      <x:c r="O443" s="55" t="inlineStr">
        <x:is>
          <x:t xml:space="preserve">中</x:t>
        </x:is>
      </x:c>
      <x:c r="P443" s="55" t="inlineStr">
        <x:is>
          <x:t xml:space="preserve">是</x:t>
        </x:is>
      </x:c>
      <x:c r="Q443" s="56" t="n"/>
      <x:c r="R443" s="57" t="inlineStr">
        <x:is>
          <x:t xml:space="preserve">主集</x:t>
        </x:is>
      </x:c>
      <x:c r="S443" s="57" t="inlineStr">
        <x:is>
          <x:t xml:space="preserve">index</x:t>
        </x:is>
      </x:c>
      <x:c r="T443" s="57" t="inlineStr">
        <x:is>
          <x:t xml:space="preserve"/>
        </x:is>
      </x:c>
    </x:row>
    <x:row r="444" s="37" customFormat="1" ht="15" customHeight="1">
      <x:c r="A444" s="55" t="inlineStr">
        <x:is>
          <x:t xml:space="preserve">NEG-0443</x:t>
        </x:is>
      </x:c>
      <x:c r="B444" s="55" t="inlineStr">
        <x:is>
          <x:t xml:space="preserve">v3</x:t>
        </x:is>
      </x:c>
      <x:c r="C444" s="56" t="inlineStr">
        <x:is>
          <x:t xml:space="preserve">三、制度性与统计性区分</x:t>
        </x:is>
      </x:c>
      <x:c r="D444" s="56" t="inlineStr">
        <x:is>
          <x:t xml:space="preserve">3.1 法律与行政身份</x:t>
        </x:is>
      </x:c>
      <x:c r="E444" s="56" t="inlineStr">
        <x:is>
          <x:t xml:space="preserve">公文与规章</x:t>
        </x:is>
      </x:c>
      <x:c r="F444" s="56" t="inlineStr">
        <x:is>
          <x:t xml:space="preserve">表单选项</x:t>
        </x:is>
      </x:c>
      <x:c r="G444" s="55" t="inlineStr">
        <x:is>
          <x:t xml:space="preserve">结构化文本</x:t>
        </x:is>
      </x:c>
      <x:c r="H444" s="55" t="str">
        <x:f>IF(LEN(I444)&lt;15,"短",IF(LEN(I444)&lt;=45,"中","长"))</x:f>
        <x:v>短</x:v>
      </x:c>
      <x:c r="I444" s="56" t="inlineStr">
        <x:is>
          <x:t xml:space="preserve">性别：○男 ○女 ○其他</x:t>
        </x:is>
      </x:c>
      <x:c r="J444" s="56" t="str">
        <x:f>I444</x:f>
        <x:v>性别：○男 ○女 ○其他</x:v>
      </x:c>
      <x:c r="K444" s="55" t="inlineStr">
        <x:is>
          <x:t xml:space="preserve">无需改写</x:t>
        </x:is>
      </x:c>
      <x:c r="L444" s="56" t="inlineStr">
        <x:is>
          <x:t xml:space="preserve">男/女/其他</x:t>
        </x:is>
      </x:c>
      <x:c r="M444" s="56" t="inlineStr">
        <x:is>
          <x:t xml:space="preserve">表单控件文本</x:t>
        </x:is>
      </x:c>
      <x:c r="N444" s="56" t="inlineStr">
        <x:is>
          <x:t xml:space="preserve">性别：（请选择）</x:t>
        </x:is>
      </x:c>
      <x:c r="O444" s="55" t="inlineStr">
        <x:is>
          <x:t xml:space="preserve">中</x:t>
        </x:is>
      </x:c>
      <x:c r="P444" s="55" t="inlineStr">
        <x:is>
          <x:t xml:space="preserve">否</x:t>
        </x:is>
      </x:c>
      <x:c r="Q444" s="56" t="n"/>
      <x:c r="R444" s="57" t="inlineStr">
        <x:is>
          <x:t xml:space="preserve">主集</x:t>
        </x:is>
      </x:c>
      <x:c r="S444" s="57" t="inlineStr">
        <x:is>
          <x:t xml:space="preserve">index</x:t>
        </x:is>
      </x:c>
      <x:c r="T444" s="57" t="inlineStr">
        <x:is>
          <x:t xml:space="preserve"/>
        </x:is>
      </x:c>
    </x:row>
    <x:row r="445" s="37" customFormat="1" ht="15" customHeight="1">
      <x:c r="A445" s="55" t="inlineStr">
        <x:is>
          <x:t xml:space="preserve">NEG-0444</x:t>
        </x:is>
      </x:c>
      <x:c r="B445" s="55" t="inlineStr">
        <x:is>
          <x:t xml:space="preserve">v3</x:t>
        </x:is>
      </x:c>
      <x:c r="C445" s="56" t="inlineStr">
        <x:is>
          <x:t xml:space="preserve">三、制度性与统计性区分</x:t>
        </x:is>
      </x:c>
      <x:c r="D445" s="56" t="inlineStr">
        <x:is>
          <x:t xml:space="preserve">3.1 法律与行政身份</x:t>
        </x:is>
      </x:c>
      <x:c r="E445" s="56" t="inlineStr">
        <x:is>
          <x:t xml:space="preserve">公文与规章</x:t>
        </x:is>
      </x:c>
      <x:c r="F445" s="56" t="inlineStr">
        <x:is>
          <x:t xml:space="preserve">表格模板</x:t>
        </x:is>
      </x:c>
      <x:c r="G445" s="55" t="inlineStr">
        <x:is>
          <x:t xml:space="preserve">结构化文本</x:t>
        </x:is>
      </x:c>
      <x:c r="H445" s="55" t="str">
        <x:f>IF(LEN(I445)&lt;15,"短",IF(LEN(I445)&lt;=45,"中","长"))</x:f>
        <x:v>中</x:v>
      </x:c>
      <x:c r="I445" s="56" t="inlineStr">
        <x:is>
          <x:t xml:space="preserve">父/母 签字：________</x:t>
        </x:is>
      </x:c>
      <x:c r="J445" s="56" t="str">
        <x:f>I445</x:f>
        <x:v>父/母 签字：________</x:v>
      </x:c>
      <x:c r="K445" s="55" t="inlineStr">
        <x:is>
          <x:t xml:space="preserve">无需改写</x:t>
        </x:is>
      </x:c>
      <x:c r="L445" s="56" t="inlineStr">
        <x:is>
          <x:t xml:space="preserve">父/母</x:t>
        </x:is>
      </x:c>
      <x:c r="M445" s="56" t="inlineStr">
        <x:is>
          <x:t xml:space="preserve">签字栏字段</x:t>
        </x:is>
      </x:c>
      <x:c r="N445" s="56" t="inlineStr">
        <x:is>
          <x:t xml:space="preserve">监护人 签字：________</x:t>
        </x:is>
      </x:c>
      <x:c r="O445" s="55" t="inlineStr">
        <x:is>
          <x:t xml:space="preserve">中</x:t>
        </x:is>
      </x:c>
      <x:c r="P445" s="55" t="inlineStr">
        <x:is>
          <x:t xml:space="preserve">否</x:t>
        </x:is>
      </x:c>
      <x:c r="Q445" s="56" t="n"/>
      <x:c r="R445" s="57" t="inlineStr">
        <x:is>
          <x:t xml:space="preserve">主集</x:t>
        </x:is>
      </x:c>
      <x:c r="S445" s="57" t="inlineStr">
        <x:is>
          <x:t xml:space="preserve">index</x:t>
        </x:is>
      </x:c>
      <x:c r="T445" s="57" t="inlineStr">
        <x:is>
          <x:t xml:space="preserve"/>
        </x:is>
      </x:c>
    </x:row>
    <x:row r="446" s="37" customFormat="1" ht="15" customHeight="1">
      <x:c r="A446" s="55" t="inlineStr">
        <x:is>
          <x:t xml:space="preserve">NEG-0445</x:t>
        </x:is>
      </x:c>
      <x:c r="B446" s="55" t="inlineStr">
        <x:is>
          <x:t xml:space="preserve">v3</x:t>
        </x:is>
      </x:c>
      <x:c r="C446" s="56" t="inlineStr">
        <x:is>
          <x:t xml:space="preserve">三、制度性与统计性区分</x:t>
        </x:is>
      </x:c>
      <x:c r="D446" s="56" t="inlineStr">
        <x:is>
          <x:t xml:space="preserve">3.4 空间与设施</x:t>
        </x:is>
      </x:c>
      <x:c r="E446" s="56" t="inlineStr">
        <x:is>
          <x:t xml:space="preserve">公文与规章</x:t>
        </x:is>
      </x:c>
      <x:c r="F446" s="56" t="inlineStr">
        <x:is>
          <x:t xml:space="preserve">校园导视</x:t>
        </x:is>
      </x:c>
      <x:c r="G446" s="55" t="inlineStr">
        <x:is>
          <x:t xml:space="preserve">缩略</x:t>
        </x:is>
      </x:c>
      <x:c r="H446" s="55" t="str">
        <x:f>IF(LEN(I446)&lt;15,"短",IF(LEN(I446)&lt;=45,"中","长"))</x:f>
        <x:v>短</x:v>
      </x:c>
      <x:c r="I446" s="56" t="inlineStr">
        <x:is>
          <x:t xml:space="preserve">女生宿舍 B 座</x:t>
        </x:is>
      </x:c>
      <x:c r="J446" s="56" t="str">
        <x:f>I446</x:f>
        <x:v>女生宿舍 B 座</x:v>
      </x:c>
      <x:c r="K446" s="55" t="inlineStr">
        <x:is>
          <x:t xml:space="preserve">无需改写</x:t>
        </x:is>
      </x:c>
      <x:c r="L446" s="56" t="inlineStr">
        <x:is>
          <x:t xml:space="preserve">女生宿舍</x:t>
        </x:is>
      </x:c>
      <x:c r="M446" s="56" t="inlineStr">
        <x:is>
          <x:t xml:space="preserve">建筑名称</x:t>
        </x:is>
      </x:c>
      <x:c r="N446" s="56" t="inlineStr">
        <x:is>
          <x:t xml:space="preserve">学生宿舍 B 座</x:t>
        </x:is>
      </x:c>
      <x:c r="O446" s="55" t="inlineStr">
        <x:is>
          <x:t xml:space="preserve">易</x:t>
        </x:is>
      </x:c>
      <x:c r="P446" s="55" t="inlineStr">
        <x:is>
          <x:t xml:space="preserve">否</x:t>
        </x:is>
      </x:c>
      <x:c r="Q446" s="56" t="n"/>
      <x:c r="R446" s="57" t="inlineStr">
        <x:is>
          <x:t xml:space="preserve">主集</x:t>
        </x:is>
      </x:c>
      <x:c r="S446" s="57" t="inlineStr">
        <x:is>
          <x:t xml:space="preserve">index</x:t>
        </x:is>
      </x:c>
      <x:c r="T446" s="57" t="inlineStr">
        <x:is>
          <x:t xml:space="preserve"/>
        </x:is>
      </x:c>
    </x:row>
    <x:row r="447" s="37" customFormat="1" ht="15" customHeight="1">
      <x:c r="A447" s="58" t="inlineStr">
        <x:is>
          <x:t xml:space="preserve">NEG-0446</x:t>
        </x:is>
      </x:c>
      <x:c r="B447" s="58" t="inlineStr">
        <x:is>
          <x:t xml:space="preserve">v3</x:t>
        </x:is>
      </x:c>
      <x:c r="C447" s="59" t="inlineStr">
        <x:is>
          <x:t xml:space="preserve">四、专有名词与固定名称</x:t>
        </x:is>
      </x:c>
      <x:c r="D447" s="59" t="inlineStr">
        <x:is>
          <x:t xml:space="preserve">4.5 作品名与文化产品</x:t>
        </x:is>
      </x:c>
      <x:c r="E447" s="59" t="inlineStr">
        <x:is>
          <x:t xml:space="preserve">学术与调研</x:t>
        </x:is>
      </x:c>
      <x:c r="F447" s="59" t="inlineStr">
        <x:is>
          <x:t xml:space="preserve">书目条</x:t>
        </x:is>
      </x:c>
      <x:c r="G447" s="58" t="inlineStr">
        <x:is>
          <x:t xml:space="preserve">缩略</x:t>
        </x:is>
      </x:c>
      <x:c r="H447" s="58" t="str">
        <x:f>IF(LEN(I447)&lt;15,"短",IF(LEN(I447)&lt;=45,"中","长"))</x:f>
        <x:v>短</x:v>
      </x:c>
      <x:c r="I447" s="59" t="inlineStr">
        <x:is>
          <x:t xml:space="preserve">《第二性》上卷</x:t>
        </x:is>
      </x:c>
      <x:c r="J447" s="59" t="str">
        <x:f>I447</x:f>
        <x:v>《第二性》上卷</x:v>
      </x:c>
      <x:c r="K447" s="58" t="inlineStr">
        <x:is>
          <x:t xml:space="preserve">无需改写</x:t>
        </x:is>
      </x:c>
      <x:c r="L447" s="59" t="inlineStr">
        <x:is>
          <x:t xml:space="preserve">第二性</x:t>
        </x:is>
      </x:c>
      <x:c r="M447" s="59" t="inlineStr">
        <x:is>
          <x:t xml:space="preserve">书名</x:t>
        </x:is>
      </x:c>
      <x:c r="N447" s="59" t="inlineStr">
        <x:is>
          <x:t xml:space="preserve">该书 上卷</x:t>
        </x:is>
      </x:c>
      <x:c r="O447" s="58" t="inlineStr">
        <x:is>
          <x:t xml:space="preserve">易</x:t>
        </x:is>
      </x:c>
      <x:c r="P447" s="58" t="inlineStr">
        <x:is>
          <x:t xml:space="preserve">否</x:t>
        </x:is>
      </x:c>
      <x:c r="Q447" s="59" t="n"/>
      <x:c r="R447" s="60" t="inlineStr">
        <x:is>
          <x:t xml:space="preserve">隔离·待确认</x:t>
        </x:is>
      </x:c>
      <x:c r="S447" s="60" t="inlineStr">
        <x:is>
          <x:t xml:space="preserve"/>
        </x:is>
      </x:c>
      <x:c r="T447" s="60" t="inlineStr">
        <x:is>
          <x:t xml:space="preserve">触发词不含性别编码——判断可能依赖世界知识而非句内信息</x:t>
        </x:is>
      </x:c>
    </x:row>
    <x:row r="448" s="37" customFormat="1" ht="15" customHeight="1">
      <x:c r="A448" s="58" t="inlineStr">
        <x:is>
          <x:t xml:space="preserve">NEG-0447</x:t>
        </x:is>
      </x:c>
      <x:c r="B448" s="58" t="inlineStr">
        <x:is>
          <x:t xml:space="preserve">v3</x:t>
        </x:is>
      </x:c>
      <x:c r="C448" s="59" t="inlineStr">
        <x:is>
          <x:t xml:space="preserve">四、专有名词与固定名称</x:t>
        </x:is>
      </x:c>
      <x:c r="D448" s="59" t="inlineStr">
        <x:is>
          <x:t xml:space="preserve">4.3 奖项、荣誉与称号</x:t>
        </x:is>
      </x:c>
      <x:c r="E448" s="59" t="inlineStr">
        <x:is>
          <x:t xml:space="preserve">公文与规章</x:t>
        </x:is>
      </x:c>
      <x:c r="F448" s="59" t="inlineStr">
        <x:is>
          <x:t xml:space="preserve">荣誉栏</x:t>
        </x:is>
      </x:c>
      <x:c r="G448" s="58" t="inlineStr">
        <x:is>
          <x:t xml:space="preserve">缩略</x:t>
        </x:is>
      </x:c>
      <x:c r="H448" s="58" t="str">
        <x:f>IF(LEN(I448)&lt;15,"短",IF(LEN(I448)&lt;=45,"中","长"))</x:f>
        <x:v>短</x:v>
      </x:c>
      <x:c r="I448" s="59" t="inlineStr">
        <x:is>
          <x:t xml:space="preserve">三八红旗手（2023）</x:t>
        </x:is>
      </x:c>
      <x:c r="J448" s="59" t="str">
        <x:f>I448</x:f>
        <x:v>三八红旗手（2023）</x:v>
      </x:c>
      <x:c r="K448" s="58" t="inlineStr">
        <x:is>
          <x:t xml:space="preserve">无需改写</x:t>
        </x:is>
      </x:c>
      <x:c r="L448" s="59" t="inlineStr">
        <x:is>
          <x:t xml:space="preserve">三八红旗手</x:t>
        </x:is>
      </x:c>
      <x:c r="M448" s="59" t="inlineStr">
        <x:is>
          <x:t xml:space="preserve">称号条目</x:t>
        </x:is>
      </x:c>
      <x:c r="N448" s="59" t="inlineStr">
        <x:is>
          <x:t xml:space="preserve">先进个人（2023）</x:t>
        </x:is>
      </x:c>
      <x:c r="O448" s="58" t="inlineStr">
        <x:is>
          <x:t xml:space="preserve">中</x:t>
        </x:is>
      </x:c>
      <x:c r="P448" s="58" t="inlineStr">
        <x:is>
          <x:t xml:space="preserve">是</x:t>
        </x:is>
      </x:c>
      <x:c r="Q448" s="59" t="n"/>
      <x:c r="R448" s="60" t="inlineStr">
        <x:is>
          <x:t xml:space="preserve">隔离·待确认</x:t>
        </x:is>
      </x:c>
      <x:c r="S448" s="60" t="inlineStr">
        <x:is>
          <x:t xml:space="preserve"/>
        </x:is>
      </x:c>
      <x:c r="T448" s="60" t="inlineStr">
        <x:is>
          <x:t xml:space="preserve">触发词不含性别编码——判断可能依赖世界知识而非句内信息</x:t>
        </x:is>
      </x:c>
    </x:row>
    <x:row r="449" s="37" customFormat="1" ht="15" customHeight="1">
      <x:c r="A449" s="55" t="inlineStr">
        <x:is>
          <x:t xml:space="preserve">NEG-0448</x:t>
        </x:is>
      </x:c>
      <x:c r="B449" s="55" t="inlineStr">
        <x:is>
          <x:t xml:space="preserve">v3</x:t>
        </x:is>
      </x:c>
      <x:c r="C449" s="56" t="inlineStr">
        <x:is>
          <x:t xml:space="preserve">四、专有名词与固定名称</x:t>
        </x:is>
      </x:c>
      <x:c r="D449" s="56" t="inlineStr">
        <x:is>
          <x:t xml:space="preserve">4.5 作品名与文化产品</x:t>
        </x:is>
      </x:c>
      <x:c r="E449" s="56" t="inlineStr">
        <x:is>
          <x:t xml:space="preserve">商业与产品</x:t>
        </x:is>
      </x:c>
      <x:c r="F449" s="56" t="inlineStr">
        <x:is>
          <x:t xml:space="preserve">歌单条目</x:t>
        </x:is>
      </x:c>
      <x:c r="G449" s="55" t="inlineStr">
        <x:is>
          <x:t xml:space="preserve">缩略</x:t>
        </x:is>
      </x:c>
      <x:c r="H449" s="55" t="str">
        <x:f>IF(LEN(I449)&lt;15,"短",IF(LEN(I449)&lt;=45,"中","长"))</x:f>
        <x:v>短</x:v>
      </x:c>
      <x:c r="I449" s="56" t="inlineStr">
        <x:is>
          <x:t xml:space="preserve">《女人花》- 梅艳芳</x:t>
        </x:is>
      </x:c>
      <x:c r="J449" s="56" t="str">
        <x:f>I449</x:f>
        <x:v>《女人花》- 梅艳芳</x:v>
      </x:c>
      <x:c r="K449" s="55" t="inlineStr">
        <x:is>
          <x:t xml:space="preserve">无需改写</x:t>
        </x:is>
      </x:c>
      <x:c r="L449" s="56" t="inlineStr">
        <x:is>
          <x:t xml:space="preserve">女人花</x:t>
        </x:is>
      </x:c>
      <x:c r="M449" s="56" t="inlineStr">
        <x:is>
          <x:t xml:space="preserve">歌名</x:t>
        </x:is>
      </x:c>
      <x:c r="N449" s="56" t="inlineStr">
        <x:is>
          <x:t xml:space="preserve">《花》- 梅艳芳</x:t>
        </x:is>
      </x:c>
      <x:c r="O449" s="55" t="inlineStr">
        <x:is>
          <x:t xml:space="preserve">易</x:t>
        </x:is>
      </x:c>
      <x:c r="P449" s="55" t="inlineStr">
        <x:is>
          <x:t xml:space="preserve">否</x:t>
        </x:is>
      </x:c>
      <x:c r="Q449" s="56" t="n"/>
      <x:c r="R449" s="57" t="inlineStr">
        <x:is>
          <x:t xml:space="preserve">主集</x:t>
        </x:is>
      </x:c>
      <x:c r="S449" s="57" t="inlineStr">
        <x:is>
          <x:t xml:space="preserve">test</x:t>
        </x:is>
      </x:c>
      <x:c r="T449" s="57" t="inlineStr">
        <x:is>
          <x:t xml:space="preserve"/>
        </x:is>
      </x:c>
    </x:row>
    <x:row r="450" s="37" customFormat="1" ht="15" customHeight="1">
      <x:c r="A450" s="55" t="inlineStr">
        <x:is>
          <x:t xml:space="preserve">NEG-0449</x:t>
        </x:is>
      </x:c>
      <x:c r="B450" s="55" t="inlineStr">
        <x:is>
          <x:t xml:space="preserve">v3</x:t>
        </x:is>
      </x:c>
      <x:c r="C450" s="56" t="inlineStr">
        <x:is>
          <x:t xml:space="preserve">四、专有名词与固定名称</x:t>
        </x:is>
      </x:c>
      <x:c r="D450" s="56" t="inlineStr">
        <x:is>
          <x:t xml:space="preserve">4.7 学术与批判性概念</x:t>
        </x:is>
      </x:c>
      <x:c r="E450" s="56" t="inlineStr">
        <x:is>
          <x:t xml:space="preserve">社交与社区</x:t>
        </x:is>
      </x:c>
      <x:c r="F450" s="56" t="inlineStr">
        <x:is>
          <x:t xml:space="preserve">标签</x:t>
        </x:is>
      </x:c>
      <x:c r="G450" s="55" t="inlineStr">
        <x:is>
          <x:t xml:space="preserve">结构化文本</x:t>
        </x:is>
      </x:c>
      <x:c r="H450" s="55" t="e">
        <x:f>IF(LEN(I450)&lt;15,"短",IF(LEN(I450)&lt;=45,"中","长"))</x:f>
      </x:c>
      <x:c r="I450" s="56" t="inlineStr">
        <x:is>
          <x:t xml:space="preserve">#女性向游戏</x:t>
        </x:is>
      </x:c>
      <x:c r="J450" s="56" t="e">
        <x:f>I450</x:f>
      </x:c>
      <x:c r="K450" s="55" t="inlineStr">
        <x:is>
          <x:t xml:space="preserve">无需改写</x:t>
        </x:is>
      </x:c>
      <x:c r="L450" s="56" t="inlineStr">
        <x:is>
          <x:t xml:space="preserve">女性向</x:t>
        </x:is>
      </x:c>
      <x:c r="M450" s="56" t="inlineStr">
        <x:is>
          <x:t xml:space="preserve">品类标签，是检索键</x:t>
        </x:is>
      </x:c>
      <x:c r="N450" s="56" t="inlineStr">
        <x:is>
          <x:t xml:space="preserve">#游戏</x:t>
        </x:is>
      </x:c>
      <x:c r="O450" s="55" t="inlineStr">
        <x:is>
          <x:t xml:space="preserve">中</x:t>
        </x:is>
      </x:c>
      <x:c r="P450" s="55" t="inlineStr">
        <x:is>
          <x:t xml:space="preserve">否</x:t>
        </x:is>
      </x:c>
      <x:c r="Q450" s="56" t="inlineStr">
        <x:is>
          <x:t xml:space="preserve">话题标签属检索键，改写会断链</x:t>
        </x:is>
      </x:c>
      <x:c r="R450" s="57" t="inlineStr">
        <x:is>
          <x:t xml:space="preserve">主集</x:t>
        </x:is>
      </x:c>
      <x:c r="S450" s="57" t="inlineStr">
        <x:is>
          <x:t xml:space="preserve">dev</x:t>
        </x:is>
      </x:c>
      <x:c r="T450" s="57" t="inlineStr">
        <x:is>
          <x:t xml:space="preserve"/>
        </x:is>
      </x:c>
    </x:row>
    <x:row r="451" s="37" customFormat="1" ht="15" customHeight="1">
      <x:c r="A451" s="55" t="inlineStr">
        <x:is>
          <x:t xml:space="preserve">NEG-0450</x:t>
        </x:is>
      </x:c>
      <x:c r="B451" s="55" t="inlineStr">
        <x:is>
          <x:t xml:space="preserve">v3</x:t>
        </x:is>
      </x:c>
      <x:c r="C451" s="56" t="inlineStr">
        <x:is>
          <x:t xml:space="preserve">四、专有名词与固定名称</x:t>
        </x:is>
      </x:c>
      <x:c r="D451" s="56" t="inlineStr">
        <x:is>
          <x:t xml:space="preserve">4.8 品牌、产品与商业名称</x:t>
        </x:is>
      </x:c>
      <x:c r="E451" s="56" t="inlineStr">
        <x:is>
          <x:t xml:space="preserve">商业与产品</x:t>
        </x:is>
      </x:c>
      <x:c r="F451" s="56" t="inlineStr">
        <x:is>
          <x:t xml:space="preserve">商品条</x:t>
        </x:is>
      </x:c>
      <x:c r="G451" s="55" t="inlineStr">
        <x:is>
          <x:t xml:space="preserve">缩略</x:t>
        </x:is>
      </x:c>
      <x:c r="H451" s="55" t="str">
        <x:f>IF(LEN(I451)&lt;15,"短",IF(LEN(I451)&lt;=45,"中","长"))</x:f>
        <x:v>短</x:v>
      </x:c>
      <x:c r="I451" s="56" t="inlineStr">
        <x:is>
          <x:t xml:space="preserve">老干妈 风味豆豉 280g</x:t>
        </x:is>
      </x:c>
      <x:c r="J451" s="56" t="str">
        <x:f>I451</x:f>
        <x:v>老干妈 风味豆豉 280g</x:v>
      </x:c>
      <x:c r="K451" s="55" t="inlineStr">
        <x:is>
          <x:t xml:space="preserve">无需改写</x:t>
        </x:is>
      </x:c>
      <x:c r="L451" s="56" t="inlineStr">
        <x:is>
          <x:t xml:space="preserve">老干妈</x:t>
        </x:is>
      </x:c>
      <x:c r="M451" s="56" t="inlineStr">
        <x:is>
          <x:t xml:space="preserve">商标</x:t>
        </x:is>
      </x:c>
      <x:c r="N451" s="56" t="inlineStr">
        <x:is>
          <x:t xml:space="preserve">风味豆豉 280g</x:t>
        </x:is>
      </x:c>
      <x:c r="O451" s="55" t="inlineStr">
        <x:is>
          <x:t xml:space="preserve">易</x:t>
        </x:is>
      </x:c>
      <x:c r="P451" s="55" t="inlineStr">
        <x:is>
          <x:t xml:space="preserve">否</x:t>
        </x:is>
      </x:c>
      <x:c r="Q451" s="56" t="n"/>
      <x:c r="R451" s="57" t="inlineStr">
        <x:is>
          <x:t xml:space="preserve">主集</x:t>
        </x:is>
      </x:c>
      <x:c r="S451" s="57" t="inlineStr">
        <x:is>
          <x:t xml:space="preserve">dev</x:t>
        </x:is>
      </x:c>
      <x:c r="T451" s="57" t="inlineStr">
        <x:is>
          <x:t xml:space="preserve"/>
        </x:is>
      </x:c>
    </x:row>
    <x:row r="452" s="37" customFormat="1" ht="15" customHeight="1">
      <x:c r="A452" s="58" t="inlineStr">
        <x:is>
          <x:t xml:space="preserve">NEG-0451</x:t>
        </x:is>
      </x:c>
      <x:c r="B452" s="58" t="inlineStr">
        <x:is>
          <x:t xml:space="preserve">v3</x:t>
        </x:is>
      </x:c>
      <x:c r="C452" s="59" t="inlineStr">
        <x:is>
          <x:t xml:space="preserve">五、引用与转述</x:t>
        </x:is>
      </x:c>
      <x:c r="D452" s="59" t="inlineStr">
        <x:is>
          <x:t xml:space="preserve">5.4 研究与调查材料</x:t>
        </x:is>
      </x:c>
      <x:c r="E452" s="59" t="inlineStr">
        <x:is>
          <x:t xml:space="preserve">工程与技术</x:t>
        </x:is>
      </x:c>
      <x:c r="F452" s="59" t="inlineStr">
        <x:is>
          <x:t xml:space="preserve">数据字典</x:t>
        </x:is>
      </x:c>
      <x:c r="G452" s="58" t="inlineStr">
        <x:is>
          <x:t xml:space="preserve">结构化文本</x:t>
        </x:is>
      </x:c>
      <x:c r="H452" s="58" t="str">
        <x:f>IF(LEN(I452)&lt;15,"短",IF(LEN(I452)&lt;=45,"中","长"))</x:f>
        <x:v>短</x:v>
      </x:c>
      <x:c r="I452" s="59" t="inlineStr">
        <x:is>
          <x:t xml:space="preserve">gender: F</x:t>
        </x:is>
      </x:c>
      <x:c r="J452" s="59" t="str">
        <x:f>I452</x:f>
        <x:v>gender: F</x:v>
      </x:c>
      <x:c r="K452" s="58" t="inlineStr">
        <x:is>
          <x:t xml:space="preserve">无需改写</x:t>
        </x:is>
      </x:c>
      <x:c r="L452" s="59" t="inlineStr">
        <x:is>
          <x:t xml:space="preserve">gender</x:t>
        </x:is>
      </x:c>
      <x:c r="M452" s="59" t="inlineStr">
        <x:is>
          <x:t xml:space="preserve">字段与取值</x:t>
        </x:is>
      </x:c>
      <x:c r="N452" s="59" t="inlineStr">
        <x:is>
          <x:t xml:space="preserve">gender: 1</x:t>
        </x:is>
      </x:c>
      <x:c r="O452" s="58" t="inlineStr">
        <x:is>
          <x:t xml:space="preserve">易</x:t>
        </x:is>
      </x:c>
      <x:c r="P452" s="58" t="inlineStr">
        <x:is>
          <x:t xml:space="preserve">否</x:t>
        </x:is>
      </x:c>
      <x:c r="Q452" s="59" t="n"/>
      <x:c r="R452" s="60" t="inlineStr">
        <x:is>
          <x:t xml:space="preserve">隔离·待确认</x:t>
        </x:is>
      </x:c>
      <x:c r="S452" s="60" t="inlineStr">
        <x:is>
          <x:t xml:space="preserve"/>
        </x:is>
      </x:c>
      <x:c r="T452" s="60" t="inlineStr">
        <x:is>
          <x:t xml:space="preserve">触发词不含性别编码——判断可能依赖世界知识而非句内信息</x:t>
        </x:is>
      </x:c>
    </x:row>
    <x:row r="453" s="37" customFormat="1" ht="15" customHeight="1">
      <x:c r="A453" s="55" t="inlineStr">
        <x:is>
          <x:t xml:space="preserve">NEG-0452</x:t>
        </x:is>
      </x:c>
      <x:c r="B453" s="55" t="inlineStr">
        <x:is>
          <x:t xml:space="preserve">v3</x:t>
        </x:is>
      </x:c>
      <x:c r="C453" s="56" t="inlineStr">
        <x:is>
          <x:t xml:space="preserve">五、引用与转述</x:t>
        </x:is>
      </x:c>
      <x:c r="D453" s="56" t="inlineStr">
        <x:is>
          <x:t xml:space="preserve">5.4 研究与调查材料</x:t>
        </x:is>
      </x:c>
      <x:c r="E453" s="56" t="inlineStr">
        <x:is>
          <x:t xml:space="preserve">工程与技术</x:t>
        </x:is>
      </x:c>
      <x:c r="F453" s="56" t="inlineStr">
        <x:is>
          <x:t xml:space="preserve">表头</x:t>
        </x:is>
      </x:c>
      <x:c r="G453" s="55" t="inlineStr">
        <x:is>
          <x:t xml:space="preserve">结构化文本</x:t>
        </x:is>
      </x:c>
      <x:c r="H453" s="55" t="str">
        <x:f>IF(LEN(I453)&lt;15,"短",IF(LEN(I453)&lt;=45,"中","长"))</x:f>
        <x:v>中</x:v>
      </x:c>
      <x:c r="I453" s="56" t="inlineStr">
        <x:is>
          <x:t xml:space="preserve">| 姓名 | 性别 | 出生日期 |</x:t>
        </x:is>
      </x:c>
      <x:c r="J453" s="56" t="str">
        <x:f>I453</x:f>
        <x:v>| 姓名 | 性别 | 出生日期 |</x:v>
      </x:c>
      <x:c r="K453" s="55" t="inlineStr">
        <x:is>
          <x:t xml:space="preserve">无需改写</x:t>
        </x:is>
      </x:c>
      <x:c r="L453" s="56" t="inlineStr">
        <x:is>
          <x:t xml:space="preserve">性别</x:t>
        </x:is>
      </x:c>
      <x:c r="M453" s="56" t="inlineStr">
        <x:is>
          <x:t xml:space="preserve">表格列名</x:t>
        </x:is>
      </x:c>
      <x:c r="N453" s="56" t="inlineStr">
        <x:is>
          <x:t xml:space="preserve">| 姓名 | 出生日期 |</x:t>
        </x:is>
      </x:c>
      <x:c r="O453" s="55" t="inlineStr">
        <x:is>
          <x:t xml:space="preserve">中</x:t>
        </x:is>
      </x:c>
      <x:c r="P453" s="55" t="inlineStr">
        <x:is>
          <x:t xml:space="preserve">否</x:t>
        </x:is>
      </x:c>
      <x:c r="Q453" s="56" t="inlineStr">
        <x:is>
          <x:t xml:space="preserve">删列会导致数据错位</x:t>
        </x:is>
      </x:c>
      <x:c r="R453" s="57" t="inlineStr">
        <x:is>
          <x:t xml:space="preserve">主集</x:t>
        </x:is>
      </x:c>
      <x:c r="S453" s="57" t="inlineStr">
        <x:is>
          <x:t xml:space="preserve">index</x:t>
        </x:is>
      </x:c>
      <x:c r="T453" s="57" t="inlineStr">
        <x:is>
          <x:t xml:space="preserve"/>
        </x:is>
      </x:c>
    </x:row>
    <x:row r="454" s="37" customFormat="1" ht="15" customHeight="1">
      <x:c r="A454" s="58" t="inlineStr">
        <x:is>
          <x:t xml:space="preserve">NEG-0453</x:t>
        </x:is>
      </x:c>
      <x:c r="B454" s="58" t="inlineStr">
        <x:is>
          <x:t xml:space="preserve">v3</x:t>
        </x:is>
      </x:c>
      <x:c r="C454" s="59" t="inlineStr">
        <x:is>
          <x:t xml:space="preserve">五、引用与转述</x:t>
        </x:is>
      </x:c>
      <x:c r="D454" s="59" t="inlineStr">
        <x:is>
          <x:t xml:space="preserve">5.4 研究与调查材料</x:t>
        </x:is>
      </x:c>
      <x:c r="E454" s="59" t="inlineStr">
        <x:is>
          <x:t xml:space="preserve">工程与技术</x:t>
        </x:is>
      </x:c>
      <x:c r="F454" s="59" t="inlineStr">
        <x:is>
          <x:t xml:space="preserve">数据字典</x:t>
        </x:is>
      </x:c>
      <x:c r="G454" s="58" t="inlineStr">
        <x:is>
          <x:t xml:space="preserve">结构化文本</x:t>
        </x:is>
      </x:c>
      <x:c r="H454" s="58" t="str">
        <x:f>IF(LEN(I454)&lt;15,"短",IF(LEN(I454)&lt;=45,"中","长"))</x:f>
        <x:v>短</x:v>
      </x:c>
      <x:c r="I454" s="59" t="inlineStr">
        <x:is>
          <x:t xml:space="preserve">is_female = 1</x:t>
        </x:is>
      </x:c>
      <x:c r="J454" s="59" t="str">
        <x:f>I454</x:f>
        <x:v>is_female = 1</x:v>
      </x:c>
      <x:c r="K454" s="58" t="inlineStr">
        <x:is>
          <x:t xml:space="preserve">无需改写</x:t>
        </x:is>
      </x:c>
      <x:c r="L454" s="59" t="inlineStr">
        <x:is>
          <x:t xml:space="preserve">is_female</x:t>
        </x:is>
      </x:c>
      <x:c r="M454" s="59" t="inlineStr">
        <x:is>
          <x:t xml:space="preserve">字段名与取值</x:t>
        </x:is>
      </x:c>
      <x:c r="N454" s="59" t="inlineStr">
        <x:is>
          <x:t xml:space="preserve">is_woman = 1</x:t>
        </x:is>
      </x:c>
      <x:c r="O454" s="58" t="inlineStr">
        <x:is>
          <x:t xml:space="preserve">中</x:t>
        </x:is>
      </x:c>
      <x:c r="P454" s="58" t="inlineStr">
        <x:is>
          <x:t xml:space="preserve">否</x:t>
        </x:is>
      </x:c>
      <x:c r="Q454" s="59" t="n"/>
      <x:c r="R454" s="60" t="inlineStr">
        <x:is>
          <x:t xml:space="preserve">隔离·待确认</x:t>
        </x:is>
      </x:c>
      <x:c r="S454" s="60" t="inlineStr">
        <x:is>
          <x:t xml:space="preserve"/>
        </x:is>
      </x:c>
      <x:c r="T454" s="60" t="inlineStr">
        <x:is>
          <x:t xml:space="preserve">触发词不含性别编码——判断可能依赖世界知识而非句内信息</x:t>
        </x:is>
      </x:c>
    </x:row>
    <x:row r="455" s="37" customFormat="1" ht="15" customHeight="1">
      <x:c r="A455" s="55" t="inlineStr">
        <x:is>
          <x:t xml:space="preserve">NEG-0454</x:t>
        </x:is>
      </x:c>
      <x:c r="B455" s="55" t="inlineStr">
        <x:is>
          <x:t xml:space="preserve">v3</x:t>
        </x:is>
      </x:c>
      <x:c r="C455" s="56" t="inlineStr">
        <x:is>
          <x:t xml:space="preserve">六、自我认同与自称</x:t>
        </x:is>
      </x:c>
      <x:c r="D455" s="56" t="inlineStr">
        <x:is>
          <x:t xml:space="preserve">6.2 主动声明的性别与代词</x:t>
        </x:is>
      </x:c>
      <x:c r="E455" s="56" t="inlineStr">
        <x:is>
          <x:t xml:space="preserve">口语与私人交流</x:t>
        </x:is>
      </x:c>
      <x:c r="F455" s="56" t="inlineStr">
        <x:is>
          <x:t xml:space="preserve">签名档</x:t>
        </x:is>
      </x:c>
      <x:c r="G455" s="55" t="inlineStr">
        <x:is>
          <x:t xml:space="preserve">缩略</x:t>
        </x:is>
      </x:c>
      <x:c r="H455" s="55" t="str">
        <x:f>IF(LEN(I455)&lt;15,"短",IF(LEN(I455)&lt;=45,"中","长"))</x:f>
        <x:v>短</x:v>
      </x:c>
      <x:c r="I455" s="56" t="inlineStr">
        <x:is>
          <x:t xml:space="preserve">她/她的</x:t>
        </x:is>
      </x:c>
      <x:c r="J455" s="56" t="str">
        <x:f>I455</x:f>
        <x:v>她/她的</x:v>
      </x:c>
      <x:c r="K455" s="55" t="inlineStr">
        <x:is>
          <x:t xml:space="preserve">无需改写</x:t>
        </x:is>
      </x:c>
      <x:c r="L455" s="56" t="inlineStr">
        <x:is>
          <x:t xml:space="preserve">她/她的</x:t>
        </x:is>
      </x:c>
      <x:c r="M455" s="56" t="inlineStr">
        <x:is>
          <x:t xml:space="preserve">本人声明的代词</x:t>
        </x:is>
      </x:c>
      <x:c r="N455" s="56" t="inlineStr">
        <x:is>
          <x:t xml:space="preserve">TA/TA的</x:t>
        </x:is>
      </x:c>
      <x:c r="O455" s="55" t="inlineStr">
        <x:is>
          <x:t xml:space="preserve">难</x:t>
        </x:is>
      </x:c>
      <x:c r="P455" s="55" t="inlineStr">
        <x:is>
          <x:t xml:space="preserve">否</x:t>
        </x:is>
      </x:c>
      <x:c r="Q455" s="56" t="n"/>
      <x:c r="R455" s="57" t="inlineStr">
        <x:is>
          <x:t xml:space="preserve">主集</x:t>
        </x:is>
      </x:c>
      <x:c r="S455" s="57" t="inlineStr">
        <x:is>
          <x:t xml:space="preserve">test</x:t>
        </x:is>
      </x:c>
      <x:c r="T455" s="57" t="inlineStr">
        <x:is>
          <x:t xml:space="preserve"/>
        </x:is>
      </x:c>
    </x:row>
    <x:row r="456" s="37" customFormat="1" ht="15" customHeight="1">
      <x:c r="A456" s="58" t="inlineStr">
        <x:is>
          <x:t xml:space="preserve">NEG-0455</x:t>
        </x:is>
      </x:c>
      <x:c r="B456" s="58" t="inlineStr">
        <x:is>
          <x:t xml:space="preserve">v3</x:t>
        </x:is>
      </x:c>
      <x:c r="C456" s="59" t="inlineStr">
        <x:is>
          <x:t xml:space="preserve">六、自我认同与自称</x:t>
        </x:is>
      </x:c>
      <x:c r="D456" s="59" t="inlineStr">
        <x:is>
          <x:t xml:space="preserve">6.2 主动声明的性别与代词</x:t>
        </x:is>
      </x:c>
      <x:c r="E456" s="59" t="inlineStr">
        <x:is>
          <x:t xml:space="preserve">口语与私人交流</x:t>
        </x:is>
      </x:c>
      <x:c r="F456" s="59" t="inlineStr">
        <x:is>
          <x:t xml:space="preserve">签名档</x:t>
        </x:is>
      </x:c>
      <x:c r="G456" s="58" t="inlineStr">
        <x:is>
          <x:t xml:space="preserve">缩略</x:t>
        </x:is>
      </x:c>
      <x:c r="H456" s="58" t="str">
        <x:f>IF(LEN(I456)&lt;15,"短",IF(LEN(I456)&lt;=45,"中","长"))</x:f>
        <x:v>短</x:v>
      </x:c>
      <x:c r="I456" s="59" t="inlineStr">
        <x:is>
          <x:t xml:space="preserve">he/him</x:t>
        </x:is>
      </x:c>
      <x:c r="J456" s="59" t="str">
        <x:f>I456</x:f>
        <x:v>he/him</x:v>
      </x:c>
      <x:c r="K456" s="58" t="inlineStr">
        <x:is>
          <x:t xml:space="preserve">无需改写</x:t>
        </x:is>
      </x:c>
      <x:c r="L456" s="59" t="inlineStr">
        <x:is>
          <x:t xml:space="preserve">he/him</x:t>
        </x:is>
      </x:c>
      <x:c r="M456" s="59" t="inlineStr">
        <x:is>
          <x:t xml:space="preserve">本人声明的代词</x:t>
        </x:is>
      </x:c>
      <x:c r="N456" s="59" t="inlineStr">
        <x:is>
          <x:t xml:space="preserve">they/them</x:t>
        </x:is>
      </x:c>
      <x:c r="O456" s="58" t="inlineStr">
        <x:is>
          <x:t xml:space="preserve">难</x:t>
        </x:is>
      </x:c>
      <x:c r="P456" s="58" t="inlineStr">
        <x:is>
          <x:t xml:space="preserve">否</x:t>
        </x:is>
      </x:c>
      <x:c r="Q456" s="59" t="n"/>
      <x:c r="R456" s="60" t="inlineStr">
        <x:is>
          <x:t xml:space="preserve">隔离·待确认</x:t>
        </x:is>
      </x:c>
      <x:c r="S456" s="60" t="inlineStr">
        <x:is>
          <x:t xml:space="preserve"/>
        </x:is>
      </x:c>
      <x:c r="T456" s="60" t="inlineStr">
        <x:is>
          <x:t xml:space="preserve">触发词不含性别编码——判断可能依赖世界知识而非句内信息</x:t>
        </x:is>
      </x:c>
    </x:row>
    <x:row r="457" s="37" customFormat="1" ht="15" customHeight="1">
      <x:c r="A457" s="55" t="inlineStr">
        <x:is>
          <x:t xml:space="preserve">NEG-0456</x:t>
        </x:is>
      </x:c>
      <x:c r="B457" s="55" t="inlineStr">
        <x:is>
          <x:t xml:space="preserve">v3</x:t>
        </x:is>
      </x:c>
      <x:c r="C457" s="56" t="inlineStr">
        <x:is>
          <x:t xml:space="preserve">六、自我认同与自称</x:t>
        </x:is>
      </x:c>
      <x:c r="D457" s="56" t="inlineStr">
        <x:is>
          <x:t xml:space="preserve">6.5 艺名、网名、角色名</x:t>
        </x:is>
      </x:c>
      <x:c r="E457" s="56" t="inlineStr">
        <x:is>
          <x:t xml:space="preserve">社交与社区</x:t>
        </x:is>
      </x:c>
      <x:c r="F457" s="56" t="inlineStr">
        <x:is>
          <x:t xml:space="preserve">账号名</x:t>
        </x:is>
      </x:c>
      <x:c r="G457" s="55" t="inlineStr">
        <x:is>
          <x:t xml:space="preserve">缩略</x:t>
        </x:is>
      </x:c>
      <x:c r="H457" s="55" t="str">
        <x:f>IF(LEN(I457)&lt;15,"短",IF(LEN(I457)&lt;=45,"中","长"))</x:f>
        <x:v>短</x:v>
      </x:c>
      <x:c r="I457" s="56" t="inlineStr">
        <x:is>
          <x:t xml:space="preserve">厂妹阿香</x:t>
        </x:is>
      </x:c>
      <x:c r="J457" s="56" t="str">
        <x:f>I457</x:f>
        <x:v>厂妹阿香</x:v>
      </x:c>
      <x:c r="K457" s="55" t="inlineStr">
        <x:is>
          <x:t xml:space="preserve">无需改写</x:t>
        </x:is>
      </x:c>
      <x:c r="L457" s="56" t="inlineStr">
        <x:is>
          <x:t xml:space="preserve">厂妹</x:t>
        </x:is>
      </x:c>
      <x:c r="M457" s="56" t="inlineStr">
        <x:is>
          <x:t xml:space="preserve">用户自选账号名</x:t>
        </x:is>
      </x:c>
      <x:c r="N457" s="56" t="inlineStr">
        <x:is>
          <x:t xml:space="preserve">阿香</x:t>
        </x:is>
      </x:c>
      <x:c r="O457" s="55" t="inlineStr">
        <x:is>
          <x:t xml:space="preserve">中</x:t>
        </x:is>
      </x:c>
      <x:c r="P457" s="55" t="inlineStr">
        <x:is>
          <x:t xml:space="preserve">否</x:t>
        </x:is>
      </x:c>
      <x:c r="Q457" s="56" t="n"/>
      <x:c r="R457" s="57" t="inlineStr">
        <x:is>
          <x:t xml:space="preserve">主集</x:t>
        </x:is>
      </x:c>
      <x:c r="S457" s="57" t="inlineStr">
        <x:is>
          <x:t xml:space="preserve">index</x:t>
        </x:is>
      </x:c>
      <x:c r="T457" s="57" t="inlineStr">
        <x:is>
          <x:t xml:space="preserve"/>
        </x:is>
      </x:c>
    </x:row>
    <x:row r="458" s="37" customFormat="1" ht="15" customHeight="1">
      <x:c r="A458" s="61" t="inlineStr">
        <x:is>
          <x:t xml:space="preserve">NEG-0457</x:t>
        </x:is>
      </x:c>
      <x:c r="B458" s="61" t="inlineStr">
        <x:is>
          <x:t xml:space="preserve">v3</x:t>
        </x:is>
      </x:c>
      <x:c r="C458" s="62" t="inlineStr">
        <x:is>
          <x:t xml:space="preserve">七、创作与修辞需要</x:t>
        </x:is>
      </x:c>
      <x:c r="D458" s="62" t="inlineStr">
        <x:is>
          <x:t xml:space="preserve">7.6 意象与典故</x:t>
        </x:is>
      </x:c>
      <x:c r="E458" s="62" t="inlineStr">
        <x:is>
          <x:t xml:space="preserve">学术与调研</x:t>
        </x:is>
      </x:c>
      <x:c r="F458" s="62" t="inlineStr">
        <x:is>
          <x:t xml:space="preserve">目录条</x:t>
        </x:is>
      </x:c>
      <x:c r="G458" s="61" t="inlineStr">
        <x:is>
          <x:t xml:space="preserve">缩略</x:t>
        </x:is>
      </x:c>
      <x:c r="H458" s="61" t="str">
        <x:f>IF(LEN(I458)&lt;15,"短",IF(LEN(I458)&lt;=45,"中","长"))</x:f>
        <x:v>短</x:v>
      </x:c>
      <x:c r="I458" s="62" t="inlineStr">
        <x:is>
          <x:t xml:space="preserve">牛郎织女（民间故事）</x:t>
        </x:is>
      </x:c>
      <x:c r="J458" s="62" t="str">
        <x:f>I458</x:f>
        <x:v>牛郎织女（民间故事）</x:v>
      </x:c>
      <x:c r="K458" s="61" t="inlineStr">
        <x:is>
          <x:t xml:space="preserve">无需改写</x:t>
        </x:is>
      </x:c>
      <x:c r="L458" s="62" t="inlineStr">
        <x:is>
          <x:t xml:space="preserve">牛郎织女</x:t>
        </x:is>
      </x:c>
      <x:c r="M458" s="62" t="inlineStr">
        <x:is>
          <x:t xml:space="preserve">篇目名</x:t>
        </x:is>
      </x:c>
      <x:c r="N458" s="62" t="inlineStr">
        <x:is>
          <x:t xml:space="preserve">七夕传说（民间故事）</x:t>
        </x:is>
      </x:c>
      <x:c r="O458" s="61" t="inlineStr">
        <x:is>
          <x:t xml:space="preserve">易</x:t>
        </x:is>
      </x:c>
      <x:c r="P458" s="61" t="inlineStr">
        <x:is>
          <x:t xml:space="preserve">否</x:t>
        </x:is>
      </x:c>
      <x:c r="Q458" s="62" t="n"/>
      <x:c r="R458" s="63" t="inlineStr">
        <x:is>
          <x:t xml:space="preserve">剔除</x:t>
        </x:is>
      </x:c>
      <x:c r="S458" s="63" t="inlineStr">
        <x:is>
          <x:t xml:space="preserve"/>
        </x:is>
      </x:c>
      <x:c r="T458" s="63" t="inlineStr">
        <x:is>
          <x:t xml:space="preserve">类别名有误导性：判据实为「引用/提及」，暂不纳入</x:t>
        </x:is>
      </x:c>
    </x:row>
    <x:row r="459" s="37" customFormat="1" ht="29.850000381469727" customHeight="1">
      <x:c r="A459" s="55" t="inlineStr">
        <x:is>
          <x:t xml:space="preserve">NEG-0458</x:t>
        </x:is>
      </x:c>
      <x:c r="B459" s="55" t="inlineStr">
        <x:is>
          <x:t xml:space="preserve">v3</x:t>
        </x:is>
      </x:c>
      <x:c r="C459" s="56" t="inlineStr">
        <x:is>
          <x:t xml:space="preserve">八、语言本体层面的历史残留</x:t>
        </x:is>
      </x:c>
      <x:c r="D459" s="56" t="inlineStr">
        <x:is>
          <x:t xml:space="preserve">8.2 敬语传统的中性化用法</x:t>
        </x:is>
      </x:c>
      <x:c r="E459" s="56" t="inlineStr">
        <x:is>
          <x:t xml:space="preserve">学术与调研</x:t>
        </x:is>
      </x:c>
      <x:c r="F459" s="56" t="inlineStr">
        <x:is>
          <x:t xml:space="preserve">著者栏</x:t>
        </x:is>
      </x:c>
      <x:c r="G459" s="55" t="inlineStr">
        <x:is>
          <x:t xml:space="preserve">缩略</x:t>
        </x:is>
      </x:c>
      <x:c r="H459" s="55" t="str">
        <x:f>IF(LEN(I459)&lt;15,"短",IF(LEN(I459)&lt;=45,"中","长"))</x:f>
        <x:v>短</x:v>
      </x:c>
      <x:c r="I459" s="56" t="inlineStr">
        <x:is>
          <x:t xml:space="preserve">杨绛 先生 译</x:t>
        </x:is>
      </x:c>
      <x:c r="J459" s="56" t="str">
        <x:f>I459</x:f>
        <x:v>杨绛 先生 译</x:v>
      </x:c>
      <x:c r="K459" s="55" t="inlineStr">
        <x:is>
          <x:t xml:space="preserve">无需改写</x:t>
        </x:is>
      </x:c>
      <x:c r="L459" s="56" t="inlineStr">
        <x:is>
          <x:t xml:space="preserve">先生</x:t>
        </x:is>
      </x:c>
      <x:c r="M459" s="56" t="inlineStr">
        <x:is>
          <x:t xml:space="preserve">著者信息中的敬称</x:t>
        </x:is>
      </x:c>
      <x:c r="N459" s="56" t="inlineStr">
        <x:is>
          <x:t xml:space="preserve">杨绛 女士 译</x:t>
        </x:is>
      </x:c>
      <x:c r="O459" s="55" t="inlineStr">
        <x:is>
          <x:t xml:space="preserve">难</x:t>
        </x:is>
      </x:c>
      <x:c r="P459" s="55" t="inlineStr">
        <x:is>
          <x:t xml:space="preserve">是</x:t>
        </x:is>
      </x:c>
      <x:c r="Q459" s="56" t="n"/>
      <x:c r="R459" s="57" t="inlineStr">
        <x:is>
          <x:t xml:space="preserve">主集</x:t>
        </x:is>
      </x:c>
      <x:c r="S459" s="57" t="inlineStr">
        <x:is>
          <x:t xml:space="preserve">index</x:t>
        </x:is>
      </x:c>
      <x:c r="T459" s="57" t="inlineStr">
        <x:is>
          <x:t xml:space="preserve"/>
        </x:is>
      </x:c>
    </x:row>
    <x:row r="460" s="37" customFormat="1" ht="29.850000381469727" customHeight="1">
      <x:c r="A460" s="55" t="inlineStr">
        <x:is>
          <x:t xml:space="preserve">NEG-0459</x:t>
        </x:is>
      </x:c>
      <x:c r="B460" s="55" t="inlineStr">
        <x:is>
          <x:t xml:space="preserve">v3</x:t>
        </x:is>
      </x:c>
      <x:c r="C460" s="56" t="inlineStr">
        <x:is>
          <x:t xml:space="preserve">九、假触发词（形似而非）</x:t>
        </x:is>
      </x:c>
      <x:c r="D460" s="56" t="inlineStr">
        <x:is>
          <x:t xml:space="preserve">9.1 建筑与工程构件</x:t>
        </x:is>
      </x:c>
      <x:c r="E460" s="56" t="inlineStr">
        <x:is>
          <x:t xml:space="preserve">工程与技术</x:t>
        </x:is>
      </x:c>
      <x:c r="F460" s="56" t="inlineStr">
        <x:is>
          <x:t xml:space="preserve">图纸标注</x:t>
        </x:is>
      </x:c>
      <x:c r="G460" s="55" t="inlineStr">
        <x:is>
          <x:t xml:space="preserve">结构化文本</x:t>
        </x:is>
      </x:c>
      <x:c r="H460" s="55" t="str">
        <x:f>IF(LEN(I460)&lt;15,"短",IF(LEN(I460)&lt;=45,"中","长"))</x:f>
        <x:v>短</x:v>
      </x:c>
      <x:c r="I460" s="56" t="inlineStr">
        <x:is>
          <x:t xml:space="preserve">女儿墙 h=1100</x:t>
        </x:is>
      </x:c>
      <x:c r="J460" s="56" t="str">
        <x:f>I460</x:f>
        <x:v>女儿墙 h=1100</x:v>
      </x:c>
      <x:c r="K460" s="55" t="inlineStr">
        <x:is>
          <x:t xml:space="preserve">无需改写</x:t>
        </x:is>
      </x:c>
      <x:c r="L460" s="56" t="inlineStr">
        <x:is>
          <x:t xml:space="preserve">女儿墙</x:t>
        </x:is>
      </x:c>
      <x:c r="M460" s="56" t="inlineStr">
        <x:is>
          <x:t xml:space="preserve">构件标注</x:t>
        </x:is>
      </x:c>
      <x:c r="N460" s="56" t="inlineStr">
        <x:is>
          <x:t xml:space="preserve">矮墙 h=1100</x:t>
        </x:is>
      </x:c>
      <x:c r="O460" s="55" t="inlineStr">
        <x:is>
          <x:t xml:space="preserve">中</x:t>
        </x:is>
      </x:c>
      <x:c r="P460" s="55" t="inlineStr">
        <x:is>
          <x:t xml:space="preserve">否</x:t>
        </x:is>
      </x:c>
      <x:c r="Q460" s="56" t="n"/>
      <x:c r="R460" s="57" t="inlineStr">
        <x:is>
          <x:t xml:space="preserve">主集</x:t>
        </x:is>
      </x:c>
      <x:c r="S460" s="57" t="inlineStr">
        <x:is>
          <x:t xml:space="preserve">test</x:t>
        </x:is>
      </x:c>
      <x:c r="T460" s="57" t="inlineStr">
        <x:is>
          <x:t xml:space="preserve"/>
        </x:is>
      </x:c>
    </x:row>
    <x:row r="461" s="37" customFormat="1" ht="29.850000381469727" customHeight="1">
      <x:c r="A461" s="55" t="inlineStr">
        <x:is>
          <x:t xml:space="preserve">NEG-0460</x:t>
        </x:is>
      </x:c>
      <x:c r="B461" s="55" t="inlineStr">
        <x:is>
          <x:t xml:space="preserve">v3</x:t>
        </x:is>
      </x:c>
      <x:c r="C461" s="56" t="inlineStr">
        <x:is>
          <x:t xml:space="preserve">九、假触发词（形似而非）</x:t>
        </x:is>
      </x:c>
      <x:c r="D461" s="56" t="inlineStr">
        <x:is>
          <x:t xml:space="preserve">9.2 机械电气与器件</x:t>
        </x:is>
      </x:c>
      <x:c r="E461" s="56" t="inlineStr">
        <x:is>
          <x:t xml:space="preserve">工程与技术</x:t>
        </x:is>
      </x:c>
      <x:c r="F461" s="56" t="inlineStr">
        <x:is>
          <x:t xml:space="preserve">物料清单</x:t>
        </x:is>
      </x:c>
      <x:c r="G461" s="55" t="inlineStr">
        <x:is>
          <x:t xml:space="preserve">结构化文本</x:t>
        </x:is>
      </x:c>
      <x:c r="H461" s="55" t="str">
        <x:f>IF(LEN(I461)&lt;15,"短",IF(LEN(I461)&lt;=45,"中","长"))</x:f>
        <x:v>短</x:v>
      </x:c>
      <x:c r="I461" s="56" t="inlineStr">
        <x:is>
          <x:t xml:space="preserve">母线槽 400A ×2</x:t>
        </x:is>
      </x:c>
      <x:c r="J461" s="56" t="str">
        <x:f>I461</x:f>
        <x:v>母线槽 400A ×2</x:v>
      </x:c>
      <x:c r="K461" s="55" t="inlineStr">
        <x:is>
          <x:t xml:space="preserve">无需改写</x:t>
        </x:is>
      </x:c>
      <x:c r="L461" s="56" t="inlineStr">
        <x:is>
          <x:t xml:space="preserve">母线槽</x:t>
        </x:is>
      </x:c>
      <x:c r="M461" s="56" t="inlineStr">
        <x:is>
          <x:t xml:space="preserve">物料名称</x:t>
        </x:is>
      </x:c>
      <x:c r="N461" s="56" t="inlineStr">
        <x:is>
          <x:t xml:space="preserve">汇流槽 400A ×2</x:t>
        </x:is>
      </x:c>
      <x:c r="O461" s="55" t="inlineStr">
        <x:is>
          <x:t xml:space="preserve">中</x:t>
        </x:is>
      </x:c>
      <x:c r="P461" s="55" t="inlineStr">
        <x:is>
          <x:t xml:space="preserve">否</x:t>
        </x:is>
      </x:c>
      <x:c r="Q461" s="56" t="n"/>
      <x:c r="R461" s="57" t="inlineStr">
        <x:is>
          <x:t xml:space="preserve">主集</x:t>
        </x:is>
      </x:c>
      <x:c r="S461" s="57" t="inlineStr">
        <x:is>
          <x:t xml:space="preserve">index</x:t>
        </x:is>
      </x:c>
      <x:c r="T461" s="57" t="inlineStr">
        <x:is>
          <x:t xml:space="preserve"/>
        </x:is>
      </x:c>
    </x:row>
    <x:row r="462" s="37" customFormat="1" ht="29.850000381469727" customHeight="1">
      <x:c r="A462" s="55" t="inlineStr">
        <x:is>
          <x:t xml:space="preserve">NEG-0461</x:t>
        </x:is>
      </x:c>
      <x:c r="B462" s="55" t="inlineStr">
        <x:is>
          <x:t xml:space="preserve">v3</x:t>
        </x:is>
      </x:c>
      <x:c r="C462" s="56" t="inlineStr">
        <x:is>
          <x:t xml:space="preserve">九、假触发词（形似而非）</x:t>
        </x:is>
      </x:c>
      <x:c r="D462" s="56" t="inlineStr">
        <x:is>
          <x:t xml:space="preserve">9.2 机械电气与器件</x:t>
        </x:is>
      </x:c>
      <x:c r="E462" s="56" t="inlineStr">
        <x:is>
          <x:t xml:space="preserve">工程与技术</x:t>
        </x:is>
      </x:c>
      <x:c r="F462" s="56" t="inlineStr">
        <x:is>
          <x:t xml:space="preserve">采购单</x:t>
        </x:is>
      </x:c>
      <x:c r="G462" s="55" t="inlineStr">
        <x:is>
          <x:t xml:space="preserve">结构化文本</x:t>
        </x:is>
      </x:c>
      <x:c r="H462" s="55" t="str">
        <x:f>IF(LEN(I462)&lt;15,"短",IF(LEN(I462)&lt;=45,"中","长"))</x:f>
        <x:v>短</x:v>
      </x:c>
      <x:c r="I462" s="56" t="inlineStr">
        <x:is>
          <x:t xml:space="preserve">公头×2 母头×2</x:t>
        </x:is>
      </x:c>
      <x:c r="J462" s="56" t="str">
        <x:f>I462</x:f>
        <x:v>公头×2 母头×2</x:v>
      </x:c>
      <x:c r="K462" s="55" t="inlineStr">
        <x:is>
          <x:t xml:space="preserve">无需改写</x:t>
        </x:is>
      </x:c>
      <x:c r="L462" s="56" t="inlineStr">
        <x:is>
          <x:t xml:space="preserve">公头/母头</x:t>
        </x:is>
      </x:c>
      <x:c r="M462" s="56" t="inlineStr">
        <x:is>
          <x:t xml:space="preserve">规格字段</x:t>
        </x:is>
      </x:c>
      <x:c r="N462" s="56" t="inlineStr">
        <x:is>
          <x:t xml:space="preserve">接头×4</x:t>
        </x:is>
      </x:c>
      <x:c r="O462" s="55" t="inlineStr">
        <x:is>
          <x:t xml:space="preserve">中</x:t>
        </x:is>
      </x:c>
      <x:c r="P462" s="55" t="inlineStr">
        <x:is>
          <x:t xml:space="preserve">否</x:t>
        </x:is>
      </x:c>
      <x:c r="Q462" s="56" t="n"/>
      <x:c r="R462" s="57" t="inlineStr">
        <x:is>
          <x:t xml:space="preserve">主集</x:t>
        </x:is>
      </x:c>
      <x:c r="S462" s="57" t="inlineStr">
        <x:is>
          <x:t xml:space="preserve">index</x:t>
        </x:is>
      </x:c>
      <x:c r="T462" s="57" t="inlineStr">
        <x:is>
          <x:t xml:space="preserve"/>
        </x:is>
      </x:c>
    </x:row>
    <x:row r="463" s="37" customFormat="1" ht="29.850000381469727" customHeight="1">
      <x:c r="A463" s="55" t="inlineStr">
        <x:is>
          <x:t xml:space="preserve">NEG-0462</x:t>
        </x:is>
      </x:c>
      <x:c r="B463" s="55" t="inlineStr">
        <x:is>
          <x:t xml:space="preserve">v3</x:t>
        </x:is>
      </x:c>
      <x:c r="C463" s="56" t="inlineStr">
        <x:is>
          <x:t xml:space="preserve">九、假触发词（形似而非）</x:t>
        </x:is>
      </x:c>
      <x:c r="D463" s="56" t="inlineStr">
        <x:is>
          <x:t xml:space="preserve">9.3 生物农业与育种</x:t>
        </x:is>
      </x:c>
      <x:c r="E463" s="56" t="inlineStr">
        <x:is>
          <x:t xml:space="preserve">工程与技术</x:t>
        </x:is>
      </x:c>
      <x:c r="F463" s="56" t="inlineStr">
        <x:is>
          <x:t xml:space="preserve">育种记录</x:t>
        </x:is>
      </x:c>
      <x:c r="G463" s="55" t="inlineStr">
        <x:is>
          <x:t xml:space="preserve">结构化文本</x:t>
        </x:is>
      </x:c>
      <x:c r="H463" s="55" t="str">
        <x:f>IF(LEN(I463)&lt;15,"短",IF(LEN(I463)&lt;=45,"中","长"))</x:f>
        <x:v>短</x:v>
      </x:c>
      <x:c r="I463" s="56" t="inlineStr">
        <x:is>
          <x:t xml:space="preserve">父本：郑单958</x:t>
        </x:is>
      </x:c>
      <x:c r="J463" s="56" t="str">
        <x:f>I463</x:f>
        <x:v>父本：郑单958</x:v>
      </x:c>
      <x:c r="K463" s="55" t="inlineStr">
        <x:is>
          <x:t xml:space="preserve">无需改写</x:t>
        </x:is>
      </x:c>
      <x:c r="L463" s="56" t="inlineStr">
        <x:is>
          <x:t xml:space="preserve">父本</x:t>
        </x:is>
      </x:c>
      <x:c r="M463" s="56" t="inlineStr">
        <x:is>
          <x:t xml:space="preserve">育种字段</x:t>
        </x:is>
      </x:c>
      <x:c r="N463" s="56" t="inlineStr">
        <x:is>
          <x:t xml:space="preserve">亲本一：郑单958</x:t>
        </x:is>
      </x:c>
      <x:c r="O463" s="55" t="inlineStr">
        <x:is>
          <x:t xml:space="preserve">中</x:t>
        </x:is>
      </x:c>
      <x:c r="P463" s="55" t="inlineStr">
        <x:is>
          <x:t xml:space="preserve">否</x:t>
        </x:is>
      </x:c>
      <x:c r="Q463" s="56" t="n"/>
      <x:c r="R463" s="57" t="inlineStr">
        <x:is>
          <x:t xml:space="preserve">主集</x:t>
        </x:is>
      </x:c>
      <x:c r="S463" s="57" t="inlineStr">
        <x:is>
          <x:t xml:space="preserve">index</x:t>
        </x:is>
      </x:c>
      <x:c r="T463" s="57" t="inlineStr">
        <x:is>
          <x:t xml:space="preserve"/>
        </x:is>
      </x:c>
    </x:row>
    <x:row r="464" s="37" customFormat="1" ht="29.850000381469727" customHeight="1">
      <x:c r="A464" s="55" t="inlineStr">
        <x:is>
          <x:t xml:space="preserve">NEG-0463</x:t>
        </x:is>
      </x:c>
      <x:c r="B464" s="55" t="inlineStr">
        <x:is>
          <x:t xml:space="preserve">v3</x:t>
        </x:is>
      </x:c>
      <x:c r="C464" s="56" t="inlineStr">
        <x:is>
          <x:t xml:space="preserve">九、假触发词（形似而非）</x:t>
        </x:is>
      </x:c>
      <x:c r="D464" s="56" t="inlineStr">
        <x:is>
          <x:t xml:space="preserve">9.4 计算机与数学</x:t>
        </x:is>
      </x:c>
      <x:c r="E464" s="56" t="inlineStr">
        <x:is>
          <x:t xml:space="preserve">工程与技术</x:t>
        </x:is>
      </x:c>
      <x:c r="F464" s="56" t="inlineStr">
        <x:is>
          <x:t xml:space="preserve">代码片段</x:t>
        </x:is>
      </x:c>
      <x:c r="G464" s="55" t="inlineStr">
        <x:is>
          <x:t xml:space="preserve">结构化文本</x:t>
        </x:is>
      </x:c>
      <x:c r="H464" s="55" t="str">
        <x:f>IF(LEN(I464)&lt;15,"短",IF(LEN(I464)&lt;=45,"中","长"))</x:f>
        <x:v>中</x:v>
      </x:c>
      <x:c r="I464" s="56" t="inlineStr">
        <x:is>
          <x:t xml:space="preserve">class Dog(父类Animal)</x:t>
        </x:is>
      </x:c>
      <x:c r="J464" s="56" t="str">
        <x:f>I464</x:f>
        <x:v>class Dog(父类Animal)</x:v>
      </x:c>
      <x:c r="K464" s="55" t="inlineStr">
        <x:is>
          <x:t xml:space="preserve">无需改写</x:t>
        </x:is>
      </x:c>
      <x:c r="L464" s="56" t="inlineStr">
        <x:is>
          <x:t xml:space="preserve">父类</x:t>
        </x:is>
      </x:c>
      <x:c r="M464" s="56" t="inlineStr">
        <x:is>
          <x:t xml:space="preserve">代码注释</x:t>
        </x:is>
      </x:c>
      <x:c r="N464" s="56" t="inlineStr">
        <x:is>
          <x:t xml:space="preserve">class Dog(基类Animal)</x:t>
        </x:is>
      </x:c>
      <x:c r="O464" s="55" t="inlineStr">
        <x:is>
          <x:t xml:space="preserve">中</x:t>
        </x:is>
      </x:c>
      <x:c r="P464" s="55" t="inlineStr">
        <x:is>
          <x:t xml:space="preserve">否</x:t>
        </x:is>
      </x:c>
      <x:c r="Q464" s="56" t="n"/>
      <x:c r="R464" s="57" t="inlineStr">
        <x:is>
          <x:t xml:space="preserve">主集</x:t>
        </x:is>
      </x:c>
      <x:c r="S464" s="57" t="inlineStr">
        <x:is>
          <x:t xml:space="preserve">test</x:t>
        </x:is>
      </x:c>
      <x:c r="T464" s="57" t="inlineStr">
        <x:is>
          <x:t xml:space="preserve"/>
        </x:is>
      </x:c>
    </x:row>
    <x:row r="465" s="37" customFormat="1" ht="29.850000381469727" customHeight="1">
      <x:c r="A465" s="58" t="inlineStr">
        <x:is>
          <x:t xml:space="preserve">NEG-0464</x:t>
        </x:is>
      </x:c>
      <x:c r="B465" s="58" t="inlineStr">
        <x:is>
          <x:t xml:space="preserve">v3</x:t>
        </x:is>
      </x:c>
      <x:c r="C465" s="59" t="inlineStr">
        <x:is>
          <x:t xml:space="preserve">九、假触发词（形似而非）</x:t>
        </x:is>
      </x:c>
      <x:c r="D465" s="59" t="inlineStr">
        <x:is>
          <x:t xml:space="preserve">9.4 计算机与数学</x:t>
        </x:is>
      </x:c>
      <x:c r="E465" s="59" t="inlineStr">
        <x:is>
          <x:t xml:space="preserve">工程与技术</x:t>
        </x:is>
      </x:c>
      <x:c r="F465" s="59" t="inlineStr">
        <x:is>
          <x:t xml:space="preserve">命令行</x:t>
        </x:is>
      </x:c>
      <x:c r="G465" s="58" t="inlineStr">
        <x:is>
          <x:t xml:space="preserve">结构化文本</x:t>
        </x:is>
      </x:c>
      <x:c r="H465" s="58" t="str">
        <x:f>IF(LEN(I465)&lt;15,"短",IF(LEN(I465)&lt;=45,"中","长"))</x:f>
        <x:v>中</x:v>
      </x:c>
      <x:c r="I465" s="59" t="inlineStr">
        <x:is>
          <x:t xml:space="preserve">git branch -m master main</x:t>
        </x:is>
      </x:c>
      <x:c r="J465" s="59" t="str">
        <x:f>I465</x:f>
        <x:v>git branch -m master main</x:v>
      </x:c>
      <x:c r="K465" s="58" t="inlineStr">
        <x:is>
          <x:t xml:space="preserve">无需改写</x:t>
        </x:is>
      </x:c>
      <x:c r="L465" s="59" t="inlineStr">
        <x:is>
          <x:t xml:space="preserve">master</x:t>
        </x:is>
      </x:c>
      <x:c r="M465" s="59" t="inlineStr">
        <x:is>
          <x:t xml:space="preserve">命令原文，改动会导致命令失效</x:t>
        </x:is>
      </x:c>
      <x:c r="N465" s="59" t="inlineStr">
        <x:is>
          <x:t xml:space="preserve">git branch -m 主分支 main</x:t>
        </x:is>
      </x:c>
      <x:c r="O465" s="58" t="inlineStr">
        <x:is>
          <x:t xml:space="preserve">中</x:t>
        </x:is>
      </x:c>
      <x:c r="P465" s="58" t="inlineStr">
        <x:is>
          <x:t xml:space="preserve">否</x:t>
        </x:is>
      </x:c>
      <x:c r="Q465" s="59" t="inlineStr">
        <x:is>
          <x:t xml:space="preserve">命令行文本属高危误改点</x:t>
        </x:is>
      </x:c>
      <x:c r="R465" s="60" t="inlineStr">
        <x:is>
          <x:t xml:space="preserve">隔离·待确认</x:t>
        </x:is>
      </x:c>
      <x:c r="S465" s="60" t="inlineStr">
        <x:is>
          <x:t xml:space="preserve"/>
        </x:is>
      </x:c>
      <x:c r="T465" s="60" t="inlineStr">
        <x:is>
          <x:t xml:space="preserve">触发词不含性别编码——判断可能依赖世界知识而非句内信息</x:t>
        </x:is>
      </x:c>
    </x:row>
    <x:row r="466" s="37" customFormat="1" ht="29.850000381469727" customHeight="1">
      <x:c r="A466" s="55" t="inlineStr">
        <x:is>
          <x:t xml:space="preserve">NEG-0465</x:t>
        </x:is>
      </x:c>
      <x:c r="B466" s="55" t="inlineStr">
        <x:is>
          <x:t xml:space="preserve">v3</x:t>
        </x:is>
      </x:c>
      <x:c r="C466" s="56" t="inlineStr">
        <x:is>
          <x:t xml:space="preserve">九、假触发词（形似而非）</x:t>
        </x:is>
      </x:c>
      <x:c r="D466" s="56" t="inlineStr">
        <x:is>
          <x:t xml:space="preserve">9.5 组织与商业术语</x:t>
        </x:is>
      </x:c>
      <x:c r="E466" s="56" t="inlineStr">
        <x:is>
          <x:t xml:space="preserve">工程与技术</x:t>
        </x:is>
      </x:c>
      <x:c r="F466" s="56" t="inlineStr">
        <x:is>
          <x:t xml:space="preserve">文件名</x:t>
        </x:is>
      </x:c>
      <x:c r="G466" s="55" t="inlineStr">
        <x:is>
          <x:t xml:space="preserve">结构化文本</x:t>
        </x:is>
      </x:c>
      <x:c r="H466" s="55" t="str">
        <x:f>IF(LEN(I466)&lt;15,"短",IF(LEN(I466)&lt;=45,"中","长"))</x:f>
        <x:v>中</x:v>
      </x:c>
      <x:c r="I466" s="56" t="inlineStr">
        <x:is>
          <x:t xml:space="preserve">母带_v3_final.wav</x:t>
        </x:is>
      </x:c>
      <x:c r="J466" s="56" t="str">
        <x:f>I466</x:f>
        <x:v>母带_v3_final.wav</x:v>
      </x:c>
      <x:c r="K466" s="55" t="inlineStr">
        <x:is>
          <x:t xml:space="preserve">无需改写</x:t>
        </x:is>
      </x:c>
      <x:c r="L466" s="56" t="inlineStr">
        <x:is>
          <x:t xml:space="preserve">母带</x:t>
        </x:is>
      </x:c>
      <x:c r="M466" s="56" t="inlineStr">
        <x:is>
          <x:t xml:space="preserve">文件名</x:t>
        </x:is>
      </x:c>
      <x:c r="N466" s="56" t="inlineStr">
        <x:is>
          <x:t xml:space="preserve">原始音轨_v3_final.wav</x:t>
        </x:is>
      </x:c>
      <x:c r="O466" s="55" t="inlineStr">
        <x:is>
          <x:t xml:space="preserve">中</x:t>
        </x:is>
      </x:c>
      <x:c r="P466" s="55" t="inlineStr">
        <x:is>
          <x:t xml:space="preserve">否</x:t>
        </x:is>
      </x:c>
      <x:c r="Q466" s="56" t="inlineStr">
        <x:is>
          <x:t xml:space="preserve">改文件名会导致引用失效</x:t>
        </x:is>
      </x:c>
      <x:c r="R466" s="57" t="inlineStr">
        <x:is>
          <x:t xml:space="preserve">主集</x:t>
        </x:is>
      </x:c>
      <x:c r="S466" s="57" t="inlineStr">
        <x:is>
          <x:t xml:space="preserve">dev</x:t>
        </x:is>
      </x:c>
      <x:c r="T466" s="57" t="inlineStr">
        <x:is>
          <x:t xml:space="preserve"/>
        </x:is>
      </x:c>
    </x:row>
    <x:row r="467" s="37" customFormat="1" ht="29.850000381469727" customHeight="1">
      <x:c r="A467" s="55" t="inlineStr">
        <x:is>
          <x:t xml:space="preserve">NEG-0466</x:t>
        </x:is>
      </x:c>
      <x:c r="B467" s="55" t="inlineStr">
        <x:is>
          <x:t xml:space="preserve">v3</x:t>
        </x:is>
      </x:c>
      <x:c r="C467" s="56" t="inlineStr">
        <x:is>
          <x:t xml:space="preserve">九、假触发词（形似而非）</x:t>
        </x:is>
      </x:c>
      <x:c r="D467" s="56" t="inlineStr">
        <x:is>
          <x:t xml:space="preserve">9.5 组织与商业术语</x:t>
        </x:is>
      </x:c>
      <x:c r="E467" s="56" t="inlineStr">
        <x:is>
          <x:t xml:space="preserve">商业与产品</x:t>
        </x:is>
      </x:c>
      <x:c r="F467" s="56" t="inlineStr">
        <x:is>
          <x:t xml:space="preserve">工商信息</x:t>
        </x:is>
      </x:c>
      <x:c r="G467" s="55" t="inlineStr">
        <x:is>
          <x:t xml:space="preserve">结构化文本</x:t>
        </x:is>
      </x:c>
      <x:c r="H467" s="55" t="str">
        <x:f>IF(LEN(I467)&lt;15,"短",IF(LEN(I467)&lt;=45,"中","长"))</x:f>
        <x:v>短</x:v>
      </x:c>
      <x:c r="I467" s="56" t="inlineStr">
        <x:is>
          <x:t xml:space="preserve">母公司：XX控股集团</x:t>
        </x:is>
      </x:c>
      <x:c r="J467" s="56" t="str">
        <x:f>I467</x:f>
        <x:v>母公司：XX控股集团</x:v>
      </x:c>
      <x:c r="K467" s="55" t="inlineStr">
        <x:is>
          <x:t xml:space="preserve">无需改写</x:t>
        </x:is>
      </x:c>
      <x:c r="L467" s="56" t="inlineStr">
        <x:is>
          <x:t xml:space="preserve">母公司</x:t>
        </x:is>
      </x:c>
      <x:c r="M467" s="56" t="inlineStr">
        <x:is>
          <x:t xml:space="preserve">工商字段</x:t>
        </x:is>
      </x:c>
      <x:c r="N467" s="56" t="inlineStr">
        <x:is>
          <x:t xml:space="preserve">控股方：XX控股集团</x:t>
        </x:is>
      </x:c>
      <x:c r="O467" s="55" t="inlineStr">
        <x:is>
          <x:t xml:space="preserve">中</x:t>
        </x:is>
      </x:c>
      <x:c r="P467" s="55" t="inlineStr">
        <x:is>
          <x:t xml:space="preserve">否</x:t>
        </x:is>
      </x:c>
      <x:c r="Q467" s="56" t="n"/>
      <x:c r="R467" s="57" t="inlineStr">
        <x:is>
          <x:t xml:space="preserve">主集</x:t>
        </x:is>
      </x:c>
      <x:c r="S467" s="57" t="inlineStr">
        <x:is>
          <x:t xml:space="preserve">dev</x:t>
        </x:is>
      </x:c>
      <x:c r="T467" s="57" t="inlineStr">
        <x:is>
          <x:t xml:space="preserve"/>
        </x:is>
      </x:c>
    </x:row>
    <x:row r="468" s="37" customFormat="1" ht="29.850000381469727" customHeight="1">
      <x:c r="A468" s="55" t="inlineStr">
        <x:is>
          <x:t xml:space="preserve">NEG-0467</x:t>
        </x:is>
      </x:c>
      <x:c r="B468" s="55" t="inlineStr">
        <x:is>
          <x:t xml:space="preserve">v3</x:t>
        </x:is>
      </x:c>
      <x:c r="C468" s="56" t="inlineStr">
        <x:is>
          <x:t xml:space="preserve">九、假触发词（形似而非）</x:t>
        </x:is>
      </x:c>
      <x:c r="D468" s="56" t="inlineStr">
        <x:is>
          <x:t xml:space="preserve">9.5 组织与商业术语</x:t>
        </x:is>
      </x:c>
      <x:c r="E468" s="56" t="inlineStr">
        <x:is>
          <x:t xml:space="preserve">商业与产品</x:t>
        </x:is>
      </x:c>
      <x:c r="F468" s="56" t="inlineStr">
        <x:is>
          <x:t xml:space="preserve">校友活动</x:t>
        </x:is>
      </x:c>
      <x:c r="G468" s="55" t="inlineStr">
        <x:is>
          <x:t xml:space="preserve">缩略</x:t>
        </x:is>
      </x:c>
      <x:c r="H468" s="55" t="str">
        <x:f>IF(LEN(I468)&lt;15,"短",IF(LEN(I468)&lt;=45,"中","长"))</x:f>
        <x:v>短</x:v>
      </x:c>
      <x:c r="I468" s="56" t="inlineStr">
        <x:is>
          <x:t xml:space="preserve">母校校庆 30 周年</x:t>
        </x:is>
      </x:c>
      <x:c r="J468" s="56" t="str">
        <x:f>I468</x:f>
        <x:v>母校校庆 30 周年</x:v>
      </x:c>
      <x:c r="K468" s="55" t="inlineStr">
        <x:is>
          <x:t xml:space="preserve">无需改写</x:t>
        </x:is>
      </x:c>
      <x:c r="L468" s="56" t="inlineStr">
        <x:is>
          <x:t xml:space="preserve">母校</x:t>
        </x:is>
      </x:c>
      <x:c r="M468" s="56" t="inlineStr">
        <x:is>
          <x:t xml:space="preserve">活动名称</x:t>
        </x:is>
      </x:c>
      <x:c r="N468" s="56" t="inlineStr">
        <x:is>
          <x:t xml:space="preserve">学校校庆 30 周年</x:t>
        </x:is>
      </x:c>
      <x:c r="O468" s="55" t="inlineStr">
        <x:is>
          <x:t xml:space="preserve">易</x:t>
        </x:is>
      </x:c>
      <x:c r="P468" s="55" t="inlineStr">
        <x:is>
          <x:t xml:space="preserve">否</x:t>
        </x:is>
      </x:c>
      <x:c r="Q468" s="56" t="n"/>
      <x:c r="R468" s="57" t="inlineStr">
        <x:is>
          <x:t xml:space="preserve">主集</x:t>
        </x:is>
      </x:c>
      <x:c r="S468" s="57" t="inlineStr">
        <x:is>
          <x:t xml:space="preserve">index</x:t>
        </x:is>
      </x:c>
      <x:c r="T468" s="57" t="inlineStr">
        <x:is>
          <x:t xml:space="preserve"/>
        </x:is>
      </x:c>
    </x:row>
    <x:row r="469" s="37" customFormat="1" ht="29.850000381469727" customHeight="1">
      <x:c r="A469" s="55" t="inlineStr">
        <x:is>
          <x:t xml:space="preserve">NEG-0468</x:t>
        </x:is>
      </x:c>
      <x:c r="B469" s="55" t="inlineStr">
        <x:is>
          <x:t xml:space="preserve">v3</x:t>
        </x:is>
      </x:c>
      <x:c r="C469" s="56" t="inlineStr">
        <x:is>
          <x:t xml:space="preserve">九、假触发词（形似而非）</x:t>
        </x:is>
      </x:c>
      <x:c r="D469" s="56" t="inlineStr">
        <x:is>
          <x:t xml:space="preserve">9.7 专名、地名与商标</x:t>
        </x:is>
      </x:c>
      <x:c r="E469" s="56" t="inlineStr">
        <x:is>
          <x:t xml:space="preserve">工程与技术</x:t>
        </x:is>
      </x:c>
      <x:c r="F469" s="56" t="inlineStr">
        <x:is>
          <x:t xml:space="preserve">车站牌</x:t>
        </x:is>
      </x:c>
      <x:c r="G469" s="55" t="inlineStr">
        <x:is>
          <x:t xml:space="preserve">缩略</x:t>
        </x:is>
      </x:c>
      <x:c r="H469" s="55" t="str">
        <x:f>IF(LEN(I469)&lt;15,"短",IF(LEN(I469)&lt;=45,"中","长"))</x:f>
        <x:v>短</x:v>
      </x:c>
      <x:c r="I469" s="56" t="inlineStr">
        <x:is>
          <x:t xml:space="preserve">娘子关站</x:t>
        </x:is>
      </x:c>
      <x:c r="J469" s="56" t="str">
        <x:f>I469</x:f>
        <x:v>娘子关站</x:v>
      </x:c>
      <x:c r="K469" s="55" t="inlineStr">
        <x:is>
          <x:t xml:space="preserve">无需改写</x:t>
        </x:is>
      </x:c>
      <x:c r="L469" s="56" t="inlineStr">
        <x:is>
          <x:t xml:space="preserve">娘子关</x:t>
        </x:is>
      </x:c>
      <x:c r="M469" s="56" t="inlineStr">
        <x:is>
          <x:t xml:space="preserve">站名</x:t>
        </x:is>
      </x:c>
      <x:c r="N469" s="56" t="inlineStr">
        <x:is>
          <x:t xml:space="preserve">关口站</x:t>
        </x:is>
      </x:c>
      <x:c r="O469" s="55" t="inlineStr">
        <x:is>
          <x:t xml:space="preserve">易</x:t>
        </x:is>
      </x:c>
      <x:c r="P469" s="55" t="inlineStr">
        <x:is>
          <x:t xml:space="preserve">否</x:t>
        </x:is>
      </x:c>
      <x:c r="Q469" s="56" t="n"/>
      <x:c r="R469" s="57" t="inlineStr">
        <x:is>
          <x:t xml:space="preserve">主集</x:t>
        </x:is>
      </x:c>
      <x:c r="S469" s="57" t="inlineStr">
        <x:is>
          <x:t xml:space="preserve">dev</x:t>
        </x:is>
      </x:c>
      <x:c r="T469" s="57" t="inlineStr">
        <x:is>
          <x:t xml:space="preserve"/>
        </x:is>
      </x:c>
    </x:row>
    <x:row r="470" s="37" customFormat="1" ht="29.850000381469727" customHeight="1">
      <x:c r="A470" s="58" t="inlineStr">
        <x:is>
          <x:t xml:space="preserve">NEG-0469</x:t>
        </x:is>
      </x:c>
      <x:c r="B470" s="58" t="inlineStr">
        <x:is>
          <x:t xml:space="preserve">v3</x:t>
        </x:is>
      </x:c>
      <x:c r="C470" s="59" t="inlineStr">
        <x:is>
          <x:t xml:space="preserve">九、假触发词（形似而非）</x:t>
        </x:is>
      </x:c>
      <x:c r="D470" s="59" t="inlineStr">
        <x:is>
          <x:t xml:space="preserve">9.8 度量衡与其他引申</x:t>
        </x:is>
      </x:c>
      <x:c r="E470" s="59" t="inlineStr">
        <x:is>
          <x:t xml:space="preserve">工程与技术</x:t>
        </x:is>
      </x:c>
      <x:c r="F470" s="59" t="inlineStr">
        <x:is>
          <x:t xml:space="preserve">仪表读数</x:t>
        </x:is>
      </x:c>
      <x:c r="G470" s="58" t="inlineStr">
        <x:is>
          <x:t xml:space="preserve">缩略</x:t>
        </x:is>
      </x:c>
      <x:c r="H470" s="58" t="str">
        <x:f>IF(LEN(I470)&lt;15,"短",IF(LEN(I470)&lt;=45,"中","长"))</x:f>
        <x:v>短</x:v>
      </x:c>
      <x:c r="I470" s="59" t="inlineStr">
        <x:is>
          <x:t xml:space="preserve">120 公里/小时</x:t>
        </x:is>
      </x:c>
      <x:c r="J470" s="59" t="str">
        <x:f>I470</x:f>
        <x:v>120 公里/小时</x:v>
      </x:c>
      <x:c r="K470" s="58" t="inlineStr">
        <x:is>
          <x:t xml:space="preserve">无需改写</x:t>
        </x:is>
      </x:c>
      <x:c r="L470" s="59" t="inlineStr">
        <x:is>
          <x:t xml:space="preserve">公里</x:t>
        </x:is>
      </x:c>
      <x:c r="M470" s="59" t="inlineStr">
        <x:is>
          <x:t xml:space="preserve">计量单位</x:t>
        </x:is>
      </x:c>
      <x:c r="N470" s="59" t="inlineStr">
        <x:is>
          <x:t xml:space="preserve">120 千米/小时</x:t>
        </x:is>
      </x:c>
      <x:c r="O470" s="58" t="inlineStr">
        <x:is>
          <x:t xml:space="preserve">易</x:t>
        </x:is>
      </x:c>
      <x:c r="P470" s="58" t="inlineStr">
        <x:is>
          <x:t xml:space="preserve">否</x:t>
        </x:is>
      </x:c>
      <x:c r="Q470" s="59" t="n"/>
      <x:c r="R470" s="60" t="inlineStr">
        <x:is>
          <x:t xml:space="preserve">隔离·待确认</x:t>
        </x:is>
      </x:c>
      <x:c r="S470" s="60" t="inlineStr">
        <x:is>
          <x:t xml:space="preserve"/>
        </x:is>
      </x:c>
      <x:c r="T470" s="60" t="inlineStr">
        <x:is>
          <x:t xml:space="preserve">触发词不含性别编码——判断可能依赖世界知识而非句内信息</x:t>
        </x:is>
      </x:c>
    </x:row>
    <x:row r="471" s="37" customFormat="1" ht="29.850000381469727" customHeight="1">
      <x:c r="A471" s="58" t="inlineStr">
        <x:is>
          <x:t xml:space="preserve">NEG-0470</x:t>
        </x:is>
      </x:c>
      <x:c r="B471" s="58" t="inlineStr">
        <x:is>
          <x:t xml:space="preserve">v3</x:t>
        </x:is>
      </x:c>
      <x:c r="C471" s="59" t="inlineStr">
        <x:is>
          <x:t xml:space="preserve">九、假触发词（形似而非）</x:t>
        </x:is>
      </x:c>
      <x:c r="D471" s="59" t="inlineStr">
        <x:is>
          <x:t xml:space="preserve">9.2 机械电气与器件</x:t>
        </x:is>
      </x:c>
      <x:c r="E471" s="59" t="inlineStr">
        <x:is>
          <x:t xml:space="preserve">工程与技术</x:t>
        </x:is>
      </x:c>
      <x:c r="F471" s="59" t="inlineStr">
        <x:is>
          <x:t xml:space="preserve">工单条</x:t>
        </x:is>
      </x:c>
      <x:c r="G471" s="58" t="inlineStr">
        <x:is>
          <x:t xml:space="preserve">缩略</x:t>
        </x:is>
      </x:c>
      <x:c r="H471" s="58" t="str">
        <x:f>IF(LEN(I471)&lt;15,"短",IF(LEN(I471)&lt;=45,"中","长"))</x:f>
        <x:v>短</x:v>
      </x:c>
      <x:c r="I471" s="59" t="inlineStr">
        <x:is>
          <x:t xml:space="preserve">阴极保护 待检</x:t>
        </x:is>
      </x:c>
      <x:c r="J471" s="59" t="str">
        <x:f>I471</x:f>
        <x:v>阴极保护 待检</x:v>
      </x:c>
      <x:c r="K471" s="58" t="inlineStr">
        <x:is>
          <x:t xml:space="preserve">无需改写</x:t>
        </x:is>
      </x:c>
      <x:c r="L471" s="59" t="inlineStr">
        <x:is>
          <x:t xml:space="preserve">阴极</x:t>
        </x:is>
      </x:c>
      <x:c r="M471" s="59" t="inlineStr">
        <x:is>
          <x:t xml:space="preserve">项目名称</x:t>
        </x:is>
      </x:c>
      <x:c r="N471" s="59" t="inlineStr">
        <x:is>
          <x:t xml:space="preserve">防腐保护 待检</x:t>
        </x:is>
      </x:c>
      <x:c r="O471" s="58" t="inlineStr">
        <x:is>
          <x:t xml:space="preserve">易</x:t>
        </x:is>
      </x:c>
      <x:c r="P471" s="58" t="inlineStr">
        <x:is>
          <x:t xml:space="preserve">否</x:t>
        </x:is>
      </x:c>
      <x:c r="Q471" s="59" t="n"/>
      <x:c r="R471" s="60" t="inlineStr">
        <x:is>
          <x:t xml:space="preserve">隔离·待确认</x:t>
        </x:is>
      </x:c>
      <x:c r="S471" s="60" t="inlineStr">
        <x:is>
          <x:t xml:space="preserve"/>
        </x:is>
      </x:c>
      <x:c r="T471" s="60" t="inlineStr">
        <x:is>
          <x:t xml:space="preserve">触发词不含性别编码——判断可能依赖世界知识而非句内信息</x:t>
        </x:is>
      </x:c>
    </x:row>
    <x:row r="472" s="37" customFormat="1" ht="29.850000381469727" customHeight="1">
      <x:c r="A472" s="55" t="inlineStr">
        <x:is>
          <x:t xml:space="preserve">NEG-0471</x:t>
        </x:is>
      </x:c>
      <x:c r="B472" s="55" t="inlineStr">
        <x:is>
          <x:t xml:space="preserve">v3</x:t>
        </x:is>
      </x:c>
      <x:c r="C472" s="56" t="inlineStr">
        <x:is>
          <x:t xml:space="preserve">九、假触发词（形似而非）</x:t>
        </x:is>
      </x:c>
      <x:c r="D472" s="56" t="inlineStr">
        <x:is>
          <x:t xml:space="preserve">9.3 生物农业与育种</x:t>
        </x:is>
      </x:c>
      <x:c r="E472" s="56" t="inlineStr">
        <x:is>
          <x:t xml:space="preserve">工程与技术</x:t>
        </x:is>
      </x:c>
      <x:c r="F472" s="56" t="inlineStr">
        <x:is>
          <x:t xml:space="preserve">标本签</x:t>
        </x:is>
      </x:c>
      <x:c r="G472" s="55" t="inlineStr">
        <x:is>
          <x:t xml:space="preserve">缩略</x:t>
        </x:is>
      </x:c>
      <x:c r="H472" s="55" t="str">
        <x:f>IF(LEN(I472)&lt;15,"短",IF(LEN(I472)&lt;=45,"中","长"))</x:f>
        <x:v>短</x:v>
      </x:c>
      <x:c r="I472" s="56" t="inlineStr">
        <x:is>
          <x:t xml:space="preserve">雌雄异株 · 银杏</x:t>
        </x:is>
      </x:c>
      <x:c r="J472" s="56" t="str">
        <x:f>I472</x:f>
        <x:v>雌雄异株 · 银杏</x:v>
      </x:c>
      <x:c r="K472" s="55" t="inlineStr">
        <x:is>
          <x:t xml:space="preserve">无需改写</x:t>
        </x:is>
      </x:c>
      <x:c r="L472" s="56" t="inlineStr">
        <x:is>
          <x:t xml:space="preserve">雌雄异株</x:t>
        </x:is>
      </x:c>
      <x:c r="M472" s="56" t="inlineStr">
        <x:is>
          <x:t xml:space="preserve">植物学标签</x:t>
        </x:is>
      </x:c>
      <x:c r="N472" s="56" t="inlineStr">
        <x:is>
          <x:t xml:space="preserve">单性花 · 银杏</x:t>
        </x:is>
      </x:c>
      <x:c r="O472" s="55" t="inlineStr">
        <x:is>
          <x:t xml:space="preserve">中</x:t>
        </x:is>
      </x:c>
      <x:c r="P472" s="55" t="inlineStr">
        <x:is>
          <x:t xml:space="preserve">否</x:t>
        </x:is>
      </x:c>
      <x:c r="Q472" s="56" t="n"/>
      <x:c r="R472" s="57" t="inlineStr">
        <x:is>
          <x:t xml:space="preserve">主集</x:t>
        </x:is>
      </x:c>
      <x:c r="S472" s="57" t="inlineStr">
        <x:is>
          <x:t xml:space="preserve">index</x:t>
        </x:is>
      </x:c>
      <x:c r="T472" s="57" t="inlineStr">
        <x:is>
          <x:t xml:space="preserve"/>
        </x:is>
      </x:c>
    </x:row>
    <x:row r="473" s="37" customFormat="1" ht="29.850000381469727" customHeight="1">
      <x:c r="A473" s="55" t="inlineStr">
        <x:is>
          <x:t xml:space="preserve">NEG-0472</x:t>
        </x:is>
      </x:c>
      <x:c r="B473" s="55" t="inlineStr">
        <x:is>
          <x:t xml:space="preserve">v3</x:t>
        </x:is>
      </x:c>
      <x:c r="C473" s="56" t="inlineStr">
        <x:is>
          <x:t xml:space="preserve">九、假触发词（形似而非）</x:t>
        </x:is>
      </x:c>
      <x:c r="D473" s="56" t="inlineStr">
        <x:is>
          <x:t xml:space="preserve">9.6 固定词与成语</x:t>
        </x:is>
      </x:c>
      <x:c r="E473" s="56" t="inlineStr">
        <x:is>
          <x:t xml:space="preserve">商业与产品</x:t>
        </x:is>
      </x:c>
      <x:c r="F473" s="56" t="inlineStr">
        <x:is>
          <x:t xml:space="preserve">海报文案</x:t>
        </x:is>
      </x:c>
      <x:c r="G473" s="55" t="inlineStr">
        <x:is>
          <x:t xml:space="preserve">缩略</x:t>
        </x:is>
      </x:c>
      <x:c r="H473" s="55" t="str">
        <x:f>IF(LEN(I473)&lt;15,"短",IF(LEN(I473)&lt;=45,"中","长"))</x:f>
        <x:v>短</x:v>
      </x:c>
      <x:c r="I473" s="56" t="inlineStr">
        <x:is>
          <x:t xml:space="preserve">导演处女作</x:t>
        </x:is>
      </x:c>
      <x:c r="J473" s="56" t="str">
        <x:f>I473</x:f>
        <x:v>导演处女作</x:v>
      </x:c>
      <x:c r="K473" s="55" t="inlineStr">
        <x:is>
          <x:t xml:space="preserve">无需改写</x:t>
        </x:is>
      </x:c>
      <x:c r="L473" s="56" t="inlineStr">
        <x:is>
          <x:t xml:space="preserve">处女作</x:t>
        </x:is>
      </x:c>
      <x:c r="M473" s="56" t="inlineStr">
        <x:is>
          <x:t xml:space="preserve">宣传固定词</x:t>
        </x:is>
      </x:c>
      <x:c r="N473" s="56" t="inlineStr">
        <x:is>
          <x:t xml:space="preserve">导演首部作品</x:t>
        </x:is>
      </x:c>
      <x:c r="O473" s="55" t="inlineStr">
        <x:is>
          <x:t xml:space="preserve">中</x:t>
        </x:is>
      </x:c>
      <x:c r="P473" s="55" t="inlineStr">
        <x:is>
          <x:t xml:space="preserve">是</x:t>
        </x:is>
      </x:c>
      <x:c r="Q473" s="56" t="n"/>
      <x:c r="R473" s="57" t="inlineStr">
        <x:is>
          <x:t xml:space="preserve">主集</x:t>
        </x:is>
      </x:c>
      <x:c r="S473" s="57" t="inlineStr">
        <x:is>
          <x:t xml:space="preserve">index</x:t>
        </x:is>
      </x:c>
      <x:c r="T473" s="57" t="inlineStr">
        <x:is>
          <x:t xml:space="preserve"/>
        </x:is>
      </x:c>
    </x:row>
    <x:row r="474" s="37" customFormat="1" ht="29.850000381469727" customHeight="1">
      <x:c r="A474" s="58" t="inlineStr">
        <x:is>
          <x:t xml:space="preserve">NEG-0473</x:t>
        </x:is>
      </x:c>
      <x:c r="B474" s="58" t="inlineStr">
        <x:is>
          <x:t xml:space="preserve">v3</x:t>
        </x:is>
      </x:c>
      <x:c r="C474" s="59" t="inlineStr">
        <x:is>
          <x:t xml:space="preserve">九、假触发词（形似而非）</x:t>
        </x:is>
      </x:c>
      <x:c r="D474" s="59" t="inlineStr">
        <x:is>
          <x:t xml:space="preserve">9.4 计算机与数学</x:t>
        </x:is>
      </x:c>
      <x:c r="E474" s="59" t="inlineStr">
        <x:is>
          <x:t xml:space="preserve">工程与技术</x:t>
        </x:is>
      </x:c>
      <x:c r="F474" s="59" t="inlineStr">
        <x:is>
          <x:t xml:space="preserve">文件名</x:t>
        </x:is>
      </x:c>
      <x:c r="G474" s="58" t="inlineStr">
        <x:is>
          <x:t xml:space="preserve">结构化文本</x:t>
        </x:is>
      </x:c>
      <x:c r="H474" s="58" t="str">
        <x:f>IF(LEN(I474)&lt;15,"短",IF(LEN(I474)&lt;=45,"中","长"))</x:f>
        <x:v>中</x:v>
      </x:c>
      <x:c r="I474" s="59" t="inlineStr">
        <x:is>
          <x:t xml:space="preserve">nvsheng_survey_v2.csv</x:t>
        </x:is>
      </x:c>
      <x:c r="J474" s="59" t="str">
        <x:f>I474</x:f>
        <x:v>nvsheng_survey_v2.csv</x:v>
      </x:c>
      <x:c r="K474" s="58" t="inlineStr">
        <x:is>
          <x:t xml:space="preserve">无需改写</x:t>
        </x:is>
      </x:c>
      <x:c r="L474" s="59" t="inlineStr">
        <x:is>
          <x:t xml:space="preserve">nvsheng</x:t>
        </x:is>
      </x:c>
      <x:c r="M474" s="59" t="inlineStr">
        <x:is>
          <x:t xml:space="preserve">文件名中的拼音语素</x:t>
        </x:is>
      </x:c>
      <x:c r="N474" s="59" t="inlineStr">
        <x:is>
          <x:t xml:space="preserve">nvxing_survey_v2.csv</x:t>
        </x:is>
      </x:c>
      <x:c r="O474" s="58" t="inlineStr">
        <x:is>
          <x:t xml:space="preserve">难</x:t>
        </x:is>
      </x:c>
      <x:c r="P474" s="58" t="inlineStr">
        <x:is>
          <x:t xml:space="preserve">否</x:t>
        </x:is>
      </x:c>
      <x:c r="Q474" s="59" t="inlineStr">
        <x:is>
          <x:t xml:space="preserve">拼音形式的性别语素同样是误改高发区</x:t>
        </x:is>
      </x:c>
      <x:c r="R474" s="60" t="inlineStr">
        <x:is>
          <x:t xml:space="preserve">隔离·待确认</x:t>
        </x:is>
      </x:c>
      <x:c r="S474" s="60" t="inlineStr">
        <x:is>
          <x:t xml:space="preserve"/>
        </x:is>
      </x:c>
      <x:c r="T474" s="60" t="inlineStr">
        <x:is>
          <x:t xml:space="preserve">触发词不含性别编码——判断可能依赖世界知识而非句内信息</x:t>
        </x:is>
      </x:c>
    </x:row>
    <x:row r="475" s="37" customFormat="1" ht="29.850000381469727" customHeight="1">
      <x:c r="A475" s="58" t="inlineStr">
        <x:is>
          <x:t xml:space="preserve">NEG-0474</x:t>
        </x:is>
      </x:c>
      <x:c r="B475" s="58" t="inlineStr">
        <x:is>
          <x:t xml:space="preserve">v3</x:t>
        </x:is>
      </x:c>
      <x:c r="C475" s="59" t="inlineStr">
        <x:is>
          <x:t xml:space="preserve">九、假触发词（形似而非）</x:t>
        </x:is>
      </x:c>
      <x:c r="D475" s="59" t="inlineStr">
        <x:is>
          <x:t xml:space="preserve">9.7 专名、地名与商标</x:t>
        </x:is>
      </x:c>
      <x:c r="E475" s="59" t="inlineStr">
        <x:is>
          <x:t xml:space="preserve">工程与技术</x:t>
        </x:is>
      </x:c>
      <x:c r="F475" s="59" t="inlineStr">
        <x:is>
          <x:t xml:space="preserve">URL</x:t>
        </x:is>
      </x:c>
      <x:c r="G475" s="58" t="inlineStr">
        <x:is>
          <x:t xml:space="preserve">结构化文本</x:t>
        </x:is>
      </x:c>
      <x:c r="H475" s="58" t="str">
        <x:f>IF(LEN(I475)&lt;15,"短",IF(LEN(I475)&lt;=45,"中","长"))</x:f>
        <x:v>中</x:v>
      </x:c>
      <x:c r="I475" s="59" t="inlineStr">
        <x:is>
          <x:t xml:space="preserve">/health/women/cervical-screening</x:t>
        </x:is>
      </x:c>
      <x:c r="J475" s="59" t="str">
        <x:f>I475</x:f>
        <x:v>/health/women/cervical-screening</x:v>
      </x:c>
      <x:c r="K475" s="58" t="inlineStr">
        <x:is>
          <x:t xml:space="preserve">无需改写</x:t>
        </x:is>
      </x:c>
      <x:c r="L475" s="59" t="inlineStr">
        <x:is>
          <x:t xml:space="preserve">women</x:t>
        </x:is>
      </x:c>
      <x:c r="M475" s="59" t="inlineStr">
        <x:is>
          <x:t xml:space="preserve">URL 路径，改动会导致 404</x:t>
        </x:is>
      </x:c>
      <x:c r="N475" s="59" t="inlineStr">
        <x:is>
          <x:t xml:space="preserve">/health/people/cervical-screening</x:t>
        </x:is>
      </x:c>
      <x:c r="O475" s="58" t="inlineStr">
        <x:is>
          <x:t xml:space="preserve">难</x:t>
        </x:is>
      </x:c>
      <x:c r="P475" s="58" t="inlineStr">
        <x:is>
          <x:t xml:space="preserve">否</x:t>
        </x:is>
      </x:c>
      <x:c r="Q475" s="59" t="n"/>
      <x:c r="R475" s="60" t="inlineStr">
        <x:is>
          <x:t xml:space="preserve">隔离·待确认</x:t>
        </x:is>
      </x:c>
      <x:c r="S475" s="60" t="inlineStr">
        <x:is>
          <x:t xml:space="preserve"/>
        </x:is>
      </x:c>
      <x:c r="T475" s="60" t="inlineStr">
        <x:is>
          <x:t xml:space="preserve">触发词不含性别编码——判断可能依赖世界知识而非句内信息</x:t>
        </x:is>
      </x:c>
    </x:row>
    <x:row r="476" s="37" customFormat="1" ht="29.850000381469727" customHeight="1">
      <x:c r="A476" s="55" t="inlineStr">
        <x:is>
          <x:t xml:space="preserve">NEG-0475</x:t>
        </x:is>
      </x:c>
      <x:c r="B476" s="55" t="inlineStr">
        <x:is>
          <x:t xml:space="preserve">v3</x:t>
        </x:is>
      </x:c>
      <x:c r="C476" s="56" t="inlineStr">
        <x:is>
          <x:t xml:space="preserve">一、指称已知性别的具体个人</x:t>
        </x:is>
      </x:c>
      <x:c r="D476" s="56" t="inlineStr">
        <x:is>
          <x:t xml:space="preserve">1.4 伴侣与恋爱关系</x:t>
        </x:is>
      </x:c>
      <x:c r="E476" s="56" t="inlineStr">
        <x:is>
          <x:t xml:space="preserve">口语与私人交流</x:t>
        </x:is>
      </x:c>
      <x:c r="F476" s="56" t="inlineStr">
        <x:is>
          <x:t xml:space="preserve">聊天记录</x:t>
        </x:is>
      </x:c>
      <x:c r="G476" s="55" t="inlineStr">
        <x:is>
          <x:t xml:space="preserve">emoji</x:t>
        </x:is>
      </x:c>
      <x:c r="H476" s="55" t="str">
        <x:f>IF(LEN(I476)&lt;15,"短",IF(LEN(I476)&lt;=45,"中","长"))</x:f>
        <x:v>中</x:v>
      </x:c>
      <x:c r="I476" s="56" t="inlineStr">
        <x:is>
          <x:t xml:space="preserve">我女朋友说她马上到🚗 你们先点菜吧！</x:t>
        </x:is>
      </x:c>
      <x:c r="J476" s="56" t="str">
        <x:f>I476</x:f>
        <x:v>我女朋友说她马上到🚗 你们先点菜吧！</x:v>
      </x:c>
      <x:c r="K476" s="55" t="inlineStr">
        <x:is>
          <x:t xml:space="preserve">无需改写</x:t>
        </x:is>
      </x:c>
      <x:c r="L476" s="56" t="inlineStr">
        <x:is>
          <x:t xml:space="preserve">女朋友/她</x:t>
        </x:is>
      </x:c>
      <x:c r="M476" s="56" t="inlineStr">
        <x:is>
          <x:t xml:space="preserve">含表情符号的真实聊天文本</x:t>
        </x:is>
      </x:c>
      <x:c r="N476" s="56" t="inlineStr">
        <x:is>
          <x:t xml:space="preserve">我伴侣说TA马上到🚗 你们先点菜吧</x:t>
        </x:is>
      </x:c>
      <x:c r="O476" s="55" t="inlineStr">
        <x:is>
          <x:t xml:space="preserve">难</x:t>
        </x:is>
      </x:c>
      <x:c r="P476" s="55" t="inlineStr">
        <x:is>
          <x:t xml:space="preserve">否</x:t>
        </x:is>
      </x:c>
      <x:c r="Q476" s="56" t="n"/>
      <x:c r="R476" s="57" t="inlineStr">
        <x:is>
          <x:t xml:space="preserve">主集</x:t>
        </x:is>
      </x:c>
      <x:c r="S476" s="57" t="inlineStr">
        <x:is>
          <x:t xml:space="preserve">test</x:t>
        </x:is>
      </x:c>
      <x:c r="T476" s="57" t="inlineStr">
        <x:is>
          <x:t xml:space="preserve"/>
        </x:is>
      </x:c>
    </x:row>
    <x:row r="477" s="37" customFormat="1" ht="29.850000381469727" customHeight="1">
      <x:c r="A477" s="55" t="inlineStr">
        <x:is>
          <x:t xml:space="preserve">NEG-0476</x:t>
        </x:is>
      </x:c>
      <x:c r="B477" s="55" t="inlineStr">
        <x:is>
          <x:t xml:space="preserve">v3</x:t>
        </x:is>
      </x:c>
      <x:c r="C477" s="56" t="inlineStr">
        <x:is>
          <x:t xml:space="preserve">一、指称已知性别的具体个人</x:t>
        </x:is>
      </x:c>
      <x:c r="D477" s="56" t="inlineStr">
        <x:is>
          <x:t xml:space="preserve">1.3 血亲与姻亲称谓</x:t>
        </x:is>
      </x:c>
      <x:c r="E477" s="56" t="inlineStr">
        <x:is>
          <x:t xml:space="preserve">社交与社区</x:t>
        </x:is>
      </x:c>
      <x:c r="F477" s="56" t="inlineStr">
        <x:is>
          <x:t xml:space="preserve">社交动态</x:t>
        </x:is>
      </x:c>
      <x:c r="G477" s="55" t="inlineStr">
        <x:is>
          <x:t xml:space="preserve">拼音缩写</x:t>
        </x:is>
      </x:c>
      <x:c r="H477" s="55" t="str">
        <x:f>IF(LEN(I477)&lt;15,"短",IF(LEN(I477)&lt;=45,"中","长"))</x:f>
        <x:v>中</x:v>
      </x:c>
      <x:c r="I477" s="56" t="inlineStr">
        <x:is>
          <x:t xml:space="preserve">我妈也太可爱了吧，刚学会发语音就一直发 xswl</x:t>
        </x:is>
      </x:c>
      <x:c r="J477" s="56" t="str">
        <x:f>I477</x:f>
        <x:v>我妈也太可爱了吧，刚学会发语音就一直发 xswl</x:v>
      </x:c>
      <x:c r="K477" s="55" t="inlineStr">
        <x:is>
          <x:t xml:space="preserve">无需改写</x:t>
        </x:is>
      </x:c>
      <x:c r="L477" s="56" t="inlineStr">
        <x:is>
          <x:t xml:space="preserve">我妈</x:t>
        </x:is>
      </x:c>
      <x:c r="M477" s="56" t="inlineStr">
        <x:is>
          <x:t xml:space="preserve">含网络缩写的口语文本</x:t>
        </x:is>
      </x:c>
      <x:c r="N477" s="56" t="inlineStr">
        <x:is>
          <x:t xml:space="preserve">我家长也太可爱了吧</x:t>
        </x:is>
      </x:c>
      <x:c r="O477" s="55" t="inlineStr">
        <x:is>
          <x:t xml:space="preserve">难</x:t>
        </x:is>
      </x:c>
      <x:c r="P477" s="55" t="inlineStr">
        <x:is>
          <x:t xml:space="preserve">否</x:t>
        </x:is>
      </x:c>
      <x:c r="Q477" s="56" t="n"/>
      <x:c r="R477" s="57" t="inlineStr">
        <x:is>
          <x:t xml:space="preserve">主集</x:t>
        </x:is>
      </x:c>
      <x:c r="S477" s="57" t="inlineStr">
        <x:is>
          <x:t xml:space="preserve">dev</x:t>
        </x:is>
      </x:c>
      <x:c r="T477" s="57" t="inlineStr">
        <x:is>
          <x:t xml:space="preserve"/>
        </x:is>
      </x:c>
    </x:row>
    <x:row r="478" s="37" customFormat="1" ht="29.850000381469727" customHeight="1">
      <x:c r="A478" s="55" t="inlineStr">
        <x:is>
          <x:t xml:space="preserve">NEG-0477</x:t>
        </x:is>
      </x:c>
      <x:c r="B478" s="55" t="inlineStr">
        <x:is>
          <x:t xml:space="preserve">v3</x:t>
        </x:is>
      </x:c>
      <x:c r="C478" s="56" t="inlineStr">
        <x:is>
          <x:t xml:space="preserve">一、指称已知性别的具体个人</x:t>
        </x:is>
      </x:c>
      <x:c r="D478" s="56" t="inlineStr">
        <x:is>
          <x:t xml:space="preserve">1.3 血亲与姻亲称谓</x:t>
        </x:is>
      </x:c>
      <x:c r="E478" s="56" t="inlineStr">
        <x:is>
          <x:t xml:space="preserve">社交与社区</x:t>
        </x:is>
      </x:c>
      <x:c r="F478" s="56" t="inlineStr">
        <x:is>
          <x:t xml:space="preserve">社交动态</x:t>
        </x:is>
      </x:c>
      <x:c r="G478" s="55" t="inlineStr">
        <x:is>
          <x:t xml:space="preserve">错别字</x:t>
        </x:is>
      </x:c>
      <x:c r="H478" s="55" t="str">
        <x:f>IF(LEN(I478)&lt;15,"短",IF(LEN(I478)&lt;=45,"中","长"))</x:f>
        <x:v>中</x:v>
      </x:c>
      <x:c r="I478" s="56" t="inlineStr">
        <x:is>
          <x:t xml:space="preserve">我姐夫开了个汽修长生意还行就是最近淡季有点难做</x:t>
        </x:is>
      </x:c>
      <x:c r="J478" s="56" t="str">
        <x:f>I478</x:f>
        <x:v>我姐夫开了个汽修长生意还行就是最近淡季有点难做</x:v>
      </x:c>
      <x:c r="K478" s="55" t="inlineStr">
        <x:is>
          <x:t xml:space="preserve">无需改写</x:t>
        </x:is>
      </x:c>
      <x:c r="L478" s="56" t="inlineStr">
        <x:is>
          <x:t xml:space="preserve">我姐夫</x:t>
        </x:is>
      </x:c>
      <x:c r="M478" s="56" t="inlineStr">
        <x:is>
          <x:t xml:space="preserve">含错别字与缺标点的真实 UGC</x:t>
        </x:is>
      </x:c>
      <x:c r="N478" s="56" t="inlineStr">
        <x:is>
          <x:t xml:space="preserve">我亲戚开了个汽修厂，生意还行</x:t>
        </x:is>
      </x:c>
      <x:c r="O478" s="55" t="inlineStr">
        <x:is>
          <x:t xml:space="preserve">难</x:t>
        </x:is>
      </x:c>
      <x:c r="P478" s="55" t="inlineStr">
        <x:is>
          <x:t xml:space="preserve">否</x:t>
        </x:is>
      </x:c>
      <x:c r="Q478" s="56" t="inlineStr">
        <x:is>
          <x:t xml:space="preserve">错别字不应连带触发性别改写</x:t>
        </x:is>
      </x:c>
      <x:c r="R478" s="57" t="inlineStr">
        <x:is>
          <x:t xml:space="preserve">主集</x:t>
        </x:is>
      </x:c>
      <x:c r="S478" s="57" t="inlineStr">
        <x:is>
          <x:t xml:space="preserve">index</x:t>
        </x:is>
      </x:c>
      <x:c r="T478" s="57" t="inlineStr">
        <x:is>
          <x:t xml:space="preserve"/>
        </x:is>
      </x:c>
    </x:row>
    <x:row r="479" s="37" customFormat="1" ht="29.850000381469727" customHeight="1">
      <x:c r="A479" s="55" t="inlineStr">
        <x:is>
          <x:t xml:space="preserve">NEG-0478</x:t>
        </x:is>
      </x:c>
      <x:c r="B479" s="55" t="inlineStr">
        <x:is>
          <x:t xml:space="preserve">v3</x:t>
        </x:is>
      </x:c>
      <x:c r="C479" s="56" t="inlineStr">
        <x:is>
          <x:t xml:space="preserve">一、指称已知性别的具体个人</x:t>
        </x:is>
      </x:c>
      <x:c r="D479" s="56" t="inlineStr">
        <x:is>
          <x:t xml:space="preserve">1.2 人称代词</x:t>
        </x:is>
      </x:c>
      <x:c r="E479" s="56" t="inlineStr">
        <x:is>
          <x:t xml:space="preserve">工程与技术</x:t>
        </x:is>
      </x:c>
      <x:c r="F479" s="56" t="inlineStr">
        <x:is>
          <x:t xml:space="preserve">语音转写</x:t>
        </x:is>
      </x:c>
      <x:c r="G479" s="55" t="inlineStr">
        <x:is>
          <x:t xml:space="preserve">ASR 转写</x:t>
        </x:is>
      </x:c>
      <x:c r="H479" s="55" t="str">
        <x:f>IF(LEN(I479)&lt;15,"短",IF(LEN(I479)&lt;=45,"中","长"))</x:f>
        <x:v>中</x:v>
      </x:c>
      <x:c r="I479" s="56" t="inlineStr">
        <x:is>
          <x:t xml:space="preserve">患者女五十八岁因反复头晕两周入院她自述近期血压波动较大</x:t>
        </x:is>
      </x:c>
      <x:c r="J479" s="56" t="str">
        <x:f>I479</x:f>
        <x:v>患者女五十八岁因反复头晕两周入院她自述近期血压波动较大</x:v>
      </x:c>
      <x:c r="K479" s="55" t="inlineStr">
        <x:is>
          <x:t xml:space="preserve">无需改写</x:t>
        </x:is>
      </x:c>
      <x:c r="L479" s="56" t="inlineStr">
        <x:is>
          <x:t xml:space="preserve">女/她</x:t>
        </x:is>
      </x:c>
      <x:c r="M479" s="56" t="inlineStr">
        <x:is>
          <x:t xml:space="preserve">语音录入的病历初稿，无标点</x:t>
        </x:is>
      </x:c>
      <x:c r="N479" s="56" t="inlineStr">
        <x:is>
          <x:t xml:space="preserve">患者五十八岁因反复头晕两周入院</x:t>
        </x:is>
      </x:c>
      <x:c r="O479" s="55" t="inlineStr">
        <x:is>
          <x:t xml:space="preserve">难</x:t>
        </x:is>
      </x:c>
      <x:c r="P479" s="55" t="inlineStr">
        <x:is>
          <x:t xml:space="preserve">否</x:t>
        </x:is>
      </x:c>
      <x:c r="Q479" s="56" t="n"/>
      <x:c r="R479" s="57" t="inlineStr">
        <x:is>
          <x:t xml:space="preserve">主集</x:t>
        </x:is>
      </x:c>
      <x:c r="S479" s="57" t="inlineStr">
        <x:is>
          <x:t xml:space="preserve">index</x:t>
        </x:is>
      </x:c>
      <x:c r="T479" s="57" t="inlineStr">
        <x:is>
          <x:t xml:space="preserve"/>
        </x:is>
      </x:c>
    </x:row>
    <x:row r="480" s="37" customFormat="1" ht="29.850000381469727" customHeight="1">
      <x:c r="A480" s="55" t="inlineStr">
        <x:is>
          <x:t xml:space="preserve">NEG-0479</x:t>
        </x:is>
      </x:c>
      <x:c r="B480" s="55" t="inlineStr">
        <x:is>
          <x:t xml:space="preserve">v3</x:t>
        </x:is>
      </x:c>
      <x:c r="C480" s="56" t="inlineStr">
        <x:is>
          <x:t xml:space="preserve">一、指称已知性别的具体个人</x:t>
        </x:is>
      </x:c>
      <x:c r="D480" s="56" t="inlineStr">
        <x:is>
          <x:t xml:space="preserve">1.1 姓名与社会称谓</x:t>
        </x:is>
      </x:c>
      <x:c r="E480" s="56" t="inlineStr">
        <x:is>
          <x:t xml:space="preserve">学术与调研</x:t>
        </x:is>
      </x:c>
      <x:c r="F480" s="56" t="inlineStr">
        <x:is>
          <x:t xml:space="preserve">扫描件</x:t>
        </x:is>
      </x:c>
      <x:c r="G480" s="55" t="inlineStr">
        <x:is>
          <x:t xml:space="preserve">OCR 错行</x:t>
        </x:is>
      </x:c>
      <x:c r="H480" s="55" t="str">
        <x:f>IF(LEN(I480)&lt;15,"短",IF(LEN(I480)&lt;=45,"中","长"))</x:f>
        <x:v>中</x:v>
      </x:c>
      <x:c r="I480" s="56" t="inlineStr">
        <x:is>
          <x:t xml:space="preserve">李女士 于 本月 十二 日 到 我 处 咨 询</x:t>
        </x:is>
      </x:c>
      <x:c r="J480" s="56" t="str">
        <x:f>I480</x:f>
        <x:v>李女士 于 本月 十二 日 到 我 处 咨 询</x:v>
      </x:c>
      <x:c r="K480" s="55" t="inlineStr">
        <x:is>
          <x:t xml:space="preserve">无需改写</x:t>
        </x:is>
      </x:c>
      <x:c r="L480" s="56" t="inlineStr">
        <x:is>
          <x:t xml:space="preserve">李女士</x:t>
        </x:is>
      </x:c>
      <x:c r="M480" s="56" t="inlineStr">
        <x:is>
          <x:t xml:space="preserve">OCR 输出的异常空格</x:t>
        </x:is>
      </x:c>
      <x:c r="N480" s="56" t="inlineStr">
        <x:is>
          <x:t xml:space="preserve">客户 于 本月 十二 日 到 我 处 咨 询</x:t>
        </x:is>
      </x:c>
      <x:c r="O480" s="55" t="inlineStr">
        <x:is>
          <x:t xml:space="preserve">难</x:t>
        </x:is>
      </x:c>
      <x:c r="P480" s="55" t="inlineStr">
        <x:is>
          <x:t xml:space="preserve">否</x:t>
        </x:is>
      </x:c>
      <x:c r="Q480" s="56" t="n"/>
      <x:c r="R480" s="57" t="inlineStr">
        <x:is>
          <x:t xml:space="preserve">主集</x:t>
        </x:is>
      </x:c>
      <x:c r="S480" s="57" t="inlineStr">
        <x:is>
          <x:t xml:space="preserve">index</x:t>
        </x:is>
      </x:c>
      <x:c r="T480" s="57" t="inlineStr">
        <x:is>
          <x:t xml:space="preserve"/>
        </x:is>
      </x:c>
    </x:row>
    <x:row r="481" s="37" customFormat="1" ht="29.850000381469727" customHeight="1">
      <x:c r="A481" s="55" t="inlineStr">
        <x:is>
          <x:t xml:space="preserve">NEG-0480</x:t>
        </x:is>
      </x:c>
      <x:c r="B481" s="55" t="inlineStr">
        <x:is>
          <x:t xml:space="preserve">v3</x:t>
        </x:is>
      </x:c>
      <x:c r="C481" s="56" t="inlineStr">
        <x:is>
          <x:t xml:space="preserve">一、指称已知性别的具体个人</x:t>
        </x:is>
      </x:c>
      <x:c r="D481" s="56" t="inlineStr">
        <x:is>
          <x:t xml:space="preserve">1.1 姓名与社会称谓</x:t>
        </x:is>
      </x:c>
      <x:c r="E481" s="56" t="inlineStr">
        <x:is>
          <x:t xml:space="preserve">口语与私人交流</x:t>
        </x:is>
      </x:c>
      <x:c r="F481" s="56" t="inlineStr">
        <x:is>
          <x:t xml:space="preserve">聊天记录</x:t>
        </x:is>
      </x:c>
      <x:c r="G481" s="55" t="inlineStr">
        <x:is>
          <x:t xml:space="preserve">空格异常</x:t>
        </x:is>
      </x:c>
      <x:c r="H481" s="55" t="str">
        <x:f>IF(LEN(I481)&lt;15,"短",IF(LEN(I481)&lt;=45,"中","长"))</x:f>
        <x:v>中</x:v>
      </x:c>
      <x:c r="I481" s="56" t="inlineStr">
        <x:is>
          <x:t xml:space="preserve">李  女士     打算 明天  去 学校</x:t>
        </x:is>
      </x:c>
      <x:c r="J481" s="56" t="str">
        <x:f>I481</x:f>
        <x:v>李  女士     打算 明天  去 学校</x:v>
      </x:c>
      <x:c r="K481" s="55" t="inlineStr">
        <x:is>
          <x:t xml:space="preserve">无需改写</x:t>
        </x:is>
      </x:c>
      <x:c r="L481" s="56" t="inlineStr">
        <x:is>
          <x:t xml:space="preserve">李女士</x:t>
        </x:is>
      </x:c>
      <x:c r="M481" s="56" t="inlineStr">
        <x:is>
          <x:t xml:space="preserve">含多余空格的粘贴文本</x:t>
        </x:is>
      </x:c>
      <x:c r="N481" s="56" t="inlineStr">
        <x:is>
          <x:t xml:space="preserve">李某某 打算 明天 去 学校</x:t>
        </x:is>
      </x:c>
      <x:c r="O481" s="55" t="inlineStr">
        <x:is>
          <x:t xml:space="preserve">难</x:t>
        </x:is>
      </x:c>
      <x:c r="P481" s="55" t="inlineStr">
        <x:is>
          <x:t xml:space="preserve">否</x:t>
        </x:is>
      </x:c>
      <x:c r="Q481" s="56" t="n"/>
      <x:c r="R481" s="57" t="inlineStr">
        <x:is>
          <x:t xml:space="preserve">主集</x:t>
        </x:is>
      </x:c>
      <x:c r="S481" s="57" t="inlineStr">
        <x:is>
          <x:t xml:space="preserve">index</x:t>
        </x:is>
      </x:c>
      <x:c r="T481" s="57" t="inlineStr">
        <x:is>
          <x:t xml:space="preserve"/>
        </x:is>
      </x:c>
    </x:row>
    <x:row r="482" s="37" customFormat="1" ht="29.850000381469727" customHeight="1">
      <x:c r="A482" s="55" t="inlineStr">
        <x:is>
          <x:t xml:space="preserve">NEG-0481</x:t>
        </x:is>
      </x:c>
      <x:c r="B482" s="55" t="inlineStr">
        <x:is>
          <x:t xml:space="preserve">v3</x:t>
        </x:is>
      </x:c>
      <x:c r="C482" s="56" t="inlineStr">
        <x:is>
          <x:t xml:space="preserve">一、指称已知性别的具体个人</x:t>
        </x:is>
      </x:c>
      <x:c r="D482" s="56" t="inlineStr">
        <x:is>
          <x:t xml:space="preserve">1.1 姓名与社会称谓</x:t>
        </x:is>
      </x:c>
      <x:c r="E482" s="56" t="inlineStr">
        <x:is>
          <x:t xml:space="preserve">口语与私人交流</x:t>
        </x:is>
      </x:c>
      <x:c r="F482" s="56" t="inlineStr">
        <x:is>
          <x:t xml:space="preserve">港台文本</x:t>
        </x:is>
      </x:c>
      <x:c r="G482" s="55" t="inlineStr">
        <x:is>
          <x:t xml:space="preserve">繁体</x:t>
        </x:is>
      </x:c>
      <x:c r="H482" s="55" t="str">
        <x:f>IF(LEN(I482)&lt;15,"短",IF(LEN(I482)&lt;=45,"中","长"))</x:f>
        <x:v>中</x:v>
      </x:c>
      <x:c r="I482" s="56" t="inlineStr">
        <x:is>
          <x:t xml:space="preserve">陳太太，您訂的貨已經寄出，單號稍後奉上。</x:t>
        </x:is>
      </x:c>
      <x:c r="J482" s="56" t="str">
        <x:f>I482</x:f>
        <x:v>陳太太，您訂的貨已經寄出，單號稍後奉上。</x:v>
      </x:c>
      <x:c r="K482" s="55" t="inlineStr">
        <x:is>
          <x:t xml:space="preserve">无需改写</x:t>
        </x:is>
      </x:c>
      <x:c r="L482" s="56" t="inlineStr">
        <x:is>
          <x:t xml:space="preserve">陳太太</x:t>
        </x:is>
      </x:c>
      <x:c r="M482" s="56" t="inlineStr">
        <x:is>
          <x:t xml:space="preserve">繁体客服文本，且太太在港台为通行敬称</x:t>
        </x:is>
      </x:c>
      <x:c r="N482" s="56" t="inlineStr">
        <x:is>
          <x:t xml:space="preserve">陳女士，您訂的貨已經寄出</x:t>
        </x:is>
      </x:c>
      <x:c r="O482" s="55" t="inlineStr">
        <x:is>
          <x:t xml:space="preserve">难</x:t>
        </x:is>
      </x:c>
      <x:c r="P482" s="55" t="inlineStr">
        <x:is>
          <x:t xml:space="preserve">是</x:t>
        </x:is>
      </x:c>
      <x:c r="Q482" s="56" t="inlineStr">
        <x:is>
          <x:t xml:space="preserve">港台语境中太太的中性程度与内地不同</x:t>
        </x:is>
      </x:c>
      <x:c r="R482" s="57" t="inlineStr">
        <x:is>
          <x:t xml:space="preserve">主集</x:t>
        </x:is>
      </x:c>
      <x:c r="S482" s="57" t="inlineStr">
        <x:is>
          <x:t xml:space="preserve">index</x:t>
        </x:is>
      </x:c>
      <x:c r="T482" s="57" t="inlineStr">
        <x:is>
          <x:t xml:space="preserve"/>
        </x:is>
      </x:c>
    </x:row>
    <x:row r="483" s="37" customFormat="1" ht="29.850000381469727" customHeight="1">
      <x:c r="A483" s="55" t="inlineStr">
        <x:is>
          <x:t xml:space="preserve">NEG-0482</x:t>
        </x:is>
      </x:c>
      <x:c r="B483" s="55" t="inlineStr">
        <x:is>
          <x:t xml:space="preserve">v3</x:t>
        </x:is>
      </x:c>
      <x:c r="C483" s="56" t="inlineStr">
        <x:is>
          <x:t xml:space="preserve">一、指称已知性别的具体个人</x:t>
        </x:is>
      </x:c>
      <x:c r="D483" s="56" t="inlineStr">
        <x:is>
          <x:t xml:space="preserve">1.3 血亲与姻亲称谓</x:t>
        </x:is>
      </x:c>
      <x:c r="E483" s="56" t="inlineStr">
        <x:is>
          <x:t xml:space="preserve">口语与私人交流</x:t>
        </x:is>
      </x:c>
      <x:c r="F483" s="56" t="inlineStr">
        <x:is>
          <x:t xml:space="preserve">方言口语</x:t>
        </x:is>
      </x:c>
      <x:c r="G483" s="55" t="inlineStr">
        <x:is>
          <x:t xml:space="preserve">方言</x:t>
        </x:is>
      </x:c>
      <x:c r="H483" s="55" t="str">
        <x:f>IF(LEN(I483)&lt;15,"短",IF(LEN(I483)&lt;=45,"中","长"))</x:f>
        <x:v>中</x:v>
      </x:c>
      <x:c r="I483" s="56" t="inlineStr">
        <x:is>
          <x:t xml:space="preserve">俺娘做的浆面条，出去吃啥都不是那个味儿。</x:t>
        </x:is>
      </x:c>
      <x:c r="J483" s="56" t="str">
        <x:f>I483</x:f>
        <x:v>俺娘做的浆面条，出去吃啥都不是那个味儿。</x:v>
      </x:c>
      <x:c r="K483" s="55" t="inlineStr">
        <x:is>
          <x:t xml:space="preserve">无需改写</x:t>
        </x:is>
      </x:c>
      <x:c r="L483" s="56" t="inlineStr">
        <x:is>
          <x:t xml:space="preserve">俺娘</x:t>
        </x:is>
      </x:c>
      <x:c r="M483" s="56" t="inlineStr">
        <x:is>
          <x:t xml:space="preserve">方言亲属称谓</x:t>
        </x:is>
      </x:c>
      <x:c r="N483" s="56" t="inlineStr">
        <x:is>
          <x:t xml:space="preserve">我家长做的浆面条</x:t>
        </x:is>
      </x:c>
      <x:c r="O483" s="55" t="inlineStr">
        <x:is>
          <x:t xml:space="preserve">难</x:t>
        </x:is>
      </x:c>
      <x:c r="P483" s="55" t="inlineStr">
        <x:is>
          <x:t xml:space="preserve">否</x:t>
        </x:is>
      </x:c>
      <x:c r="Q483" s="56" t="n"/>
      <x:c r="R483" s="57" t="inlineStr">
        <x:is>
          <x:t xml:space="preserve">主集</x:t>
        </x:is>
      </x:c>
      <x:c r="S483" s="57" t="inlineStr">
        <x:is>
          <x:t xml:space="preserve">test</x:t>
        </x:is>
      </x:c>
      <x:c r="T483" s="57" t="inlineStr">
        <x:is>
          <x:t xml:space="preserve"/>
        </x:is>
      </x:c>
    </x:row>
    <x:row r="484" s="37" customFormat="1" ht="29.850000381469727" customHeight="1">
      <x:c r="A484" s="55" t="inlineStr">
        <x:is>
          <x:t xml:space="preserve">NEG-0483</x:t>
        </x:is>
      </x:c>
      <x:c r="B484" s="55" t="inlineStr">
        <x:is>
          <x:t xml:space="preserve">v3</x:t>
        </x:is>
      </x:c>
      <x:c r="C484" s="56" t="inlineStr">
        <x:is>
          <x:t xml:space="preserve">一、指称已知性别的具体个人</x:t>
        </x:is>
      </x:c>
      <x:c r="D484" s="56" t="inlineStr">
        <x:is>
          <x:t xml:space="preserve">1.4 伴侣与恋爱关系</x:t>
        </x:is>
      </x:c>
      <x:c r="E484" s="56" t="inlineStr">
        <x:is>
          <x:t xml:space="preserve">口语与私人交流</x:t>
        </x:is>
      </x:c>
      <x:c r="F484" s="56" t="inlineStr">
        <x:is>
          <x:t xml:space="preserve">粤语文本</x:t>
        </x:is>
      </x:c>
      <x:c r="G484" s="55" t="inlineStr">
        <x:is>
          <x:t xml:space="preserve">方言</x:t>
        </x:is>
      </x:c>
      <x:c r="H484" s="55" t="str">
        <x:f>IF(LEN(I484)&lt;15,"短",IF(LEN(I484)&lt;=45,"中","长"))</x:f>
        <x:v>中</x:v>
      </x:c>
      <x:c r="I484" s="56" t="inlineStr">
        <x:is>
          <x:t xml:space="preserve">我老婆話佢開完會就過嚟，你哋唔使等。</x:t>
        </x:is>
      </x:c>
      <x:c r="J484" s="56" t="str">
        <x:f>I484</x:f>
        <x:v>我老婆話佢開完會就過嚟，你哋唔使等。</x:v>
      </x:c>
      <x:c r="K484" s="55" t="inlineStr">
        <x:is>
          <x:t xml:space="preserve">无需改写</x:t>
        </x:is>
      </x:c>
      <x:c r="L484" s="56" t="inlineStr">
        <x:is>
          <x:t xml:space="preserve">我老婆/佢</x:t>
        </x:is>
      </x:c>
      <x:c r="M484" s="56" t="inlineStr">
        <x:is>
          <x:t xml:space="preserve">粤语书面文本</x:t>
        </x:is>
      </x:c>
      <x:c r="N484" s="56" t="inlineStr">
        <x:is>
          <x:t xml:space="preserve">我伴侶話佢開完會就過嚟</x:t>
        </x:is>
      </x:c>
      <x:c r="O484" s="55" t="inlineStr">
        <x:is>
          <x:t xml:space="preserve">难</x:t>
        </x:is>
      </x:c>
      <x:c r="P484" s="55" t="inlineStr">
        <x:is>
          <x:t xml:space="preserve">否</x:t>
        </x:is>
      </x:c>
      <x:c r="Q484" s="56" t="n"/>
      <x:c r="R484" s="57" t="inlineStr">
        <x:is>
          <x:t xml:space="preserve">主集</x:t>
        </x:is>
      </x:c>
      <x:c r="S484" s="57" t="inlineStr">
        <x:is>
          <x:t xml:space="preserve">test</x:t>
        </x:is>
      </x:c>
      <x:c r="T484" s="57" t="inlineStr">
        <x:is>
          <x:t xml:space="preserve"/>
        </x:is>
      </x:c>
    </x:row>
    <x:row r="485" s="37" customFormat="1" ht="29.850000381469727" customHeight="1">
      <x:c r="A485" s="55" t="inlineStr">
        <x:is>
          <x:t xml:space="preserve">NEG-0484</x:t>
        </x:is>
      </x:c>
      <x:c r="B485" s="55" t="inlineStr">
        <x:is>
          <x:t xml:space="preserve">v3</x:t>
        </x:is>
      </x:c>
      <x:c r="C485" s="56" t="inlineStr">
        <x:is>
          <x:t xml:space="preserve">一、指称已知性别的具体个人</x:t>
        </x:is>
      </x:c>
      <x:c r="D485" s="56" t="inlineStr">
        <x:is>
          <x:t xml:space="preserve">1.2 人称代词</x:t>
        </x:is>
      </x:c>
      <x:c r="E485" s="56" t="inlineStr">
        <x:is>
          <x:t xml:space="preserve">社交与社区</x:t>
        </x:is>
      </x:c>
      <x:c r="F485" s="56" t="inlineStr">
        <x:is>
          <x:t xml:space="preserve">社交动态</x:t>
        </x:is>
      </x:c>
      <x:c r="G485" s="55" t="inlineStr">
        <x:is>
          <x:t xml:space="preserve">重复标点</x:t>
        </x:is>
      </x:c>
      <x:c r="H485" s="55" t="str">
        <x:f>IF(LEN(I485)&lt;15,"短",IF(LEN(I485)&lt;=45,"中","长"))</x:f>
        <x:v>中</x:v>
      </x:c>
      <x:c r="I485" s="56" t="inlineStr">
        <x:is>
          <x:t xml:space="preserve">她真的太强了！！！全组唯一会开叉车的女生</x:t>
        </x:is>
      </x:c>
      <x:c r="J485" s="56" t="str">
        <x:f>I485</x:f>
        <x:v>她真的太强了！！！全组唯一会开叉车的女生</x:v>
      </x:c>
      <x:c r="K485" s="55" t="inlineStr">
        <x:is>
          <x:t xml:space="preserve">无需改写</x:t>
        </x:is>
      </x:c>
      <x:c r="L485" s="56" t="inlineStr">
        <x:is>
          <x:t xml:space="preserve">她/女生</x:t>
        </x:is>
      </x:c>
      <x:c r="M485" s="56" t="inlineStr">
        <x:is>
          <x:t xml:space="preserve">含情绪化标点的 UGC</x:t>
        </x:is>
      </x:c>
      <x:c r="N485" s="56" t="inlineStr">
        <x:is>
          <x:t xml:space="preserve">这个人真的太强了！！！</x:t>
        </x:is>
      </x:c>
      <x:c r="O485" s="55" t="inlineStr">
        <x:is>
          <x:t xml:space="preserve">难</x:t>
        </x:is>
      </x:c>
      <x:c r="P485" s="55" t="inlineStr">
        <x:is>
          <x:t xml:space="preserve">否</x:t>
        </x:is>
      </x:c>
      <x:c r="Q485" s="56" t="n"/>
      <x:c r="R485" s="57" t="inlineStr">
        <x:is>
          <x:t xml:space="preserve">主集</x:t>
        </x:is>
      </x:c>
      <x:c r="S485" s="57" t="inlineStr">
        <x:is>
          <x:t xml:space="preserve">index</x:t>
        </x:is>
      </x:c>
      <x:c r="T485" s="57" t="inlineStr">
        <x:is>
          <x:t xml:space="preserve"/>
        </x:is>
      </x:c>
    </x:row>
    <x:row r="486" s="37" customFormat="1" ht="15" customHeight="1">
      <x:c r="A486" s="55" t="inlineStr">
        <x:is>
          <x:t xml:space="preserve">NEG-0485</x:t>
        </x:is>
      </x:c>
      <x:c r="B486" s="55" t="inlineStr">
        <x:is>
          <x:t xml:space="preserve">v3</x:t>
        </x:is>
      </x:c>
      <x:c r="C486" s="56" t="inlineStr">
        <x:is>
          <x:t xml:space="preserve">二、生理与医学必需</x:t>
        </x:is>
      </x:c>
      <x:c r="D486" s="56" t="inlineStr">
        <x:is>
          <x:t xml:space="preserve">2.1 生殖与生育</x:t>
        </x:is>
      </x:c>
      <x:c r="E486" s="56" t="inlineStr">
        <x:is>
          <x:t xml:space="preserve">工程与技术</x:t>
        </x:is>
      </x:c>
      <x:c r="F486" s="56" t="inlineStr">
        <x:is>
          <x:t xml:space="preserve">语音转写</x:t>
        </x:is>
      </x:c>
      <x:c r="G486" s="55" t="inlineStr">
        <x:is>
          <x:t xml:space="preserve">ASR 转写</x:t>
        </x:is>
      </x:c>
      <x:c r="H486" s="55" t="str">
        <x:f>IF(LEN(I486)&lt;15,"短",IF(LEN(I486)&lt;=45,"中","长"))</x:f>
        <x:v>中</x:v>
      </x:c>
      <x:c r="I486" s="56" t="inlineStr">
        <x:is>
          <x:t xml:space="preserve">孕三十二周胎位臀先露建议两周后复查再定分娩方式</x:t>
        </x:is>
      </x:c>
      <x:c r="J486" s="56" t="str">
        <x:f>I486</x:f>
        <x:v>孕三十二周胎位臀先露建议两周后复查再定分娩方式</x:v>
      </x:c>
      <x:c r="K486" s="55" t="inlineStr">
        <x:is>
          <x:t xml:space="preserve">无需改写</x:t>
        </x:is>
      </x:c>
      <x:c r="L486" s="56" t="inlineStr">
        <x:is>
          <x:t xml:space="preserve">孕/胎位</x:t>
        </x:is>
      </x:c>
      <x:c r="M486" s="56" t="inlineStr">
        <x:is>
          <x:t xml:space="preserve">口述病历的转写稿</x:t>
        </x:is>
      </x:c>
      <x:c r="N486" s="56" t="inlineStr">
        <x:is>
          <x:t xml:space="preserve">三十二周复查后再定方案</x:t>
        </x:is>
      </x:c>
      <x:c r="O486" s="55" t="inlineStr">
        <x:is>
          <x:t xml:space="preserve">难</x:t>
        </x:is>
      </x:c>
      <x:c r="P486" s="55" t="inlineStr">
        <x:is>
          <x:t xml:space="preserve">否</x:t>
        </x:is>
      </x:c>
      <x:c r="Q486" s="56" t="n"/>
      <x:c r="R486" s="57" t="inlineStr">
        <x:is>
          <x:t xml:space="preserve">主集</x:t>
        </x:is>
      </x:c>
      <x:c r="S486" s="57" t="inlineStr">
        <x:is>
          <x:t xml:space="preserve">index</x:t>
        </x:is>
      </x:c>
      <x:c r="T486" s="57" t="inlineStr">
        <x:is>
          <x:t xml:space="preserve"/>
        </x:is>
      </x:c>
    </x:row>
    <x:row r="487" s="37" customFormat="1" ht="15" customHeight="1">
      <x:c r="A487" s="55" t="inlineStr">
        <x:is>
          <x:t xml:space="preserve">NEG-0486</x:t>
        </x:is>
      </x:c>
      <x:c r="B487" s="55" t="inlineStr">
        <x:is>
          <x:t xml:space="preserve">v3</x:t>
        </x:is>
      </x:c>
      <x:c r="C487" s="56" t="inlineStr">
        <x:is>
          <x:t xml:space="preserve">二、生理与医学必需</x:t>
        </x:is>
      </x:c>
      <x:c r="D487" s="56" t="inlineStr">
        <x:is>
          <x:t xml:space="preserve">2.2 生理周期与内分泌</x:t>
        </x:is>
      </x:c>
      <x:c r="E487" s="56" t="inlineStr">
        <x:is>
          <x:t xml:space="preserve">社交与社区</x:t>
        </x:is>
      </x:c>
      <x:c r="F487" s="56" t="inlineStr">
        <x:is>
          <x:t xml:space="preserve">健康问答</x:t>
        </x:is>
      </x:c>
      <x:c r="G487" s="55" t="inlineStr">
        <x:is>
          <x:t xml:space="preserve">错别字</x:t>
        </x:is>
      </x:c>
      <x:c r="H487" s="55" t="str">
        <x:f>IF(LEN(I487)&lt;15,"短",IF(LEN(I487)&lt;=45,"中","长"))</x:f>
        <x:v>中</x:v>
      </x:c>
      <x:c r="I487" s="56" t="inlineStr">
        <x:is>
          <x:t xml:space="preserve">例假推迟十天了侧了没怀孕是不是内分秘失调</x:t>
        </x:is>
      </x:c>
      <x:c r="J487" s="56" t="str">
        <x:f>I487</x:f>
        <x:v>例假推迟十天了侧了没怀孕是不是内分秘失调</x:v>
      </x:c>
      <x:c r="K487" s="55" t="inlineStr">
        <x:is>
          <x:t xml:space="preserve">无需改写</x:t>
        </x:is>
      </x:c>
      <x:c r="L487" s="56" t="inlineStr">
        <x:is>
          <x:t xml:space="preserve">例假/怀孕</x:t>
        </x:is>
      </x:c>
      <x:c r="M487" s="56" t="inlineStr">
        <x:is>
          <x:t xml:space="preserve">含错别字的用户提问</x:t>
        </x:is>
      </x:c>
      <x:c r="N487" s="56" t="inlineStr">
        <x:is>
          <x:t xml:space="preserve">周期推迟十天了，检测结果正常</x:t>
        </x:is>
      </x:c>
      <x:c r="O487" s="55" t="inlineStr">
        <x:is>
          <x:t xml:space="preserve">难</x:t>
        </x:is>
      </x:c>
      <x:c r="P487" s="55" t="inlineStr">
        <x:is>
          <x:t xml:space="preserve">否</x:t>
        </x:is>
      </x:c>
      <x:c r="Q487" s="56" t="n"/>
      <x:c r="R487" s="57" t="inlineStr">
        <x:is>
          <x:t xml:space="preserve">主集</x:t>
        </x:is>
      </x:c>
      <x:c r="S487" s="57" t="inlineStr">
        <x:is>
          <x:t xml:space="preserve">index</x:t>
        </x:is>
      </x:c>
      <x:c r="T487" s="57" t="inlineStr">
        <x:is>
          <x:t xml:space="preserve"/>
        </x:is>
      </x:c>
    </x:row>
    <x:row r="488" s="37" customFormat="1" ht="15" customHeight="1">
      <x:c r="A488" s="55" t="inlineStr">
        <x:is>
          <x:t xml:space="preserve">NEG-0487</x:t>
        </x:is>
      </x:c>
      <x:c r="B488" s="55" t="inlineStr">
        <x:is>
          <x:t xml:space="preserve">v3</x:t>
        </x:is>
      </x:c>
      <x:c r="C488" s="56" t="inlineStr">
        <x:is>
          <x:t xml:space="preserve">二、生理与医学必需</x:t>
        </x:is>
      </x:c>
      <x:c r="D488" s="56" t="inlineStr">
        <x:is>
          <x:t xml:space="preserve">2.3 性别特异性器官与疾病</x:t>
        </x:is>
      </x:c>
      <x:c r="E488" s="56" t="inlineStr">
        <x:is>
          <x:t xml:space="preserve">学术与调研</x:t>
        </x:is>
      </x:c>
      <x:c r="F488" s="56" t="inlineStr">
        <x:is>
          <x:t xml:space="preserve">扫描件</x:t>
        </x:is>
      </x:c>
      <x:c r="G488" s="55" t="inlineStr">
        <x:is>
          <x:t xml:space="preserve">OCR 错行</x:t>
        </x:is>
      </x:c>
      <x:c r="H488" s="55" t="str">
        <x:f>IF(LEN(I488)&lt;15,"短",IF(LEN(I488)&lt;=45,"中","长"))</x:f>
        <x:v>中</x:v>
      </x:c>
      <x:c r="I488" s="56" t="inlineStr">
        <x:is>
          <x:t xml:space="preserve">建议 50 岁以 上男性每年 进行前列腺 特异性抗原检 测</x:t>
        </x:is>
      </x:c>
      <x:c r="J488" s="56" t="str">
        <x:f>I488</x:f>
        <x:v>建议 50 岁以 上男性每年 进行前列腺 特异性抗原检 测</x:v>
      </x:c>
      <x:c r="K488" s="55" t="inlineStr">
        <x:is>
          <x:t xml:space="preserve">无需改写</x:t>
        </x:is>
      </x:c>
      <x:c r="L488" s="56" t="inlineStr">
        <x:is>
          <x:t xml:space="preserve">男性/前列腺</x:t>
        </x:is>
      </x:c>
      <x:c r="M488" s="56" t="inlineStr">
        <x:is>
          <x:t xml:space="preserve">OCR 断行后的文本</x:t>
        </x:is>
      </x:c>
      <x:c r="N488" s="56" t="inlineStr">
        <x:is>
          <x:t xml:space="preserve">建议 50 岁以上人群每年进行相关检测</x:t>
        </x:is>
      </x:c>
      <x:c r="O488" s="55" t="inlineStr">
        <x:is>
          <x:t xml:space="preserve">难</x:t>
        </x:is>
      </x:c>
      <x:c r="P488" s="55" t="inlineStr">
        <x:is>
          <x:t xml:space="preserve">否</x:t>
        </x:is>
      </x:c>
      <x:c r="Q488" s="56" t="n"/>
      <x:c r="R488" s="57" t="inlineStr">
        <x:is>
          <x:t xml:space="preserve">主集</x:t>
        </x:is>
      </x:c>
      <x:c r="S488" s="57" t="inlineStr">
        <x:is>
          <x:t xml:space="preserve">dev</x:t>
        </x:is>
      </x:c>
      <x:c r="T488" s="57" t="inlineStr">
        <x:is>
          <x:t xml:space="preserve"/>
        </x:is>
      </x:c>
    </x:row>
    <x:row r="489" s="37" customFormat="1" ht="15" customHeight="1">
      <x:c r="A489" s="55" t="inlineStr">
        <x:is>
          <x:t xml:space="preserve">NEG-0488</x:t>
        </x:is>
      </x:c>
      <x:c r="B489" s="55" t="inlineStr">
        <x:is>
          <x:t xml:space="preserve">v3</x:t>
        </x:is>
      </x:c>
      <x:c r="C489" s="56" t="inlineStr">
        <x:is>
          <x:t xml:space="preserve">二、生理与医学必需</x:t>
        </x:is>
      </x:c>
      <x:c r="D489" s="56" t="inlineStr">
        <x:is>
          <x:t xml:space="preserve">2.1 生殖与生育</x:t>
        </x:is>
      </x:c>
      <x:c r="E489" s="56" t="inlineStr">
        <x:is>
          <x:t xml:space="preserve">社交与社区</x:t>
        </x:is>
      </x:c>
      <x:c r="F489" s="56" t="inlineStr">
        <x:is>
          <x:t xml:space="preserve">社交动态</x:t>
        </x:is>
      </x:c>
      <x:c r="G489" s="55" t="inlineStr">
        <x:is>
          <x:t xml:space="preserve">emoji</x:t>
        </x:is>
      </x:c>
      <x:c r="H489" s="55" t="str">
        <x:f>IF(LEN(I489)&lt;15,"短",IF(LEN(I489)&lt;=45,"中","长"))</x:f>
        <x:v>中</x:v>
      </x:c>
      <x:c r="I489" s="56" t="inlineStr">
        <x:is>
          <x:t xml:space="preserve">备孕大半年终于测到两条杠了🥹 手抖到拿不稳</x:t>
        </x:is>
      </x:c>
      <x:c r="J489" s="56" t="str">
        <x:f>I489</x:f>
        <x:v>备孕大半年终于测到两条杠了🥹 手抖到拿不稳</x:v>
      </x:c>
      <x:c r="K489" s="55" t="inlineStr">
        <x:is>
          <x:t xml:space="preserve">无需改写</x:t>
        </x:is>
      </x:c>
      <x:c r="L489" s="56" t="inlineStr">
        <x:is>
          <x:t xml:space="preserve">备孕</x:t>
        </x:is>
      </x:c>
      <x:c r="M489" s="56" t="inlineStr">
        <x:is>
          <x:t xml:space="preserve">含表情的经历分享</x:t>
        </x:is>
      </x:c>
      <x:c r="N489" s="56" t="inlineStr">
        <x:is>
          <x:t xml:space="preserve">准备大半年终于有结果了🥹</x:t>
        </x:is>
      </x:c>
      <x:c r="O489" s="55" t="inlineStr">
        <x:is>
          <x:t xml:space="preserve">中</x:t>
        </x:is>
      </x:c>
      <x:c r="P489" s="55" t="inlineStr">
        <x:is>
          <x:t xml:space="preserve">否</x:t>
        </x:is>
      </x:c>
      <x:c r="Q489" s="56" t="n"/>
      <x:c r="R489" s="57" t="inlineStr">
        <x:is>
          <x:t xml:space="preserve">主集</x:t>
        </x:is>
      </x:c>
      <x:c r="S489" s="57" t="inlineStr">
        <x:is>
          <x:t xml:space="preserve">index</x:t>
        </x:is>
      </x:c>
      <x:c r="T489" s="57" t="inlineStr">
        <x:is>
          <x:t xml:space="preserve"/>
        </x:is>
      </x:c>
    </x:row>
    <x:row r="490" s="37" customFormat="1" ht="15" customHeight="1">
      <x:c r="A490" s="55" t="inlineStr">
        <x:is>
          <x:t xml:space="preserve">NEG-0489</x:t>
        </x:is>
      </x:c>
      <x:c r="B490" s="55" t="inlineStr">
        <x:is>
          <x:t xml:space="preserve">v3</x:t>
        </x:is>
      </x:c>
      <x:c r="C490" s="56" t="inlineStr">
        <x:is>
          <x:t xml:space="preserve">三、制度性与统计性区分</x:t>
        </x:is>
      </x:c>
      <x:c r="D490" s="56" t="inlineStr">
        <x:is>
          <x:t xml:space="preserve">3.4 空间与设施</x:t>
        </x:is>
      </x:c>
      <x:c r="E490" s="56" t="inlineStr">
        <x:is>
          <x:t xml:space="preserve">公文与规章</x:t>
        </x:is>
      </x:c>
      <x:c r="F490" s="56" t="inlineStr">
        <x:is>
          <x:t xml:space="preserve">导视文本</x:t>
        </x:is>
      </x:c>
      <x:c r="G490" s="55" t="inlineStr">
        <x:is>
          <x:t xml:space="preserve">全半角混用</x:t>
        </x:is>
      </x:c>
      <x:c r="H490" s="55" t="str">
        <x:f>IF(LEN(I490)&lt;15,"短",IF(LEN(I490)&lt;=45,"中","长"))</x:f>
        <x:v>中</x:v>
      </x:c>
      <x:c r="I490" s="56" t="inlineStr">
        <x:is>
          <x:t xml:space="preserve">母婴室位于Ｔ２航站楼４层，靠近 12 号登机口。</x:t>
        </x:is>
      </x:c>
      <x:c r="J490" s="56" t="str">
        <x:f>I490</x:f>
        <x:v>母婴室位于Ｔ２航站楼４层，靠近 12 号登机口。</x:v>
      </x:c>
      <x:c r="K490" s="55" t="inlineStr">
        <x:is>
          <x:t xml:space="preserve">无需改写</x:t>
        </x:is>
      </x:c>
      <x:c r="L490" s="56" t="inlineStr">
        <x:is>
          <x:t xml:space="preserve">母婴室</x:t>
        </x:is>
      </x:c>
      <x:c r="M490" s="56" t="inlineStr">
        <x:is>
          <x:t xml:space="preserve">全半角混排的真实标识文本</x:t>
        </x:is>
      </x:c>
      <x:c r="N490" s="56" t="inlineStr">
        <x:is>
          <x:t xml:space="preserve">育婴室位于Ｔ２航站楼４层</x:t>
        </x:is>
      </x:c>
      <x:c r="O490" s="55" t="inlineStr">
        <x:is>
          <x:t xml:space="preserve">中</x:t>
        </x:is>
      </x:c>
      <x:c r="P490" s="55" t="inlineStr">
        <x:is>
          <x:t xml:space="preserve">是</x:t>
        </x:is>
      </x:c>
      <x:c r="Q490" s="56" t="n"/>
      <x:c r="R490" s="57" t="inlineStr">
        <x:is>
          <x:t xml:space="preserve">主集</x:t>
        </x:is>
      </x:c>
      <x:c r="S490" s="57" t="inlineStr">
        <x:is>
          <x:t xml:space="preserve">index</x:t>
        </x:is>
      </x:c>
      <x:c r="T490" s="57" t="inlineStr">
        <x:is>
          <x:t xml:space="preserve"/>
        </x:is>
      </x:c>
    </x:row>
    <x:row r="491" s="37" customFormat="1" ht="15" customHeight="1">
      <x:c r="A491" s="55" t="inlineStr">
        <x:is>
          <x:t xml:space="preserve">NEG-0490</x:t>
        </x:is>
      </x:c>
      <x:c r="B491" s="55" t="inlineStr">
        <x:is>
          <x:t xml:space="preserve">v3</x:t>
        </x:is>
      </x:c>
      <x:c r="C491" s="56" t="inlineStr">
        <x:is>
          <x:t xml:space="preserve">三、制度性与统计性区分</x:t>
        </x:is>
      </x:c>
      <x:c r="D491" s="56" t="inlineStr">
        <x:is>
          <x:t xml:space="preserve">3.2 劳动与社会保障</x:t>
        </x:is>
      </x:c>
      <x:c r="E491" s="56" t="inlineStr">
        <x:is>
          <x:t xml:space="preserve">口语与私人交流</x:t>
        </x:is>
      </x:c>
      <x:c r="F491" s="56" t="inlineStr">
        <x:is>
          <x:t xml:space="preserve">同事群</x:t>
        </x:is>
      </x:c>
      <x:c r="G491" s="55" t="inlineStr">
        <x:is>
          <x:t xml:space="preserve">拼音缩写</x:t>
        </x:is>
      </x:c>
      <x:c r="H491" s="55" t="str">
        <x:f>IF(LEN(I491)&lt;15,"短",IF(LEN(I491)&lt;=45,"中","长"))</x:f>
        <x:v>中</x:v>
      </x:c>
      <x:c r="I491" s="56" t="inlineStr">
        <x:is>
          <x:t xml:space="preserve">陪产假涨到 15 天了，nsdd，总算办了件实事</x:t>
        </x:is>
      </x:c>
      <x:c r="J491" s="56" t="str">
        <x:f>I491</x:f>
        <x:v>陪产假涨到 15 天了，nsdd，总算办了件实事</x:v>
      </x:c>
      <x:c r="K491" s="55" t="inlineStr">
        <x:is>
          <x:t xml:space="preserve">无需改写</x:t>
        </x:is>
      </x:c>
      <x:c r="L491" s="56" t="inlineStr">
        <x:is>
          <x:t xml:space="preserve">陪产假</x:t>
        </x:is>
      </x:c>
      <x:c r="M491" s="56" t="inlineStr">
        <x:is>
          <x:t xml:space="preserve">含网络缩写的口语</x:t>
        </x:is>
      </x:c>
      <x:c r="N491" s="56" t="inlineStr">
        <x:is>
          <x:t xml:space="preserve">育儿假涨到 15 天了</x:t>
        </x:is>
      </x:c>
      <x:c r="O491" s="55" t="inlineStr">
        <x:is>
          <x:t xml:space="preserve">中</x:t>
        </x:is>
      </x:c>
      <x:c r="P491" s="55" t="inlineStr">
        <x:is>
          <x:t xml:space="preserve">是</x:t>
        </x:is>
      </x:c>
      <x:c r="Q491" s="56" t="n"/>
      <x:c r="R491" s="57" t="inlineStr">
        <x:is>
          <x:t xml:space="preserve">主集</x:t>
        </x:is>
      </x:c>
      <x:c r="S491" s="57" t="inlineStr">
        <x:is>
          <x:t xml:space="preserve">dev</x:t>
        </x:is>
      </x:c>
      <x:c r="T491" s="57" t="inlineStr">
        <x:is>
          <x:t xml:space="preserve"/>
        </x:is>
      </x:c>
    </x:row>
    <x:row r="492" s="37" customFormat="1" ht="15" customHeight="1">
      <x:c r="A492" s="55" t="inlineStr">
        <x:is>
          <x:t xml:space="preserve">NEG-0491</x:t>
        </x:is>
      </x:c>
      <x:c r="B492" s="55" t="inlineStr">
        <x:is>
          <x:t xml:space="preserve">v3</x:t>
        </x:is>
      </x:c>
      <x:c r="C492" s="56" t="inlineStr">
        <x:is>
          <x:t xml:space="preserve">三、制度性与统计性区分</x:t>
        </x:is>
      </x:c>
      <x:c r="D492" s="56" t="inlineStr">
        <x:is>
          <x:t xml:space="preserve">3.5 统计、监测与研究</x:t>
        </x:is>
      </x:c>
      <x:c r="E492" s="56" t="inlineStr">
        <x:is>
          <x:t xml:space="preserve">学术与调研</x:t>
        </x:is>
      </x:c>
      <x:c r="F492" s="56" t="inlineStr">
        <x:is>
          <x:t xml:space="preserve">扫描报表</x:t>
        </x:is>
      </x:c>
      <x:c r="G492" s="55" t="inlineStr">
        <x:is>
          <x:t xml:space="preserve">OCR 错行</x:t>
        </x:is>
      </x:c>
      <x:c r="H492" s="55" t="str">
        <x:f>IF(LEN(I492)&lt;15,"短",IF(LEN(I492)&lt;=45,"中","长"))</x:f>
        <x:v>中</x:v>
      </x:c>
      <x:c r="I492" s="56" t="inlineStr">
        <x:is>
          <x:t xml:space="preserve">男性 72034 万 人 女性 68935 万人</x:t>
        </x:is>
      </x:c>
      <x:c r="J492" s="56" t="str">
        <x:f>I492</x:f>
        <x:v>男性 72034 万 人 女性 68935 万人</x:v>
      </x:c>
      <x:c r="K492" s="55" t="inlineStr">
        <x:is>
          <x:t xml:space="preserve">无需改写</x:t>
        </x:is>
      </x:c>
      <x:c r="L492" s="56" t="inlineStr">
        <x:is>
          <x:t xml:space="preserve">男性/女性</x:t>
        </x:is>
      </x:c>
      <x:c r="M492" s="56" t="inlineStr">
        <x:is>
          <x:t xml:space="preserve">OCR 输出的统计表文本</x:t>
        </x:is>
      </x:c>
      <x:c r="N492" s="56" t="inlineStr">
        <x:is>
          <x:t xml:space="preserve">总人口 140969 万人</x:t>
        </x:is>
      </x:c>
      <x:c r="O492" s="55" t="inlineStr">
        <x:is>
          <x:t xml:space="preserve">中</x:t>
        </x:is>
      </x:c>
      <x:c r="P492" s="55" t="inlineStr">
        <x:is>
          <x:t xml:space="preserve">否</x:t>
        </x:is>
      </x:c>
      <x:c r="Q492" s="56" t="n"/>
      <x:c r="R492" s="57" t="inlineStr">
        <x:is>
          <x:t xml:space="preserve">主集</x:t>
        </x:is>
      </x:c>
      <x:c r="S492" s="57" t="inlineStr">
        <x:is>
          <x:t xml:space="preserve">test</x:t>
        </x:is>
      </x:c>
      <x:c r="T492" s="57" t="inlineStr">
        <x:is>
          <x:t xml:space="preserve"/>
        </x:is>
      </x:c>
    </x:row>
    <x:row r="493" s="37" customFormat="1" ht="15" customHeight="1">
      <x:c r="A493" s="55" t="inlineStr">
        <x:is>
          <x:t xml:space="preserve">NEG-0492</x:t>
        </x:is>
      </x:c>
      <x:c r="B493" s="55" t="inlineStr">
        <x:is>
          <x:t xml:space="preserve">v3</x:t>
        </x:is>
      </x:c>
      <x:c r="C493" s="56" t="inlineStr">
        <x:is>
          <x:t xml:space="preserve">三、制度性与统计性区分</x:t>
        </x:is>
      </x:c>
      <x:c r="D493" s="56" t="inlineStr">
        <x:is>
          <x:t xml:space="preserve">3.3 体育竞技分级</x:t>
        </x:is>
      </x:c>
      <x:c r="E493" s="56" t="inlineStr">
        <x:is>
          <x:t xml:space="preserve">社交与社区</x:t>
        </x:is>
      </x:c>
      <x:c r="F493" s="56" t="inlineStr">
        <x:is>
          <x:t xml:space="preserve">弹幕</x:t>
        </x:is>
      </x:c>
      <x:c r="G493" s="55" t="inlineStr">
        <x:is>
          <x:t xml:space="preserve">网络用语</x:t>
        </x:is>
      </x:c>
      <x:c r="H493" s="55" t="str">
        <x:f>IF(LEN(I493)&lt;15,"短",IF(LEN(I493)&lt;=45,"中","长"))</x:f>
        <x:v>中</x:v>
      </x:c>
      <x:c r="I493" s="56" t="inlineStr">
        <x:is>
          <x:t xml:space="preserve">女子举重这把绝了！！最后一举直接翻盘 yyds</x:t>
        </x:is>
      </x:c>
      <x:c r="J493" s="56" t="str">
        <x:f>I493</x:f>
        <x:v>女子举重这把绝了！！最后一举直接翻盘 yyds</x:v>
      </x:c>
      <x:c r="K493" s="55" t="inlineStr">
        <x:is>
          <x:t xml:space="preserve">无需改写</x:t>
        </x:is>
      </x:c>
      <x:c r="L493" s="56" t="inlineStr">
        <x:is>
          <x:t xml:space="preserve">女子</x:t>
        </x:is>
      </x:c>
      <x:c r="M493" s="56" t="inlineStr">
        <x:is>
          <x:t xml:space="preserve">含网络流行语的弹幕</x:t>
        </x:is>
      </x:c>
      <x:c r="N493" s="56" t="inlineStr">
        <x:is>
          <x:t xml:space="preserve">举重这把绝了！！</x:t>
        </x:is>
      </x:c>
      <x:c r="O493" s="55" t="inlineStr">
        <x:is>
          <x:t xml:space="preserve">中</x:t>
        </x:is>
      </x:c>
      <x:c r="P493" s="55" t="inlineStr">
        <x:is>
          <x:t xml:space="preserve">否</x:t>
        </x:is>
      </x:c>
      <x:c r="Q493" s="56" t="n"/>
      <x:c r="R493" s="57" t="inlineStr">
        <x:is>
          <x:t xml:space="preserve">主集</x:t>
        </x:is>
      </x:c>
      <x:c r="S493" s="57" t="inlineStr">
        <x:is>
          <x:t xml:space="preserve">dev</x:t>
        </x:is>
      </x:c>
      <x:c r="T493" s="57" t="inlineStr">
        <x:is>
          <x:t xml:space="preserve"/>
        </x:is>
      </x:c>
    </x:row>
    <x:row r="494" s="37" customFormat="1" ht="29.850000381469727" customHeight="1">
      <x:c r="A494" s="55" t="inlineStr">
        <x:is>
          <x:t xml:space="preserve">NEG-0493</x:t>
        </x:is>
      </x:c>
      <x:c r="B494" s="55" t="inlineStr">
        <x:is>
          <x:t xml:space="preserve">v3</x:t>
        </x:is>
      </x:c>
      <x:c r="C494" s="56" t="inlineStr">
        <x:is>
          <x:t xml:space="preserve">四、专有名词与固定名称</x:t>
        </x:is>
      </x:c>
      <x:c r="D494" s="56" t="inlineStr">
        <x:is>
          <x:t xml:space="preserve">4.4 节日与纪念日</x:t>
        </x:is>
      </x:c>
      <x:c r="E494" s="56" t="inlineStr">
        <x:is>
          <x:t xml:space="preserve">商业与产品</x:t>
        </x:is>
      </x:c>
      <x:c r="F494" s="56" t="inlineStr">
        <x:is>
          <x:t xml:space="preserve">营销文案</x:t>
        </x:is>
      </x:c>
      <x:c r="G494" s="55" t="inlineStr">
        <x:is>
          <x:t xml:space="preserve">标签/emoji</x:t>
        </x:is>
      </x:c>
      <x:c r="H494" s="55" t="e">
        <x:f>IF(LEN(I494)&lt;15,"短",IF(LEN(I494)&lt;=45,"中","长"))</x:f>
      </x:c>
      <x:c r="I494" s="56" t="inlineStr">
        <x:is>
          <x:t xml:space="preserve">#三八节 #女神节 全场女装 8 折，3.8-3.10 🌷</x:t>
        </x:is>
      </x:c>
      <x:c r="J494" s="56" t="e">
        <x:f>I494</x:f>
      </x:c>
      <x:c r="K494" s="55" t="inlineStr">
        <x:is>
          <x:t xml:space="preserve">无需改写</x:t>
        </x:is>
      </x:c>
      <x:c r="L494" s="56" t="inlineStr">
        <x:is>
          <x:t xml:space="preserve">三八节/女神节/女装</x:t>
        </x:is>
      </x:c>
      <x:c r="M494" s="56" t="inlineStr">
        <x:is>
          <x:t xml:space="preserve">含话题标签的营销文案，标签是检索键</x:t>
        </x:is>
      </x:c>
      <x:c r="N494" s="56" t="inlineStr">
        <x:is>
          <x:t xml:space="preserve">#节日 #促销 全场服饰 8 折</x:t>
        </x:is>
      </x:c>
      <x:c r="O494" s="55" t="inlineStr">
        <x:is>
          <x:t xml:space="preserve">难</x:t>
        </x:is>
      </x:c>
      <x:c r="P494" s="55" t="inlineStr">
        <x:is>
          <x:t xml:space="preserve">是</x:t>
        </x:is>
      </x:c>
      <x:c r="Q494" s="56" t="inlineStr">
        <x:is>
          <x:t xml:space="preserve">女神节属营销造词，是否需改写有分歧</x:t>
        </x:is>
      </x:c>
      <x:c r="R494" s="57" t="inlineStr">
        <x:is>
          <x:t xml:space="preserve">主集</x:t>
        </x:is>
      </x:c>
      <x:c r="S494" s="57" t="inlineStr">
        <x:is>
          <x:t xml:space="preserve">test</x:t>
        </x:is>
      </x:c>
      <x:c r="T494" s="57" t="inlineStr">
        <x:is>
          <x:t xml:space="preserve"/>
        </x:is>
      </x:c>
    </x:row>
    <x:row r="495" s="37" customFormat="1" ht="15" customHeight="1">
      <x:c r="A495" s="55" t="inlineStr">
        <x:is>
          <x:t xml:space="preserve">NEG-0494</x:t>
        </x:is>
      </x:c>
      <x:c r="B495" s="55" t="inlineStr">
        <x:is>
          <x:t xml:space="preserve">v3</x:t>
        </x:is>
      </x:c>
      <x:c r="C495" s="56" t="inlineStr">
        <x:is>
          <x:t xml:space="preserve">四、专有名词与固定名称</x:t>
        </x:is>
      </x:c>
      <x:c r="D495" s="56" t="inlineStr">
        <x:is>
          <x:t xml:space="preserve">4.2 机构、组织与场所</x:t>
        </x:is>
      </x:c>
      <x:c r="E495" s="56" t="inlineStr">
        <x:is>
          <x:t xml:space="preserve">医疗健康</x:t>
        </x:is>
      </x:c>
      <x:c r="F495" s="56" t="inlineStr">
        <x:is>
          <x:t xml:space="preserve">就医分享</x:t>
        </x:is>
      </x:c>
      <x:c r="G495" s="55" t="inlineStr">
        <x:is>
          <x:t xml:space="preserve">错别字</x:t>
        </x:is>
      </x:c>
      <x:c r="H495" s="55" t="str">
        <x:f>IF(LEN(I495)&lt;15,"短",IF(LEN(I495)&lt;=45,"中","长"))</x:f>
        <x:v>中</x:v>
      </x:c>
      <x:c r="I495" s="56" t="inlineStr">
        <x:is>
          <x:t xml:space="preserve">带我妈去了市妇幻，人是真多，建议早点去</x:t>
        </x:is>
      </x:c>
      <x:c r="J495" s="56" t="str">
        <x:f>I495</x:f>
        <x:v>带我妈去了市妇幻，人是真多，建议早点去</x:v>
      </x:c>
      <x:c r="K495" s="55" t="inlineStr">
        <x:is>
          <x:t xml:space="preserve">无需改写</x:t>
        </x:is>
      </x:c>
      <x:c r="L495" s="56" t="inlineStr">
        <x:is>
          <x:t xml:space="preserve">妇幼</x:t>
        </x:is>
      </x:c>
      <x:c r="M495" s="56" t="inlineStr">
        <x:is>
          <x:t xml:space="preserve">含错别字的口语分享</x:t>
        </x:is>
      </x:c>
      <x:c r="N495" s="56" t="inlineStr">
        <x:is>
          <x:t xml:space="preserve">带家人去了市医院，人是真多</x:t>
        </x:is>
      </x:c>
      <x:c r="O495" s="55" t="inlineStr">
        <x:is>
          <x:t xml:space="preserve">难</x:t>
        </x:is>
      </x:c>
      <x:c r="P495" s="55" t="inlineStr">
        <x:is>
          <x:t xml:space="preserve">否</x:t>
        </x:is>
      </x:c>
      <x:c r="Q495" s="56" t="n"/>
      <x:c r="R495" s="57" t="inlineStr">
        <x:is>
          <x:t xml:space="preserve">主集</x:t>
        </x:is>
      </x:c>
      <x:c r="S495" s="57" t="inlineStr">
        <x:is>
          <x:t xml:space="preserve">test</x:t>
        </x:is>
      </x:c>
      <x:c r="T495" s="57" t="inlineStr">
        <x:is>
          <x:t xml:space="preserve"/>
        </x:is>
      </x:c>
    </x:row>
    <x:row r="496" s="37" customFormat="1" ht="15" customHeight="1">
      <x:c r="A496" s="58" t="inlineStr">
        <x:is>
          <x:t xml:space="preserve">NEG-0495</x:t>
        </x:is>
      </x:c>
      <x:c r="B496" s="58" t="inlineStr">
        <x:is>
          <x:t xml:space="preserve">v3</x:t>
        </x:is>
      </x:c>
      <x:c r="C496" s="59" t="inlineStr">
        <x:is>
          <x:t xml:space="preserve">四、专有名词与固定名称</x:t>
        </x:is>
      </x:c>
      <x:c r="D496" s="59" t="inlineStr">
        <x:is>
          <x:t xml:space="preserve">4.5 作品名与文化产品</x:t>
        </x:is>
      </x:c>
      <x:c r="E496" s="59" t="inlineStr">
        <x:is>
          <x:t xml:space="preserve">文艺创作与评论</x:t>
        </x:is>
      </x:c>
      <x:c r="F496" s="59" t="inlineStr">
        <x:is>
          <x:t xml:space="preserve">繁体书评</x:t>
        </x:is>
      </x:c>
      <x:c r="G496" s="58" t="inlineStr">
        <x:is>
          <x:t xml:space="preserve">繁体</x:t>
        </x:is>
      </x:c>
      <x:c r="H496" s="58" t="str">
        <x:f>IF(LEN(I496)&lt;15,"短",IF(LEN(I496)&lt;=45,"中","长"))</x:f>
        <x:v>中</x:v>
      </x:c>
      <x:c r="I496" s="59" t="inlineStr">
        <x:is>
          <x:t xml:space="preserve">《第二性》的中譯本我讀了三遍，每次感受都不同。</x:t>
        </x:is>
      </x:c>
      <x:c r="J496" s="59" t="str">
        <x:f>I496</x:f>
        <x:v>《第二性》的中譯本我讀了三遍，每次感受都不同。</x:v>
      </x:c>
      <x:c r="K496" s="58" t="inlineStr">
        <x:is>
          <x:t xml:space="preserve">无需改写</x:t>
        </x:is>
      </x:c>
      <x:c r="L496" s="59" t="inlineStr">
        <x:is>
          <x:t xml:space="preserve">第二性</x:t>
        </x:is>
      </x:c>
      <x:c r="M496" s="59" t="inlineStr">
        <x:is>
          <x:t xml:space="preserve">繁体书评文本</x:t>
        </x:is>
      </x:c>
      <x:c r="N496" s="59" t="inlineStr">
        <x:is>
          <x:t xml:space="preserve">這本書的中譯本我讀了三遍</x:t>
        </x:is>
      </x:c>
      <x:c r="O496" s="58" t="inlineStr">
        <x:is>
          <x:t xml:space="preserve">中</x:t>
        </x:is>
      </x:c>
      <x:c r="P496" s="58" t="inlineStr">
        <x:is>
          <x:t xml:space="preserve">否</x:t>
        </x:is>
      </x:c>
      <x:c r="Q496" s="59" t="n"/>
      <x:c r="R496" s="60" t="inlineStr">
        <x:is>
          <x:t xml:space="preserve">隔离·待确认</x:t>
        </x:is>
      </x:c>
      <x:c r="S496" s="60" t="inlineStr">
        <x:is>
          <x:t xml:space="preserve"/>
        </x:is>
      </x:c>
      <x:c r="T496" s="60" t="inlineStr">
        <x:is>
          <x:t xml:space="preserve">触发词不含性别编码——判断可能依赖世界知识而非句内信息</x:t>
        </x:is>
      </x:c>
    </x:row>
    <x:row r="497" s="37" customFormat="1" ht="15" customHeight="1">
      <x:c r="A497" s="55" t="inlineStr">
        <x:is>
          <x:t xml:space="preserve">NEG-0496</x:t>
        </x:is>
      </x:c>
      <x:c r="B497" s="55" t="inlineStr">
        <x:is>
          <x:t xml:space="preserve">v3</x:t>
        </x:is>
      </x:c>
      <x:c r="C497" s="56" t="inlineStr">
        <x:is>
          <x:t xml:space="preserve">五、引用与转述</x:t>
        </x:is>
      </x:c>
      <x:c r="D497" s="56" t="inlineStr">
        <x:is>
          <x:t xml:space="preserve">5.1 直接引语</x:t>
        </x:is>
      </x:c>
      <x:c r="E497" s="56" t="inlineStr">
        <x:is>
          <x:t xml:space="preserve">工程与技术</x:t>
        </x:is>
      </x:c>
      <x:c r="F497" s="56" t="inlineStr">
        <x:is>
          <x:t xml:space="preserve">语音转写</x:t>
        </x:is>
      </x:c>
      <x:c r="G497" s="55" t="inlineStr">
        <x:is>
          <x:t xml:space="preserve">ASR 转写</x:t>
        </x:is>
      </x:c>
      <x:c r="H497" s="55" t="str">
        <x:f>IF(LEN(I497)&lt;15,"短",IF(LEN(I497)&lt;=45,"中","长"))</x:f>
        <x:v>中</x:v>
      </x:c>
      <x:c r="I497" s="56" t="inlineStr">
        <x:is>
          <x:t xml:space="preserve">他在电话里说家里女人多事就多记者随后追问了这句话</x:t>
        </x:is>
      </x:c>
      <x:c r="J497" s="56" t="str">
        <x:f>I497</x:f>
        <x:v>他在电话里说家里女人多事就多记者随后追问了这句话</x:v>
      </x:c>
      <x:c r="K497" s="55" t="inlineStr">
        <x:is>
          <x:t xml:space="preserve">无需改写</x:t>
        </x:is>
      </x:c>
      <x:c r="L497" s="56" t="inlineStr">
        <x:is>
          <x:t xml:space="preserve">女人</x:t>
        </x:is>
      </x:c>
      <x:c r="M497" s="56" t="inlineStr">
        <x:is>
          <x:t xml:space="preserve">访谈录音的转写稿，无引号</x:t>
        </x:is>
      </x:c>
      <x:c r="N497" s="56" t="inlineStr">
        <x:is>
          <x:t xml:space="preserve">他在电话里抱怨家里事务繁多</x:t>
        </x:is>
      </x:c>
      <x:c r="O497" s="55" t="inlineStr">
        <x:is>
          <x:t xml:space="preserve">难</x:t>
        </x:is>
      </x:c>
      <x:c r="P497" s="55" t="inlineStr">
        <x:is>
          <x:t xml:space="preserve">否</x:t>
        </x:is>
      </x:c>
      <x:c r="Q497" s="56" t="inlineStr">
        <x:is>
          <x:t xml:space="preserve">缺引号时更易被误判为作者立场</x:t>
        </x:is>
      </x:c>
      <x:c r="R497" s="57" t="inlineStr">
        <x:is>
          <x:t xml:space="preserve">主集</x:t>
        </x:is>
      </x:c>
      <x:c r="S497" s="57" t="inlineStr">
        <x:is>
          <x:t xml:space="preserve">test</x:t>
        </x:is>
      </x:c>
      <x:c r="T497" s="57" t="inlineStr">
        <x:is>
          <x:t xml:space="preserve"/>
        </x:is>
      </x:c>
    </x:row>
    <x:row r="498" s="37" customFormat="1" ht="15" customHeight="1">
      <x:c r="A498" s="55" t="inlineStr">
        <x:is>
          <x:t xml:space="preserve">NEG-0497</x:t>
        </x:is>
      </x:c>
      <x:c r="B498" s="55" t="inlineStr">
        <x:is>
          <x:t xml:space="preserve">v3</x:t>
        </x:is>
      </x:c>
      <x:c r="C498" s="56" t="inlineStr">
        <x:is>
          <x:t xml:space="preserve">五、引用与转述</x:t>
        </x:is>
      </x:c>
      <x:c r="D498" s="56" t="inlineStr">
        <x:is>
          <x:t xml:space="preserve">5.5 批判性转述与举例</x:t>
        </x:is>
      </x:c>
      <x:c r="E498" s="56" t="inlineStr">
        <x:is>
          <x:t xml:space="preserve">社交与社区</x:t>
        </x:is>
      </x:c>
      <x:c r="F498" s="56" t="inlineStr">
        <x:is>
          <x:t xml:space="preserve">社交评论</x:t>
        </x:is>
      </x:c>
      <x:c r="G498" s="55" t="inlineStr">
        <x:is>
          <x:t xml:space="preserve">重复标点</x:t>
        </x:is>
      </x:c>
      <x:c r="H498" s="55" t="str">
        <x:f>IF(LEN(I498)&lt;15,"短",IF(LEN(I498)&lt;=45,"中","长"))</x:f>
        <x:v>中</x:v>
      </x:c>
      <x:c r="I498" s="56" t="inlineStr">
        <x:is>
          <x:t xml:space="preserve">又是那句「为母则刚」！！！听一次烦一次</x:t>
        </x:is>
      </x:c>
      <x:c r="J498" s="56" t="str">
        <x:f>I498</x:f>
        <x:v>又是那句「为母则刚」！！！听一次烦一次</x:v>
      </x:c>
      <x:c r="K498" s="55" t="inlineStr">
        <x:is>
          <x:t xml:space="preserve">无需改写</x:t>
        </x:is>
      </x:c>
      <x:c r="L498" s="56" t="inlineStr">
        <x:is>
          <x:t xml:space="preserve">为母则刚</x:t>
        </x:is>
      </x:c>
      <x:c r="M498" s="56" t="inlineStr">
        <x:is>
          <x:t xml:space="preserve">转述并反对该说法</x:t>
        </x:is>
      </x:c>
      <x:c r="N498" s="56" t="inlineStr">
        <x:is>
          <x:t xml:space="preserve">又是那类说法！！！听一次烦一次</x:t>
        </x:is>
      </x:c>
      <x:c r="O498" s="55" t="inlineStr">
        <x:is>
          <x:t xml:space="preserve">难</x:t>
        </x:is>
      </x:c>
      <x:c r="P498" s="55" t="inlineStr">
        <x:is>
          <x:t xml:space="preserve">否</x:t>
        </x:is>
      </x:c>
      <x:c r="Q498" s="56" t="n"/>
      <x:c r="R498" s="57" t="inlineStr">
        <x:is>
          <x:t xml:space="preserve">主集</x:t>
        </x:is>
      </x:c>
      <x:c r="S498" s="57" t="inlineStr">
        <x:is>
          <x:t xml:space="preserve">index</x:t>
        </x:is>
      </x:c>
      <x:c r="T498" s="57" t="inlineStr">
        <x:is>
          <x:t xml:space="preserve"/>
        </x:is>
      </x:c>
    </x:row>
    <x:row r="499" s="37" customFormat="1" ht="15" customHeight="1">
      <x:c r="A499" s="55" t="inlineStr">
        <x:is>
          <x:t xml:space="preserve">NEG-0498</x:t>
        </x:is>
      </x:c>
      <x:c r="B499" s="55" t="inlineStr">
        <x:is>
          <x:t xml:space="preserve">v3</x:t>
        </x:is>
      </x:c>
      <x:c r="C499" s="56" t="inlineStr">
        <x:is>
          <x:t xml:space="preserve">五、引用与转述</x:t>
        </x:is>
      </x:c>
      <x:c r="D499" s="56" t="inlineStr">
        <x:is>
          <x:t xml:space="preserve">5.6 二手转述与新闻报道</x:t>
        </x:is>
      </x:c>
      <x:c r="E499" s="56" t="inlineStr">
        <x:is>
          <x:t xml:space="preserve">社交与社区</x:t>
        </x:is>
      </x:c>
      <x:c r="F499" s="56" t="inlineStr">
        <x:is>
          <x:t xml:space="preserve">社交转发</x:t>
        </x:is>
      </x:c>
      <x:c r="G499" s="55" t="inlineStr">
        <x:is>
          <x:t xml:space="preserve">emoji</x:t>
        </x:is>
      </x:c>
      <x:c r="H499" s="55" t="str">
        <x:f>IF(LEN(I499)&lt;15,"短",IF(LEN(I499)&lt;=45,"中","长"))</x:f>
        <x:v>中</x:v>
      </x:c>
      <x:c r="I499" s="56" t="inlineStr">
        <x:is>
          <x:t xml:space="preserve">面试官问她三年内有没有生育计划🙃 这也能问？</x:t>
        </x:is>
      </x:c>
      <x:c r="J499" s="56" t="str">
        <x:f>I499</x:f>
        <x:v>面试官问她三年内有没有生育计划🙃 这也能问？</x:v>
      </x:c>
      <x:c r="K499" s="55" t="inlineStr">
        <x:is>
          <x:t xml:space="preserve">无需改写</x:t>
        </x:is>
      </x:c>
      <x:c r="L499" s="56" t="inlineStr">
        <x:is>
          <x:t xml:space="preserve">她/生育计划</x:t>
        </x:is>
      </x:c>
      <x:c r="M499" s="56" t="inlineStr">
        <x:is>
          <x:t xml:space="preserve">转述歧视事实</x:t>
        </x:is>
      </x:c>
      <x:c r="N499" s="56" t="inlineStr">
        <x:is>
          <x:t xml:space="preserve">面试官问了个人规划🙃 这也能问？</x:t>
        </x:is>
      </x:c>
      <x:c r="O499" s="55" t="inlineStr">
        <x:is>
          <x:t xml:space="preserve">难</x:t>
        </x:is>
      </x:c>
      <x:c r="P499" s="55" t="inlineStr">
        <x:is>
          <x:t xml:space="preserve">否</x:t>
        </x:is>
      </x:c>
      <x:c r="Q499" s="56" t="n"/>
      <x:c r="R499" s="57" t="inlineStr">
        <x:is>
          <x:t xml:space="preserve">主集</x:t>
        </x:is>
      </x:c>
      <x:c r="S499" s="57" t="inlineStr">
        <x:is>
          <x:t xml:space="preserve">dev</x:t>
        </x:is>
      </x:c>
      <x:c r="T499" s="57" t="inlineStr">
        <x:is>
          <x:t xml:space="preserve"/>
        </x:is>
      </x:c>
    </x:row>
    <x:row r="500" s="37" customFormat="1" ht="15" customHeight="1">
      <x:c r="A500" s="55" t="inlineStr">
        <x:is>
          <x:t xml:space="preserve">NEG-0499</x:t>
        </x:is>
      </x:c>
      <x:c r="B500" s="55" t="inlineStr">
        <x:is>
          <x:t xml:space="preserve">v3</x:t>
        </x:is>
      </x:c>
      <x:c r="C500" s="56" t="inlineStr">
        <x:is>
          <x:t xml:space="preserve">六、自我认同与自称</x:t>
        </x:is>
      </x:c>
      <x:c r="D500" s="56" t="inlineStr">
        <x:is>
          <x:t xml:space="preserve">6.1 自我描述的性别标签</x:t>
        </x:is>
      </x:c>
      <x:c r="E500" s="56" t="inlineStr">
        <x:is>
          <x:t xml:space="preserve">社交与社区</x:t>
        </x:is>
      </x:c>
      <x:c r="F500" s="56" t="inlineStr">
        <x:is>
          <x:t xml:space="preserve">社交动态</x:t>
        </x:is>
      </x:c>
      <x:c r="G500" s="55" t="inlineStr">
        <x:is>
          <x:t xml:space="preserve">网络用语</x:t>
        </x:is>
      </x:c>
      <x:c r="H500" s="55" t="str">
        <x:f>IF(LEN(I500)&lt;15,"短",IF(LEN(I500)&lt;=45,"中","长"))</x:f>
        <x:v>中</x:v>
      </x:c>
      <x:c r="I500" s="56" t="inlineStr">
        <x:is>
          <x:t xml:space="preserve">我就是个普通女生 没啥大志向 就想搞钱 lol</x:t>
        </x:is>
      </x:c>
      <x:c r="J500" s="56" t="str">
        <x:f>I500</x:f>
        <x:v>我就是个普通女生 没啥大志向 就想搞钱 lol</x:v>
      </x:c>
      <x:c r="K500" s="55" t="inlineStr">
        <x:is>
          <x:t xml:space="preserve">无需改写</x:t>
        </x:is>
      </x:c>
      <x:c r="L500" s="56" t="inlineStr">
        <x:is>
          <x:t xml:space="preserve">女生</x:t>
        </x:is>
      </x:c>
      <x:c r="M500" s="56" t="inlineStr">
        <x:is>
          <x:t xml:space="preserve">自我描述，含网络语体</x:t>
        </x:is>
      </x:c>
      <x:c r="N500" s="56" t="inlineStr">
        <x:is>
          <x:t xml:space="preserve">我就是个普通人 没啥大志向</x:t>
        </x:is>
      </x:c>
      <x:c r="O500" s="55" t="inlineStr">
        <x:is>
          <x:t xml:space="preserve">难</x:t>
        </x:is>
      </x:c>
      <x:c r="P500" s="55" t="inlineStr">
        <x:is>
          <x:t xml:space="preserve">否</x:t>
        </x:is>
      </x:c>
      <x:c r="Q500" s="56" t="n"/>
      <x:c r="R500" s="57" t="inlineStr">
        <x:is>
          <x:t xml:space="preserve">主集</x:t>
        </x:is>
      </x:c>
      <x:c r="S500" s="57" t="inlineStr">
        <x:is>
          <x:t xml:space="preserve">test</x:t>
        </x:is>
      </x:c>
      <x:c r="T500" s="57" t="inlineStr">
        <x:is>
          <x:t xml:space="preserve"/>
        </x:is>
      </x:c>
    </x:row>
    <x:row r="501" s="37" customFormat="1" ht="15" customHeight="1">
      <x:c r="A501" s="55" t="inlineStr">
        <x:is>
          <x:t xml:space="preserve">NEG-0500</x:t>
        </x:is>
      </x:c>
      <x:c r="B501" s="55" t="inlineStr">
        <x:is>
          <x:t xml:space="preserve">v3</x:t>
        </x:is>
      </x:c>
      <x:c r="C501" s="56" t="inlineStr">
        <x:is>
          <x:t xml:space="preserve">六、自我认同与自称</x:t>
        </x:is>
      </x:c>
      <x:c r="D501" s="56" t="inlineStr">
        <x:is>
          <x:t xml:space="preserve">6.2 主动声明的性别与代词</x:t>
        </x:is>
      </x:c>
      <x:c r="E501" s="56" t="inlineStr">
        <x:is>
          <x:t xml:space="preserve">口语与私人交流</x:t>
        </x:is>
      </x:c>
      <x:c r="F501" s="56" t="inlineStr">
        <x:is>
          <x:t xml:space="preserve">签名档</x:t>
        </x:is>
      </x:c>
      <x:c r="G501" s="55" t="inlineStr">
        <x:is>
          <x:t xml:space="preserve">全半角混用</x:t>
        </x:is>
      </x:c>
      <x:c r="H501" s="55" t="str">
        <x:f>IF(LEN(I501)&lt;15,"短",IF(LEN(I501)&lt;=45,"中","长"))</x:f>
        <x:v>中</x:v>
      </x:c>
      <x:c r="I501" s="56" t="inlineStr">
        <x:is>
          <x:t xml:space="preserve">李某某（她／她的）｜产品部｜分机８１０２</x:t>
        </x:is>
      </x:c>
      <x:c r="J501" s="56" t="str">
        <x:f>I501</x:f>
        <x:v>李某某（她／她的）｜产品部｜分机８１０２</x:v>
      </x:c>
      <x:c r="K501" s="55" t="inlineStr">
        <x:is>
          <x:t xml:space="preserve">无需改写</x:t>
        </x:is>
      </x:c>
      <x:c r="L501" s="56" t="inlineStr">
        <x:is>
          <x:t xml:space="preserve">她／她的</x:t>
        </x:is>
      </x:c>
      <x:c r="M501" s="56" t="inlineStr">
        <x:is>
          <x:t xml:space="preserve">本人声明的代词，全半角混排</x:t>
        </x:is>
      </x:c>
      <x:c r="N501" s="56" t="inlineStr">
        <x:is>
          <x:t xml:space="preserve">李某某（TA／TA的）｜产品部</x:t>
        </x:is>
      </x:c>
      <x:c r="O501" s="55" t="inlineStr">
        <x:is>
          <x:t xml:space="preserve">难</x:t>
        </x:is>
      </x:c>
      <x:c r="P501" s="55" t="inlineStr">
        <x:is>
          <x:t xml:space="preserve">否</x:t>
        </x:is>
      </x:c>
      <x:c r="Q501" s="56" t="n"/>
      <x:c r="R501" s="57" t="inlineStr">
        <x:is>
          <x:t xml:space="preserve">主集</x:t>
        </x:is>
      </x:c>
      <x:c r="S501" s="57" t="inlineStr">
        <x:is>
          <x:t xml:space="preserve">index</x:t>
        </x:is>
      </x:c>
      <x:c r="T501" s="57" t="inlineStr">
        <x:is>
          <x:t xml:space="preserve"/>
        </x:is>
      </x:c>
    </x:row>
    <x:row r="502" s="37" customFormat="1" ht="15" customHeight="1">
      <x:c r="A502" s="55" t="inlineStr">
        <x:is>
          <x:t xml:space="preserve">NEG-0501</x:t>
        </x:is>
      </x:c>
      <x:c r="B502" s="55" t="inlineStr">
        <x:is>
          <x:t xml:space="preserve">v3</x:t>
        </x:is>
      </x:c>
      <x:c r="C502" s="56" t="inlineStr">
        <x:is>
          <x:t xml:space="preserve">六、自我认同与自称</x:t>
        </x:is>
      </x:c>
      <x:c r="D502" s="56" t="inlineStr">
        <x:is>
          <x:t xml:space="preserve">6.3 社群内部用语</x:t>
        </x:is>
      </x:c>
      <x:c r="E502" s="56" t="inlineStr">
        <x:is>
          <x:t xml:space="preserve">口语与私人交流</x:t>
        </x:is>
      </x:c>
      <x:c r="F502" s="56" t="inlineStr">
        <x:is>
          <x:t xml:space="preserve">社群聊天</x:t>
        </x:is>
      </x:c>
      <x:c r="G502" s="55" t="inlineStr">
        <x:is>
          <x:t xml:space="preserve">网络用语</x:t>
        </x:is>
      </x:c>
      <x:c r="H502" s="55" t="str">
        <x:f>IF(LEN(I502)&lt;15,"短",IF(LEN(I502)&lt;=45,"中","长"))</x:f>
        <x:v>中</x:v>
      </x:c>
      <x:c r="I502" s="56" t="inlineStr">
        <x:is>
          <x:t xml:space="preserve">姐妹们！！这个价蹲了仨月了 冲就完事儿</x:t>
        </x:is>
      </x:c>
      <x:c r="J502" s="56" t="str">
        <x:f>I502</x:f>
        <x:v>姐妹们！！这个价蹲了仨月了 冲就完事儿</x:v>
      </x:c>
      <x:c r="K502" s="55" t="inlineStr">
        <x:is>
          <x:t xml:space="preserve">无需改写</x:t>
        </x:is>
      </x:c>
      <x:c r="L502" s="56" t="inlineStr">
        <x:is>
          <x:t xml:space="preserve">姐妹们</x:t>
        </x:is>
      </x:c>
      <x:c r="M502" s="56" t="inlineStr">
        <x:is>
          <x:t xml:space="preserve">已泛化的招呼语</x:t>
        </x:is>
      </x:c>
      <x:c r="N502" s="56" t="inlineStr">
        <x:is>
          <x:t xml:space="preserve">大家！！这个价蹲了仨月了</x:t>
        </x:is>
      </x:c>
      <x:c r="O502" s="55" t="inlineStr">
        <x:is>
          <x:t xml:space="preserve">中</x:t>
        </x:is>
      </x:c>
      <x:c r="P502" s="55" t="inlineStr">
        <x:is>
          <x:t xml:space="preserve">是</x:t>
        </x:is>
      </x:c>
      <x:c r="Q502" s="56" t="n"/>
      <x:c r="R502" s="57" t="inlineStr">
        <x:is>
          <x:t xml:space="preserve">主集</x:t>
        </x:is>
      </x:c>
      <x:c r="S502" s="57" t="inlineStr">
        <x:is>
          <x:t xml:space="preserve">index</x:t>
        </x:is>
      </x:c>
      <x:c r="T502" s="57" t="inlineStr">
        <x:is>
          <x:t xml:space="preserve"/>
        </x:is>
      </x:c>
    </x:row>
    <x:row r="503" s="37" customFormat="1" ht="15" customHeight="1">
      <x:c r="A503" s="55" t="inlineStr">
        <x:is>
          <x:t xml:space="preserve">NEG-0502</x:t>
        </x:is>
      </x:c>
      <x:c r="B503" s="55" t="inlineStr">
        <x:is>
          <x:t xml:space="preserve">v3</x:t>
        </x:is>
      </x:c>
      <x:c r="C503" s="56" t="inlineStr">
        <x:is>
          <x:t xml:space="preserve">六、自我认同与自称</x:t>
        </x:is>
      </x:c>
      <x:c r="D503" s="56" t="inlineStr">
        <x:is>
          <x:t xml:space="preserve">6.4 职业与身份的自我定位</x:t>
        </x:is>
      </x:c>
      <x:c r="E503" s="56" t="inlineStr">
        <x:is>
          <x:t xml:space="preserve">文艺创作与评论</x:t>
        </x:is>
      </x:c>
      <x:c r="F503" s="56" t="inlineStr">
        <x:is>
          <x:t xml:space="preserve">视频字幕</x:t>
        </x:is>
      </x:c>
      <x:c r="G503" s="55" t="inlineStr">
        <x:is>
          <x:t xml:space="preserve">ASR 转写</x:t>
        </x:is>
      </x:c>
      <x:c r="H503" s="55" t="str">
        <x:f>IF(LEN(I503)&lt;15,"短",IF(LEN(I503)&lt;=45,"中","长"))</x:f>
        <x:v>中</x:v>
      </x:c>
      <x:c r="I503" s="56" t="inlineStr">
        <x:is>
          <x:t xml:space="preserve">作为一个男幼师我最常被问的就是你怎么会想干这行</x:t>
        </x:is>
      </x:c>
      <x:c r="J503" s="56" t="str">
        <x:f>I503</x:f>
        <x:v>作为一个男幼师我最常被问的就是你怎么会想干这行</x:v>
      </x:c>
      <x:c r="K503" s="55" t="inlineStr">
        <x:is>
          <x:t xml:space="preserve">无需改写</x:t>
        </x:is>
      </x:c>
      <x:c r="L503" s="56" t="inlineStr">
        <x:is>
          <x:t xml:space="preserve">男幼师</x:t>
        </x:is>
      </x:c>
      <x:c r="M503" s="56" t="inlineStr">
        <x:is>
          <x:t xml:space="preserve">口述内容的字幕转写</x:t>
        </x:is>
      </x:c>
      <x:c r="N503" s="56" t="inlineStr">
        <x:is>
          <x:t xml:space="preserve">作为一名幼师我最常被问的就是……</x:t>
        </x:is>
      </x:c>
      <x:c r="O503" s="55" t="inlineStr">
        <x:is>
          <x:t xml:space="preserve">难</x:t>
        </x:is>
      </x:c>
      <x:c r="P503" s="55" t="inlineStr">
        <x:is>
          <x:t xml:space="preserve">否</x:t>
        </x:is>
      </x:c>
      <x:c r="Q503" s="56" t="n"/>
      <x:c r="R503" s="57" t="inlineStr">
        <x:is>
          <x:t xml:space="preserve">主集</x:t>
        </x:is>
      </x:c>
      <x:c r="S503" s="57" t="inlineStr">
        <x:is>
          <x:t xml:space="preserve">test</x:t>
        </x:is>
      </x:c>
      <x:c r="T503" s="57" t="inlineStr">
        <x:is>
          <x:t xml:space="preserve"/>
        </x:is>
      </x:c>
    </x:row>
    <x:row r="504" s="37" customFormat="1" ht="15" customHeight="1">
      <x:c r="A504" s="61" t="inlineStr">
        <x:is>
          <x:t xml:space="preserve">NEG-0503</x:t>
        </x:is>
      </x:c>
      <x:c r="B504" s="61" t="inlineStr">
        <x:is>
          <x:t xml:space="preserve">v3</x:t>
        </x:is>
      </x:c>
      <x:c r="C504" s="62" t="inlineStr">
        <x:is>
          <x:t xml:space="preserve">七、创作与修辞需要</x:t>
        </x:is>
      </x:c>
      <x:c r="D504" s="62" t="inlineStr">
        <x:is>
          <x:t xml:space="preserve">7.1 人物塑造</x:t>
        </x:is>
      </x:c>
      <x:c r="E504" s="62" t="inlineStr">
        <x:is>
          <x:t xml:space="preserve">社交与社区</x:t>
        </x:is>
      </x:c>
      <x:c r="F504" s="62" t="inlineStr">
        <x:is>
          <x:t xml:space="preserve">弹幕</x:t>
        </x:is>
      </x:c>
      <x:c r="G504" s="61" t="inlineStr">
        <x:is>
          <x:t xml:space="preserve">网络用语</x:t>
        </x:is>
      </x:c>
      <x:c r="H504" s="61" t="str">
        <x:f>IF(LEN(I504)&lt;15,"短",IF(LEN(I504)&lt;=45,"中","长"))</x:f>
        <x:v>中</x:v>
      </x:c>
      <x:c r="I504" s="62" t="inlineStr">
        <x:is>
          <x:t xml:space="preserve">这婆婆嘴太毒了 演员演技绝了 恨得牙痒痒</x:t>
        </x:is>
      </x:c>
      <x:c r="J504" s="62" t="str">
        <x:f>I504</x:f>
        <x:v>这婆婆嘴太毒了 演员演技绝了 恨得牙痒痒</x:v>
      </x:c>
      <x:c r="K504" s="61" t="inlineStr">
        <x:is>
          <x:t xml:space="preserve">无需改写</x:t>
        </x:is>
      </x:c>
      <x:c r="L504" s="62" t="inlineStr">
        <x:is>
          <x:t xml:space="preserve">婆婆</x:t>
        </x:is>
      </x:c>
      <x:c r="M504" s="62" t="inlineStr">
        <x:is>
          <x:t xml:space="preserve">评论指向剧中角色</x:t>
        </x:is>
      </x:c>
      <x:c r="N504" s="62" t="inlineStr">
        <x:is>
          <x:t xml:space="preserve">这个角色嘴太毒了 演员演技绝了</x:t>
        </x:is>
      </x:c>
      <x:c r="O504" s="61" t="inlineStr">
        <x:is>
          <x:t xml:space="preserve">中</x:t>
        </x:is>
      </x:c>
      <x:c r="P504" s="61" t="inlineStr">
        <x:is>
          <x:t xml:space="preserve">否</x:t>
        </x:is>
      </x:c>
      <x:c r="Q504" s="62" t="n"/>
      <x:c r="R504" s="63" t="inlineStr">
        <x:is>
          <x:t xml:space="preserve">剔除</x:t>
        </x:is>
      </x:c>
      <x:c r="S504" s="63" t="inlineStr">
        <x:is>
          <x:t xml:space="preserve"/>
        </x:is>
      </x:c>
      <x:c r="T504" s="63" t="inlineStr">
        <x:is>
          <x:t xml:space="preserve">类别名有误导性：判据实为「引用/提及」，暂不纳入</x:t>
        </x:is>
      </x:c>
    </x:row>
    <x:row r="505" s="37" customFormat="1" ht="15" customHeight="1">
      <x:c r="A505" s="61" t="inlineStr">
        <x:is>
          <x:t xml:space="preserve">NEG-0504</x:t>
        </x:is>
      </x:c>
      <x:c r="B505" s="61" t="inlineStr">
        <x:is>
          <x:t xml:space="preserve">v3</x:t>
        </x:is>
      </x:c>
      <x:c r="C505" s="62" t="inlineStr">
        <x:is>
          <x:t xml:space="preserve">七、创作与修辞需要</x:t>
        </x:is>
      </x:c>
      <x:c r="D505" s="62" t="inlineStr">
        <x:is>
          <x:t xml:space="preserve">7.2 情节与主题必需</x:t>
        </x:is>
      </x:c>
      <x:c r="E505" s="62" t="inlineStr">
        <x:is>
          <x:t xml:space="preserve">社交与社区</x:t>
        </x:is>
      </x:c>
      <x:c r="F505" s="62" t="inlineStr">
        <x:is>
          <x:t xml:space="preserve">弹幕</x:t>
        </x:is>
      </x:c>
      <x:c r="G505" s="61" t="inlineStr">
        <x:is>
          <x:t xml:space="preserve">重复标点</x:t>
        </x:is>
      </x:c>
      <x:c r="H505" s="61" t="str">
        <x:f>IF(LEN(I505)&lt;15,"短",IF(LEN(I505)&lt;=45,"中","长"))</x:f>
        <x:v>中</x:v>
      </x:c>
      <x:c r="I505" s="62" t="inlineStr">
        <x:is>
          <x:t xml:space="preserve">啊啊啊那个小哥居然是女的假扮的！！！前面全是伏笔</x:t>
        </x:is>
      </x:c>
      <x:c r="J505" s="62" t="str">
        <x:f>I505</x:f>
        <x:v>啊啊啊那个小哥居然是女的假扮的！！！前面全是伏笔</x:v>
      </x:c>
      <x:c r="K505" s="61" t="inlineStr">
        <x:is>
          <x:t xml:space="preserve">无需改写</x:t>
        </x:is>
      </x:c>
      <x:c r="L505" s="62" t="inlineStr">
        <x:is>
          <x:t xml:space="preserve">小哥/女的</x:t>
        </x:is>
      </x:c>
      <x:c r="M505" s="62" t="inlineStr">
        <x:is>
          <x:t xml:space="preserve">性别错位是剧情反转</x:t>
        </x:is>
      </x:c>
      <x:c r="N505" s="62" t="inlineStr">
        <x:is>
          <x:t xml:space="preserve">那个人居然是假扮的！！！</x:t>
        </x:is>
      </x:c>
      <x:c r="O505" s="61" t="inlineStr">
        <x:is>
          <x:t xml:space="preserve">难</x:t>
        </x:is>
      </x:c>
      <x:c r="P505" s="61" t="inlineStr">
        <x:is>
          <x:t xml:space="preserve">否</x:t>
        </x:is>
      </x:c>
      <x:c r="Q505" s="62" t="n"/>
      <x:c r="R505" s="63" t="inlineStr">
        <x:is>
          <x:t xml:space="preserve">剔除</x:t>
        </x:is>
      </x:c>
      <x:c r="S505" s="63" t="inlineStr">
        <x:is>
          <x:t xml:space="preserve"/>
        </x:is>
      </x:c>
      <x:c r="T505" s="63" t="inlineStr">
        <x:is>
          <x:t xml:space="preserve">类别名有误导性：判据实为「引用/提及」，暂不纳入</x:t>
        </x:is>
      </x:c>
    </x:row>
    <x:row r="506" s="37" customFormat="1" ht="15" customHeight="1">
      <x:c r="A506" s="61" t="inlineStr">
        <x:is>
          <x:t xml:space="preserve">NEG-0505</x:t>
        </x:is>
      </x:c>
      <x:c r="B506" s="61" t="inlineStr">
        <x:is>
          <x:t xml:space="preserve">v3</x:t>
        </x:is>
      </x:c>
      <x:c r="C506" s="62" t="inlineStr">
        <x:is>
          <x:t xml:space="preserve">七、创作与修辞需要</x:t>
        </x:is>
      </x:c>
      <x:c r="D506" s="62" t="inlineStr">
        <x:is>
          <x:t xml:space="preserve">7.3 时代与地域还原</x:t>
        </x:is>
      </x:c>
      <x:c r="E506" s="62" t="inlineStr">
        <x:is>
          <x:t xml:space="preserve">文艺创作与评论</x:t>
        </x:is>
      </x:c>
      <x:c r="F506" s="62" t="inlineStr">
        <x:is>
          <x:t xml:space="preserve">繁体剧本</x:t>
        </x:is>
      </x:c>
      <x:c r="G506" s="61" t="inlineStr">
        <x:is>
          <x:t xml:space="preserve">繁体</x:t>
        </x:is>
      </x:c>
      <x:c r="H506" s="61" t="str">
        <x:f>IF(LEN(I506)&lt;15,"短",IF(LEN(I506)&lt;=45,"中","长"))</x:f>
        <x:v>中</x:v>
      </x:c>
      <x:c r="I506" s="62" t="inlineStr">
        <x:is>
          <x:t xml:space="preserve">夥計躬身：「這位少奶奶，樓上雅座請。」</x:t>
        </x:is>
      </x:c>
      <x:c r="J506" s="62" t="str">
        <x:f>I506</x:f>
        <x:v>夥計躬身：「這位少奶奶，樓上雅座請。」</x:v>
      </x:c>
      <x:c r="K506" s="61" t="inlineStr">
        <x:is>
          <x:t xml:space="preserve">无需改写</x:t>
        </x:is>
      </x:c>
      <x:c r="L506" s="62" t="inlineStr">
        <x:is>
          <x:t xml:space="preserve">少奶奶</x:t>
        </x:is>
      </x:c>
      <x:c r="M506" s="62" t="inlineStr">
        <x:is>
          <x:t xml:space="preserve">繁体剧本中的年代称谓</x:t>
        </x:is>
      </x:c>
      <x:c r="N506" s="62" t="inlineStr">
        <x:is>
          <x:t xml:space="preserve">夥計躬身：「這位女士，樓上雅座請。」</x:t>
        </x:is>
      </x:c>
      <x:c r="O506" s="61" t="inlineStr">
        <x:is>
          <x:t xml:space="preserve">难</x:t>
        </x:is>
      </x:c>
      <x:c r="P506" s="61" t="inlineStr">
        <x:is>
          <x:t xml:space="preserve">否</x:t>
        </x:is>
      </x:c>
      <x:c r="Q506" s="62" t="n"/>
      <x:c r="R506" s="63" t="inlineStr">
        <x:is>
          <x:t xml:space="preserve">剔除</x:t>
        </x:is>
      </x:c>
      <x:c r="S506" s="63" t="inlineStr">
        <x:is>
          <x:t xml:space="preserve"/>
        </x:is>
      </x:c>
      <x:c r="T506" s="63" t="inlineStr">
        <x:is>
          <x:t xml:space="preserve">类别名有误导性：判据实为「引用/提及」，暂不纳入</x:t>
        </x:is>
      </x:c>
    </x:row>
    <x:row r="507" s="37" customFormat="1" ht="29.850000381469727" customHeight="1">
      <x:c r="A507" s="55" t="inlineStr">
        <x:is>
          <x:t xml:space="preserve">NEG-0506</x:t>
        </x:is>
      </x:c>
      <x:c r="B507" s="55" t="inlineStr">
        <x:is>
          <x:t xml:space="preserve">v3</x:t>
        </x:is>
      </x:c>
      <x:c r="C507" s="56" t="inlineStr">
        <x:is>
          <x:t xml:space="preserve">八、语言本体层面的历史残留</x:t>
        </x:is>
      </x:c>
      <x:c r="D507" s="56" t="inlineStr">
        <x:is>
          <x:t xml:space="preserve">8.2 敬语传统的中性化用法</x:t>
        </x:is>
      </x:c>
      <x:c r="E507" s="56" t="inlineStr">
        <x:is>
          <x:t xml:space="preserve">学术与调研</x:t>
        </x:is>
      </x:c>
      <x:c r="F507" s="56" t="inlineStr">
        <x:is>
          <x:t xml:space="preserve">繁体出版</x:t>
        </x:is>
      </x:c>
      <x:c r="G507" s="55" t="inlineStr">
        <x:is>
          <x:t xml:space="preserve">繁体</x:t>
        </x:is>
      </x:c>
      <x:c r="H507" s="55" t="str">
        <x:f>IF(LEN(I507)&lt;15,"短",IF(LEN(I507)&lt;=45,"中","长"))</x:f>
        <x:v>中</x:v>
      </x:c>
      <x:c r="I507" s="56" t="inlineStr">
        <x:is>
          <x:t xml:space="preserve">楊絳先生的《我們仨》繁體版由時報出版發行。</x:t>
        </x:is>
      </x:c>
      <x:c r="J507" s="56" t="str">
        <x:f>I507</x:f>
        <x:v>楊絳先生的《我們仨》繁體版由時報出版發行。</x:v>
      </x:c>
      <x:c r="K507" s="55" t="inlineStr">
        <x:is>
          <x:t xml:space="preserve">无需改写</x:t>
        </x:is>
      </x:c>
      <x:c r="L507" s="56" t="inlineStr">
        <x:is>
          <x:t xml:space="preserve">先生</x:t>
        </x:is>
      </x:c>
      <x:c r="M507" s="56" t="inlineStr">
        <x:is>
          <x:t xml:space="preserve">繁体出版信息中的敬称</x:t>
        </x:is>
      </x:c>
      <x:c r="N507" s="56" t="inlineStr">
        <x:is>
          <x:t xml:space="preserve">楊絳女士的《我們仨》由時報出版發行</x:t>
        </x:is>
      </x:c>
      <x:c r="O507" s="55" t="inlineStr">
        <x:is>
          <x:t xml:space="preserve">难</x:t>
        </x:is>
      </x:c>
      <x:c r="P507" s="55" t="inlineStr">
        <x:is>
          <x:t xml:space="preserve">是</x:t>
        </x:is>
      </x:c>
      <x:c r="Q507" s="56" t="n"/>
      <x:c r="R507" s="57" t="inlineStr">
        <x:is>
          <x:t xml:space="preserve">主集</x:t>
        </x:is>
      </x:c>
      <x:c r="S507" s="57" t="inlineStr">
        <x:is>
          <x:t xml:space="preserve">test</x:t>
        </x:is>
      </x:c>
      <x:c r="T507" s="57" t="inlineStr">
        <x:is>
          <x:t xml:space="preserve"/>
        </x:is>
      </x:c>
    </x:row>
    <x:row r="508" s="37" customFormat="1" ht="29.850000381469727" customHeight="1">
      <x:c r="A508" s="55" t="inlineStr">
        <x:is>
          <x:t xml:space="preserve">NEG-0507</x:t>
        </x:is>
      </x:c>
      <x:c r="B508" s="55" t="inlineStr">
        <x:is>
          <x:t xml:space="preserve">v3</x:t>
        </x:is>
      </x:c>
      <x:c r="C508" s="56" t="inlineStr">
        <x:is>
          <x:t xml:space="preserve">八、语言本体层面的历史残留</x:t>
        </x:is>
      </x:c>
      <x:c r="D508" s="56" t="inlineStr">
        <x:is>
          <x:t xml:space="preserve">8.3 已中性化的复合词</x:t>
        </x:is>
      </x:c>
      <x:c r="E508" s="56" t="inlineStr">
        <x:is>
          <x:t xml:space="preserve">公文与规章</x:t>
        </x:is>
      </x:c>
      <x:c r="F508" s="56" t="inlineStr">
        <x:is>
          <x:t xml:space="preserve">村务广播</x:t>
        </x:is>
      </x:c>
      <x:c r="G508" s="55" t="inlineStr">
        <x:is>
          <x:t xml:space="preserve">ASR 转写</x:t>
        </x:is>
      </x:c>
      <x:c r="H508" s="55" t="str">
        <x:f>IF(LEN(I508)&lt;15,"短",IF(LEN(I508)&lt;=45,"中","长"))</x:f>
        <x:v>中</x:v>
      </x:c>
      <x:c r="I508" s="56" t="inlineStr">
        <x:is>
          <x:t xml:space="preserve">各位父老乡亲注意了明天下午三点在村委会开会不见不散</x:t>
        </x:is>
      </x:c>
      <x:c r="J508" s="56" t="str">
        <x:f>I508</x:f>
        <x:v>各位父老乡亲注意了明天下午三点在村委会开会不见不散</x:v>
      </x:c>
      <x:c r="K508" s="55" t="inlineStr">
        <x:is>
          <x:t xml:space="preserve">无需改写</x:t>
        </x:is>
      </x:c>
      <x:c r="L508" s="56" t="inlineStr">
        <x:is>
          <x:t xml:space="preserve">父老乡亲</x:t>
        </x:is>
      </x:c>
      <x:c r="M508" s="56" t="inlineStr">
        <x:is>
          <x:t xml:space="preserve">广播稿转写，无标点</x:t>
        </x:is>
      </x:c>
      <x:c r="N508" s="56" t="inlineStr">
        <x:is>
          <x:t xml:space="preserve">各位村民注意了明天下午三点开会</x:t>
        </x:is>
      </x:c>
      <x:c r="O508" s="55" t="inlineStr">
        <x:is>
          <x:t xml:space="preserve">中</x:t>
        </x:is>
      </x:c>
      <x:c r="P508" s="55" t="inlineStr">
        <x:is>
          <x:t xml:space="preserve">是</x:t>
        </x:is>
      </x:c>
      <x:c r="Q508" s="56" t="n"/>
      <x:c r="R508" s="57" t="inlineStr">
        <x:is>
          <x:t xml:space="preserve">主集</x:t>
        </x:is>
      </x:c>
      <x:c r="S508" s="57" t="inlineStr">
        <x:is>
          <x:t xml:space="preserve">index</x:t>
        </x:is>
      </x:c>
      <x:c r="T508" s="57" t="inlineStr">
        <x:is>
          <x:t xml:space="preserve"/>
        </x:is>
      </x:c>
    </x:row>
    <x:row r="509" s="37" customFormat="1" ht="29.850000381469727" customHeight="1">
      <x:c r="A509" s="58" t="inlineStr">
        <x:is>
          <x:t xml:space="preserve">NEG-0508</x:t>
        </x:is>
      </x:c>
      <x:c r="B509" s="58" t="inlineStr">
        <x:is>
          <x:t xml:space="preserve">v3</x:t>
        </x:is>
      </x:c>
      <x:c r="C509" s="59" t="inlineStr">
        <x:is>
          <x:t xml:space="preserve">八、语言本体层面的历史残留</x:t>
        </x:is>
      </x:c>
      <x:c r="D509" s="59" t="inlineStr">
        <x:is>
          <x:t xml:space="preserve">8.5 惯用搭配与固定表达</x:t>
        </x:is>
      </x:c>
      <x:c r="E509" s="59" t="inlineStr">
        <x:is>
          <x:t xml:space="preserve">口语与私人交流</x:t>
        </x:is>
      </x:c>
      <x:c r="F509" s="59" t="inlineStr">
        <x:is>
          <x:t xml:space="preserve">聊天记录</x:t>
        </x:is>
      </x:c>
      <x:c r="G509" s="58" t="inlineStr">
        <x:is>
          <x:t xml:space="preserve">emoji</x:t>
        </x:is>
      </x:c>
      <x:c r="H509" s="58" t="str">
        <x:f>IF(LEN(I509)&lt;15,"短",IF(LEN(I509)&lt;=45,"中","长"))</x:f>
        <x:v>中</x:v>
      </x:c>
      <x:c r="I509" s="59" t="inlineStr">
        <x:is>
          <x:t xml:space="preserve">哥们儿 帮我带杯咖啡呗🙏（对方为女同事）</x:t>
        </x:is>
      </x:c>
      <x:c r="J509" s="59" t="str">
        <x:f>I509</x:f>
        <x:v>哥们儿 帮我带杯咖啡呗🙏（对方为女同事）</x:v>
      </x:c>
      <x:c r="K509" s="58" t="inlineStr">
        <x:is>
          <x:t xml:space="preserve">无需改写</x:t>
        </x:is>
      </x:c>
      <x:c r="L509" s="59" t="inlineStr">
        <x:is>
          <x:t xml:space="preserve">哥们儿</x:t>
        </x:is>
      </x:c>
      <x:c r="M509" s="59" t="inlineStr">
        <x:is>
          <x:t xml:space="preserve">已去性别化的招呼语</x:t>
        </x:is>
      </x:c>
      <x:c r="N509" s="59" t="inlineStr">
        <x:is>
          <x:t xml:space="preserve">朋友 帮我带杯咖啡呗🙏</x:t>
        </x:is>
      </x:c>
      <x:c r="O509" s="58" t="inlineStr">
        <x:is>
          <x:t xml:space="preserve">中</x:t>
        </x:is>
      </x:c>
      <x:c r="P509" s="58" t="inlineStr">
        <x:is>
          <x:t xml:space="preserve">是</x:t>
        </x:is>
      </x:c>
      <x:c r="Q509" s="59" t="n"/>
      <x:c r="R509" s="60" t="inlineStr">
        <x:is>
          <x:t xml:space="preserve">隔离·待确认</x:t>
        </x:is>
      </x:c>
      <x:c r="S509" s="60" t="inlineStr">
        <x:is>
          <x:t xml:space="preserve"/>
        </x:is>
      </x:c>
      <x:c r="T509" s="60" t="inlineStr">
        <x:is>
          <x:t xml:space="preserve">触发词不含性别编码——判断可能依赖世界知识而非句内信息</x:t>
        </x:is>
      </x:c>
    </x:row>
    <x:row r="510" s="37" customFormat="1" ht="29.850000381469727" customHeight="1">
      <x:c r="A510" s="55" t="inlineStr">
        <x:is>
          <x:t xml:space="preserve">NEG-0509</x:t>
        </x:is>
      </x:c>
      <x:c r="B510" s="55" t="inlineStr">
        <x:is>
          <x:t xml:space="preserve">v3</x:t>
        </x:is>
      </x:c>
      <x:c r="C510" s="56" t="inlineStr">
        <x:is>
          <x:t xml:space="preserve">九、假触发词（形似而非）</x:t>
        </x:is>
      </x:c>
      <x:c r="D510" s="56" t="inlineStr">
        <x:is>
          <x:t xml:space="preserve">9.1 建筑与工程构件</x:t>
        </x:is>
      </x:c>
      <x:c r="E510" s="56" t="inlineStr">
        <x:is>
          <x:t xml:space="preserve">工程与技术</x:t>
        </x:is>
      </x:c>
      <x:c r="F510" s="56" t="inlineStr">
        <x:is>
          <x:t xml:space="preserve">施工群</x:t>
        </x:is>
      </x:c>
      <x:c r="G510" s="55" t="inlineStr">
        <x:is>
          <x:t xml:space="preserve">错别字</x:t>
        </x:is>
      </x:c>
      <x:c r="H510" s="55" t="str">
        <x:f>IF(LEN(I510)&lt;15,"短",IF(LEN(I510)&lt;=45,"中","长"))</x:f>
        <x:v>中</x:v>
      </x:c>
      <x:c r="I510" s="56" t="inlineStr">
        <x:is>
          <x:t xml:space="preserve">女儿强防水又漏了 明天安排人重新做一遍卷才</x:t>
        </x:is>
      </x:c>
      <x:c r="J510" s="56" t="str">
        <x:f>I510</x:f>
        <x:v>女儿强防水又漏了 明天安排人重新做一遍卷才</x:v>
      </x:c>
      <x:c r="K510" s="55" t="inlineStr">
        <x:is>
          <x:t xml:space="preserve">无需改写</x:t>
        </x:is>
      </x:c>
      <x:c r="L510" s="56" t="inlineStr">
        <x:is>
          <x:t xml:space="preserve">女儿墙</x:t>
        </x:is>
      </x:c>
      <x:c r="M510" s="56" t="inlineStr">
        <x:is>
          <x:t xml:space="preserve">含错别字的现场沟通文本</x:t>
        </x:is>
      </x:c>
      <x:c r="N510" s="56" t="inlineStr">
        <x:is>
          <x:t xml:space="preserve">矮墙防水又漏了</x:t>
        </x:is>
      </x:c>
      <x:c r="O510" s="55" t="inlineStr">
        <x:is>
          <x:t xml:space="preserve">难</x:t>
        </x:is>
      </x:c>
      <x:c r="P510" s="55" t="inlineStr">
        <x:is>
          <x:t xml:space="preserve">否</x:t>
        </x:is>
      </x:c>
      <x:c r="Q510" s="56" t="inlineStr">
        <x:is>
          <x:t xml:space="preserve">错别字场景下模型更易乱改</x:t>
        </x:is>
      </x:c>
      <x:c r="R510" s="57" t="inlineStr">
        <x:is>
          <x:t xml:space="preserve">主集</x:t>
        </x:is>
      </x:c>
      <x:c r="S510" s="57" t="inlineStr">
        <x:is>
          <x:t xml:space="preserve">dev</x:t>
        </x:is>
      </x:c>
      <x:c r="T510" s="57" t="inlineStr">
        <x:is>
          <x:t xml:space="preserve"/>
        </x:is>
      </x:c>
    </x:row>
    <x:row r="511" s="37" customFormat="1" ht="29.850000381469727" customHeight="1">
      <x:c r="A511" s="55" t="inlineStr">
        <x:is>
          <x:t xml:space="preserve">NEG-0510</x:t>
        </x:is>
      </x:c>
      <x:c r="B511" s="55" t="inlineStr">
        <x:is>
          <x:t xml:space="preserve">v3</x:t>
        </x:is>
      </x:c>
      <x:c r="C511" s="56" t="inlineStr">
        <x:is>
          <x:t xml:space="preserve">九、假触发词（形似而非）</x:t>
        </x:is>
      </x:c>
      <x:c r="D511" s="56" t="inlineStr">
        <x:is>
          <x:t xml:space="preserve">9.2 机械电气与器件</x:t>
        </x:is>
      </x:c>
      <x:c r="E511" s="56" t="inlineStr">
        <x:is>
          <x:t xml:space="preserve">工程与技术</x:t>
        </x:is>
      </x:c>
      <x:c r="F511" s="56" t="inlineStr">
        <x:is>
          <x:t xml:space="preserve">工单</x:t>
        </x:is>
      </x:c>
      <x:c r="G511" s="55" t="inlineStr">
        <x:is>
          <x:t xml:space="preserve">全半角混用</x:t>
        </x:is>
      </x:c>
      <x:c r="H511" s="55" t="str">
        <x:f>IF(LEN(I511)&lt;15,"短",IF(LEN(I511)&lt;=45,"中","长"))</x:f>
        <x:v>中</x:v>
      </x:c>
      <x:c r="I511" s="56" t="inlineStr">
        <x:is>
          <x:t xml:space="preserve">母线排需重新压接，规格４００Ａ，数量２。</x:t>
        </x:is>
      </x:c>
      <x:c r="J511" s="56" t="str">
        <x:f>I511</x:f>
        <x:v>母线排需重新压接，规格４００Ａ，数量２。</x:v>
      </x:c>
      <x:c r="K511" s="55" t="inlineStr">
        <x:is>
          <x:t xml:space="preserve">无需改写</x:t>
        </x:is>
      </x:c>
      <x:c r="L511" s="56" t="inlineStr">
        <x:is>
          <x:t xml:space="preserve">母线排</x:t>
        </x:is>
      </x:c>
      <x:c r="M511" s="56" t="inlineStr">
        <x:is>
          <x:t xml:space="preserve">全半角混排的工单</x:t>
        </x:is>
      </x:c>
      <x:c r="N511" s="56" t="inlineStr">
        <x:is>
          <x:t xml:space="preserve">汇流排需重新压接，规格４００Ａ</x:t>
        </x:is>
      </x:c>
      <x:c r="O511" s="55" t="inlineStr">
        <x:is>
          <x:t xml:space="preserve">中</x:t>
        </x:is>
      </x:c>
      <x:c r="P511" s="55" t="inlineStr">
        <x:is>
          <x:t xml:space="preserve">否</x:t>
        </x:is>
      </x:c>
      <x:c r="Q511" s="56" t="n"/>
      <x:c r="R511" s="57" t="inlineStr">
        <x:is>
          <x:t xml:space="preserve">主集</x:t>
        </x:is>
      </x:c>
      <x:c r="S511" s="57" t="inlineStr">
        <x:is>
          <x:t xml:space="preserve">dev</x:t>
        </x:is>
      </x:c>
      <x:c r="T511" s="57" t="inlineStr">
        <x:is>
          <x:t xml:space="preserve"/>
        </x:is>
      </x:c>
    </x:row>
    <x:row r="512" s="37" customFormat="1" ht="29.850000381469727" customHeight="1">
      <x:c r="A512" s="55" t="inlineStr">
        <x:is>
          <x:t xml:space="preserve">NEG-0511</x:t>
        </x:is>
      </x:c>
      <x:c r="B512" s="55" t="inlineStr">
        <x:is>
          <x:t xml:space="preserve">v3</x:t>
        </x:is>
      </x:c>
      <x:c r="C512" s="56" t="inlineStr">
        <x:is>
          <x:t xml:space="preserve">九、假触发词（形似而非）</x:t>
        </x:is>
      </x:c>
      <x:c r="D512" s="56" t="inlineStr">
        <x:is>
          <x:t xml:space="preserve">9.3 生物农业与育种</x:t>
        </x:is>
      </x:c>
      <x:c r="E512" s="56" t="inlineStr">
        <x:is>
          <x:t xml:space="preserve">口语与私人交流</x:t>
        </x:is>
      </x:c>
      <x:c r="F512" s="56" t="inlineStr">
        <x:is>
          <x:t xml:space="preserve">农户口语</x:t>
        </x:is>
      </x:c>
      <x:c r="G512" s="55" t="inlineStr">
        <x:is>
          <x:t xml:space="preserve">方言</x:t>
        </x:is>
      </x:c>
      <x:c r="H512" s="55" t="str">
        <x:f>IF(LEN(I512)&lt;15,"短",IF(LEN(I512)&lt;=45,"中","长"))</x:f>
        <x:v>中</x:v>
      </x:c>
      <x:c r="I512" s="56" t="inlineStr">
        <x:is>
          <x:t xml:space="preserve">俺家那头老母猪下了十二个崽，活了十一个。</x:t>
        </x:is>
      </x:c>
      <x:c r="J512" s="56" t="str">
        <x:f>I512</x:f>
        <x:v>俺家那头老母猪下了十二个崽，活了十一个。</x:v>
      </x:c>
      <x:c r="K512" s="55" t="inlineStr">
        <x:is>
          <x:t xml:space="preserve">无需改写</x:t>
        </x:is>
      </x:c>
      <x:c r="L512" s="56" t="inlineStr">
        <x:is>
          <x:t xml:space="preserve">老母猪</x:t>
        </x:is>
      </x:c>
      <x:c r="M512" s="56" t="inlineStr">
        <x:is>
          <x:t xml:space="preserve">方言养殖口语</x:t>
        </x:is>
      </x:c>
      <x:c r="N512" s="56" t="inlineStr">
        <x:is>
          <x:t xml:space="preserve">俺家那头猪下了十二个崽</x:t>
        </x:is>
      </x:c>
      <x:c r="O512" s="55" t="inlineStr">
        <x:is>
          <x:t xml:space="preserve">中</x:t>
        </x:is>
      </x:c>
      <x:c r="P512" s="55" t="inlineStr">
        <x:is>
          <x:t xml:space="preserve">否</x:t>
        </x:is>
      </x:c>
      <x:c r="Q512" s="56" t="n"/>
      <x:c r="R512" s="57" t="inlineStr">
        <x:is>
          <x:t xml:space="preserve">主集</x:t>
        </x:is>
      </x:c>
      <x:c r="S512" s="57" t="inlineStr">
        <x:is>
          <x:t xml:space="preserve">index</x:t>
        </x:is>
      </x:c>
      <x:c r="T512" s="57" t="inlineStr">
        <x:is>
          <x:t xml:space="preserve"/>
        </x:is>
      </x:c>
    </x:row>
    <x:row r="513" s="37" customFormat="1" ht="29.850000381469727" customHeight="1">
      <x:c r="A513" s="55" t="inlineStr">
        <x:is>
          <x:t xml:space="preserve">NEG-0512</x:t>
        </x:is>
      </x:c>
      <x:c r="B513" s="55" t="inlineStr">
        <x:is>
          <x:t xml:space="preserve">v3</x:t>
        </x:is>
      </x:c>
      <x:c r="C513" s="56" t="inlineStr">
        <x:is>
          <x:t xml:space="preserve">九、假触发词（形似而非）</x:t>
        </x:is>
      </x:c>
      <x:c r="D513" s="56" t="inlineStr">
        <x:is>
          <x:t xml:space="preserve">9.4 计算机与数学</x:t>
        </x:is>
      </x:c>
      <x:c r="E513" s="56" t="inlineStr">
        <x:is>
          <x:t xml:space="preserve">工程与技术</x:t>
        </x:is>
      </x:c>
      <x:c r="F513" s="56" t="inlineStr">
        <x:is>
          <x:t xml:space="preserve">技术群</x:t>
        </x:is>
      </x:c>
      <x:c r="G513" s="55" t="inlineStr">
        <x:is>
          <x:t xml:space="preserve">拼音缩写</x:t>
        </x:is>
      </x:c>
      <x:c r="H513" s="55" t="str">
        <x:f>IF(LEN(I513)&lt;15,"短",IF(LEN(I513)&lt;=45,"中","长"))</x:f>
        <x:v>中</x:v>
      </x:c>
      <x:c r="I513" s="56" t="inlineStr">
        <x:is>
          <x:t xml:space="preserve">父类那个方法被覆盖了，dbq 我改的时候没注意</x:t>
        </x:is>
      </x:c>
      <x:c r="J513" s="56" t="str">
        <x:f>I513</x:f>
        <x:v>父类那个方法被覆盖了，dbq 我改的时候没注意</x:v>
      </x:c>
      <x:c r="K513" s="55" t="inlineStr">
        <x:is>
          <x:t xml:space="preserve">无需改写</x:t>
        </x:is>
      </x:c>
      <x:c r="L513" s="56" t="inlineStr">
        <x:is>
          <x:t xml:space="preserve">父类</x:t>
        </x:is>
      </x:c>
      <x:c r="M513" s="56" t="inlineStr">
        <x:is>
          <x:t xml:space="preserve">含网络缩写的技术沟通</x:t>
        </x:is>
      </x:c>
      <x:c r="N513" s="56" t="inlineStr">
        <x:is>
          <x:t xml:space="preserve">基类那个方法被覆盖了</x:t>
        </x:is>
      </x:c>
      <x:c r="O513" s="55" t="inlineStr">
        <x:is>
          <x:t xml:space="preserve">中</x:t>
        </x:is>
      </x:c>
      <x:c r="P513" s="55" t="inlineStr">
        <x:is>
          <x:t xml:space="preserve">否</x:t>
        </x:is>
      </x:c>
      <x:c r="Q513" s="56" t="n"/>
      <x:c r="R513" s="57" t="inlineStr">
        <x:is>
          <x:t xml:space="preserve">主集</x:t>
        </x:is>
      </x:c>
      <x:c r="S513" s="57" t="inlineStr">
        <x:is>
          <x:t xml:space="preserve">test</x:t>
        </x:is>
      </x:c>
      <x:c r="T513" s="57" t="inlineStr">
        <x:is>
          <x:t xml:space="preserve"/>
        </x:is>
      </x:c>
    </x:row>
    <x:row r="514" s="37" customFormat="1" ht="29.850000381469727" customHeight="1">
      <x:c r="A514" s="55" t="inlineStr">
        <x:is>
          <x:t xml:space="preserve">NEG-0513</x:t>
        </x:is>
      </x:c>
      <x:c r="B514" s="55" t="inlineStr">
        <x:is>
          <x:t xml:space="preserve">v3</x:t>
        </x:is>
      </x:c>
      <x:c r="C514" s="56" t="inlineStr">
        <x:is>
          <x:t xml:space="preserve">九、假触发词（形似而非）</x:t>
        </x:is>
      </x:c>
      <x:c r="D514" s="56" t="inlineStr">
        <x:is>
          <x:t xml:space="preserve">9.5 组织与商业术语</x:t>
        </x:is>
      </x:c>
      <x:c r="E514" s="56" t="inlineStr">
        <x:is>
          <x:t xml:space="preserve">公文与规章</x:t>
        </x:is>
      </x:c>
      <x:c r="F514" s="56" t="inlineStr">
        <x:is>
          <x:t xml:space="preserve">会议纪要</x:t>
        </x:is>
      </x:c>
      <x:c r="G514" s="55" t="inlineStr">
        <x:is>
          <x:t xml:space="preserve">ASR 转写</x:t>
        </x:is>
      </x:c>
      <x:c r="H514" s="55" t="str">
        <x:f>IF(LEN(I514)&lt;15,"短",IF(LEN(I514)&lt;=45,"中","长"))</x:f>
        <x:v>中</x:v>
      </x:c>
      <x:c r="I514" s="56" t="inlineStr">
        <x:is>
          <x:t xml:space="preserve">母公司对子公司的担保需要经过董事会决议这条要写进纪要</x:t>
        </x:is>
      </x:c>
      <x:c r="J514" s="56" t="str">
        <x:f>I514</x:f>
        <x:v>母公司对子公司的担保需要经过董事会决议这条要写进纪要</x:v>
      </x:c>
      <x:c r="K514" s="55" t="inlineStr">
        <x:is>
          <x:t xml:space="preserve">无需改写</x:t>
        </x:is>
      </x:c>
      <x:c r="L514" s="56" t="inlineStr">
        <x:is>
          <x:t xml:space="preserve">母公司/子公司</x:t>
        </x:is>
      </x:c>
      <x:c r="M514" s="56" t="inlineStr">
        <x:is>
          <x:t xml:space="preserve">会议录音转写稿</x:t>
        </x:is>
      </x:c>
      <x:c r="N514" s="56" t="inlineStr">
        <x:is>
          <x:t xml:space="preserve">控股公司对下属公司的担保需董事会决议</x:t>
        </x:is>
      </x:c>
      <x:c r="O514" s="55" t="inlineStr">
        <x:is>
          <x:t xml:space="preserve">中</x:t>
        </x:is>
      </x:c>
      <x:c r="P514" s="55" t="inlineStr">
        <x:is>
          <x:t xml:space="preserve">否</x:t>
        </x:is>
      </x:c>
      <x:c r="Q514" s="56" t="n"/>
      <x:c r="R514" s="57" t="inlineStr">
        <x:is>
          <x:t xml:space="preserve">主集</x:t>
        </x:is>
      </x:c>
      <x:c r="S514" s="57" t="inlineStr">
        <x:is>
          <x:t xml:space="preserve">index</x:t>
        </x:is>
      </x:c>
      <x:c r="T514" s="57" t="inlineStr">
        <x:is>
          <x:t xml:space="preserve"/>
        </x:is>
      </x:c>
    </x:row>
    <x:row r="515" s="37" customFormat="1" ht="29.850000381469727" customHeight="1">
      <x:c r="A515" s="55" t="inlineStr">
        <x:is>
          <x:t xml:space="preserve">NEG-0514</x:t>
        </x:is>
      </x:c>
      <x:c r="B515" s="55" t="inlineStr">
        <x:is>
          <x:t xml:space="preserve">v3</x:t>
        </x:is>
      </x:c>
      <x:c r="C515" s="56" t="inlineStr">
        <x:is>
          <x:t xml:space="preserve">九、假触发词（形似而非）</x:t>
        </x:is>
      </x:c>
      <x:c r="D515" s="56" t="inlineStr">
        <x:is>
          <x:t xml:space="preserve">9.6 固定词与成语</x:t>
        </x:is>
      </x:c>
      <x:c r="E515" s="56" t="inlineStr">
        <x:is>
          <x:t xml:space="preserve">文艺创作与评论</x:t>
        </x:is>
      </x:c>
      <x:c r="F515" s="56" t="inlineStr">
        <x:is>
          <x:t xml:space="preserve">影评</x:t>
        </x:is>
      </x:c>
      <x:c r="G515" s="55" t="inlineStr">
        <x:is>
          <x:t xml:space="preserve">emoji</x:t>
        </x:is>
      </x:c>
      <x:c r="H515" s="55" t="str">
        <x:f>IF(LEN(I515)&lt;15,"短",IF(LEN(I515)&lt;=45,"中","长"))</x:f>
        <x:v>中</x:v>
      </x:c>
      <x:c r="I515" s="56" t="inlineStr">
        <x:is>
          <x:t xml:space="preserve">导演的处女作就这个水平，后生可畏👏</x:t>
        </x:is>
      </x:c>
      <x:c r="J515" s="56" t="str">
        <x:f>I515</x:f>
        <x:v>导演的处女作就这个水平，后生可畏👏</x:v>
      </x:c>
      <x:c r="K515" s="55" t="inlineStr">
        <x:is>
          <x:t xml:space="preserve">无需改写</x:t>
        </x:is>
      </x:c>
      <x:c r="L515" s="56" t="inlineStr">
        <x:is>
          <x:t xml:space="preserve">处女作</x:t>
        </x:is>
      </x:c>
      <x:c r="M515" s="56" t="inlineStr">
        <x:is>
          <x:t xml:space="preserve">含表情的影评</x:t>
        </x:is>
      </x:c>
      <x:c r="N515" s="56" t="inlineStr">
        <x:is>
          <x:t xml:space="preserve">导演的首部作品就这个水平👏</x:t>
        </x:is>
      </x:c>
      <x:c r="O515" s="55" t="inlineStr">
        <x:is>
          <x:t xml:space="preserve">中</x:t>
        </x:is>
      </x:c>
      <x:c r="P515" s="55" t="inlineStr">
        <x:is>
          <x:t xml:space="preserve">是</x:t>
        </x:is>
      </x:c>
      <x:c r="Q515" s="56" t="n"/>
      <x:c r="R515" s="57" t="inlineStr">
        <x:is>
          <x:t xml:space="preserve">主集</x:t>
        </x:is>
      </x:c>
      <x:c r="S515" s="57" t="inlineStr">
        <x:is>
          <x:t xml:space="preserve">index</x:t>
        </x:is>
      </x:c>
      <x:c r="T515" s="57" t="inlineStr">
        <x:is>
          <x:t xml:space="preserve"/>
        </x:is>
      </x:c>
    </x:row>
    <x:row r="516" s="37" customFormat="1" ht="29.850000381469727" customHeight="1">
      <x:c r="A516" s="55" t="inlineStr">
        <x:is>
          <x:t xml:space="preserve">NEG-0515</x:t>
        </x:is>
      </x:c>
      <x:c r="B516" s="55" t="inlineStr">
        <x:is>
          <x:t xml:space="preserve">v3</x:t>
        </x:is>
      </x:c>
      <x:c r="C516" s="56" t="inlineStr">
        <x:is>
          <x:t xml:space="preserve">九、假触发词（形似而非）</x:t>
        </x:is>
      </x:c>
      <x:c r="D516" s="56" t="inlineStr">
        <x:is>
          <x:t xml:space="preserve">9.7 专名、地名与商标</x:t>
        </x:is>
      </x:c>
      <x:c r="E516" s="56" t="inlineStr">
        <x:is>
          <x:t xml:space="preserve">社交与社区</x:t>
        </x:is>
      </x:c>
      <x:c r="F516" s="56" t="inlineStr">
        <x:is>
          <x:t xml:space="preserve">旅游笔记</x:t>
        </x:is>
      </x:c>
      <x:c r="G516" s="55" t="inlineStr">
        <x:is>
          <x:t xml:space="preserve">繁体</x:t>
        </x:is>
      </x:c>
      <x:c r="H516" s="55" t="str">
        <x:f>IF(LEN(I516)&lt;15,"短",IF(LEN(I516)&lt;=45,"中","长"))</x:f>
        <x:v>中</x:v>
      </x:c>
      <x:c r="I516" s="56" t="inlineStr">
        <x:is>
          <x:t xml:space="preserve">娘子關的城樓修得很完整，值得專程去一趟。</x:t>
        </x:is>
      </x:c>
      <x:c r="J516" s="56" t="str">
        <x:f>I516</x:f>
        <x:v>娘子關的城樓修得很完整，值得專程去一趟。</x:v>
      </x:c>
      <x:c r="K516" s="55" t="inlineStr">
        <x:is>
          <x:t xml:space="preserve">无需改写</x:t>
        </x:is>
      </x:c>
      <x:c r="L516" s="56" t="inlineStr">
        <x:is>
          <x:t xml:space="preserve">娘子關</x:t>
        </x:is>
      </x:c>
      <x:c r="M516" s="56" t="inlineStr">
        <x:is>
          <x:t xml:space="preserve">繁体游记中的地名</x:t>
        </x:is>
      </x:c>
      <x:c r="N516" s="56" t="inlineStr">
        <x:is>
          <x:t xml:space="preserve">這處關隘的城樓修得很完整</x:t>
        </x:is>
      </x:c>
      <x:c r="O516" s="55" t="inlineStr">
        <x:is>
          <x:t xml:space="preserve">中</x:t>
        </x:is>
      </x:c>
      <x:c r="P516" s="55" t="inlineStr">
        <x:is>
          <x:t xml:space="preserve">否</x:t>
        </x:is>
      </x:c>
      <x:c r="Q516" s="56" t="n"/>
      <x:c r="R516" s="57" t="inlineStr">
        <x:is>
          <x:t xml:space="preserve">主集</x:t>
        </x:is>
      </x:c>
      <x:c r="S516" s="57" t="inlineStr">
        <x:is>
          <x:t xml:space="preserve">test</x:t>
        </x:is>
      </x:c>
      <x:c r="T516" s="57" t="inlineStr">
        <x:is>
          <x:t xml:space="preserve"/>
        </x:is>
      </x:c>
    </x:row>
    <x:row r="517" s="37" customFormat="1" ht="29.850000381469727" customHeight="1">
      <x:c r="A517" s="58" t="inlineStr">
        <x:is>
          <x:t xml:space="preserve">NEG-0516</x:t>
        </x:is>
      </x:c>
      <x:c r="B517" s="58" t="inlineStr">
        <x:is>
          <x:t xml:space="preserve">v3</x:t>
        </x:is>
      </x:c>
      <x:c r="C517" s="59" t="inlineStr">
        <x:is>
          <x:t xml:space="preserve">九、假触发词（形似而非）</x:t>
        </x:is>
      </x:c>
      <x:c r="D517" s="59" t="inlineStr">
        <x:is>
          <x:t xml:space="preserve">9.8 度量衡与其他引申</x:t>
        </x:is>
      </x:c>
      <x:c r="E517" s="59" t="inlineStr">
        <x:is>
          <x:t xml:space="preserve">工程与技术</x:t>
        </x:is>
      </x:c>
      <x:c r="F517" s="59" t="inlineStr">
        <x:is>
          <x:t xml:space="preserve">物流通知</x:t>
        </x:is>
      </x:c>
      <x:c r="G517" s="58" t="inlineStr">
        <x:is>
          <x:t xml:space="preserve">全半角混用</x:t>
        </x:is>
      </x:c>
      <x:c r="H517" s="58" t="str">
        <x:f>IF(LEN(I517)&lt;15,"短",IF(LEN(I517)&lt;=45,"中","长"))</x:f>
        <x:v>中</x:v>
      </x:c>
      <x:c r="I517" s="59" t="inlineStr">
        <x:is>
          <x:t xml:space="preserve">包裹实重２公斤，按公斤计费，运费１８元。</x:t>
        </x:is>
      </x:c>
      <x:c r="J517" s="59" t="str">
        <x:f>I517</x:f>
        <x:v>包裹实重２公斤，按公斤计费，运费１８元。</x:v>
      </x:c>
      <x:c r="K517" s="58" t="inlineStr">
        <x:is>
          <x:t xml:space="preserve">无需改写</x:t>
        </x:is>
      </x:c>
      <x:c r="L517" s="59" t="inlineStr">
        <x:is>
          <x:t xml:space="preserve">公斤</x:t>
        </x:is>
      </x:c>
      <x:c r="M517" s="59" t="inlineStr">
        <x:is>
          <x:t xml:space="preserve">全半角混排的通知</x:t>
        </x:is>
      </x:c>
      <x:c r="N517" s="59" t="inlineStr">
        <x:is>
          <x:t xml:space="preserve">包裹实重２千克，按千克计费</x:t>
        </x:is>
      </x:c>
      <x:c r="O517" s="58" t="inlineStr">
        <x:is>
          <x:t xml:space="preserve">易</x:t>
        </x:is>
      </x:c>
      <x:c r="P517" s="58" t="inlineStr">
        <x:is>
          <x:t xml:space="preserve">否</x:t>
        </x:is>
      </x:c>
      <x:c r="Q517" s="59" t="n"/>
      <x:c r="R517" s="60" t="inlineStr">
        <x:is>
          <x:t xml:space="preserve">隔离·待确认</x:t>
        </x:is>
      </x:c>
      <x:c r="S517" s="60" t="inlineStr">
        <x:is>
          <x:t xml:space="preserve"/>
        </x:is>
      </x:c>
      <x:c r="T517" s="60" t="inlineStr">
        <x:is>
          <x:t xml:space="preserve">触发词不含性别编码——判断可能依赖世界知识而非句内信息</x:t>
        </x:is>
      </x:c>
    </x:row>
    <x:row r="518" s="37" customFormat="1" ht="29.850000381469727" customHeight="1">
      <x:c r="A518" s="55" t="inlineStr">
        <x:is>
          <x:t xml:space="preserve">NEG-0517</x:t>
        </x:is>
      </x:c>
      <x:c r="B518" s="55" t="inlineStr">
        <x:is>
          <x:t xml:space="preserve">v3</x:t>
        </x:is>
      </x:c>
      <x:c r="C518" s="56" t="inlineStr">
        <x:is>
          <x:t xml:space="preserve">九、假触发词（形似而非）</x:t>
        </x:is>
      </x:c>
      <x:c r="D518" s="56" t="inlineStr">
        <x:is>
          <x:t xml:space="preserve">9.7 专名、地名与商标</x:t>
        </x:is>
      </x:c>
      <x:c r="E518" s="56" t="inlineStr">
        <x:is>
          <x:t xml:space="preserve">社交与社区</x:t>
        </x:is>
      </x:c>
      <x:c r="F518" s="56" t="inlineStr">
        <x:is>
          <x:t xml:space="preserve">商品评价</x:t>
        </x:is>
      </x:c>
      <x:c r="G518" s="55" t="inlineStr">
        <x:is>
          <x:t xml:space="preserve">错别字</x:t>
        </x:is>
      </x:c>
      <x:c r="H518" s="55" t="str">
        <x:f>IF(LEN(I518)&lt;15,"短",IF(LEN(I518)&lt;=45,"中","长"))</x:f>
        <x:v>中</x:v>
      </x:c>
      <x:c r="I518" s="56" t="inlineStr">
        <x:is>
          <x:t xml:space="preserve">老干妈还是那个味儿 就是玻璃瓶太重了有点亏运废</x:t>
        </x:is>
      </x:c>
      <x:c r="J518" s="56" t="str">
        <x:f>I518</x:f>
        <x:v>老干妈还是那个味儿 就是玻璃瓶太重了有点亏运废</x:v>
      </x:c>
      <x:c r="K518" s="55" t="inlineStr">
        <x:is>
          <x:t xml:space="preserve">无需改写</x:t>
        </x:is>
      </x:c>
      <x:c r="L518" s="56" t="inlineStr">
        <x:is>
          <x:t xml:space="preserve">老干妈</x:t>
        </x:is>
      </x:c>
      <x:c r="M518" s="56" t="inlineStr">
        <x:is>
          <x:t xml:space="preserve">含错别字的商品评价</x:t>
        </x:is>
      </x:c>
      <x:c r="N518" s="56" t="inlineStr">
        <x:is>
          <x:t xml:space="preserve">这个牌子还是那个味儿</x:t>
        </x:is>
      </x:c>
      <x:c r="O518" s="55" t="inlineStr">
        <x:is>
          <x:t xml:space="preserve">中</x:t>
        </x:is>
      </x:c>
      <x:c r="P518" s="55" t="inlineStr">
        <x:is>
          <x:t xml:space="preserve">否</x:t>
        </x:is>
      </x:c>
      <x:c r="Q518" s="56" t="n"/>
      <x:c r="R518" s="57" t="inlineStr">
        <x:is>
          <x:t xml:space="preserve">主集</x:t>
        </x:is>
      </x:c>
      <x:c r="S518" s="57" t="inlineStr">
        <x:is>
          <x:t xml:space="preserve">index</x:t>
        </x:is>
      </x:c>
      <x:c r="T518" s="57" t="inlineStr">
        <x:is>
          <x:t xml:space="preserve"/>
        </x:is>
      </x:c>
    </x:row>
    <x:row r="519" s="37" customFormat="1" ht="29.850000381469727" customHeight="1">
      <x:c r="A519" s="58" t="inlineStr">
        <x:is>
          <x:t xml:space="preserve">NEG-0518</x:t>
        </x:is>
      </x:c>
      <x:c r="B519" s="58" t="inlineStr">
        <x:is>
          <x:t xml:space="preserve">v3</x:t>
        </x:is>
      </x:c>
      <x:c r="C519" s="59" t="inlineStr">
        <x:is>
          <x:t xml:space="preserve">九、假触发词（形似而非）</x:t>
        </x:is>
      </x:c>
      <x:c r="D519" s="59" t="inlineStr">
        <x:is>
          <x:t xml:space="preserve">9.4 计算机与数学</x:t>
        </x:is>
      </x:c>
      <x:c r="E519" s="59" t="inlineStr">
        <x:is>
          <x:t xml:space="preserve">工程与技术</x:t>
        </x:is>
      </x:c>
      <x:c r="F519" s="59" t="inlineStr">
        <x:is>
          <x:t xml:space="preserve">提交信息</x:t>
        </x:is>
      </x:c>
      <x:c r="G519" s="58" t="inlineStr">
        <x:is>
          <x:t xml:space="preserve">结构化文本</x:t>
        </x:is>
      </x:c>
      <x:c r="H519" s="58" t="str">
        <x:f>IF(LEN(I519)&lt;15,"短",IF(LEN(I519)&lt;=45,"中","长"))</x:f>
        <x:v>中</x:v>
      </x:c>
      <x:c r="I519" s="59" t="inlineStr">
        <x:is>
          <x:t xml:space="preserve">fix: 修复子进程未回收导致的僵尸进程问题</x:t>
        </x:is>
      </x:c>
      <x:c r="J519" s="59" t="str">
        <x:f>I519</x:f>
        <x:v>fix: 修复子进程未回收导致的僵尸进程问题</x:v>
      </x:c>
      <x:c r="K519" s="58" t="inlineStr">
        <x:is>
          <x:t xml:space="preserve">无需改写</x:t>
        </x:is>
      </x:c>
      <x:c r="L519" s="59" t="inlineStr">
        <x:is>
          <x:t xml:space="preserve">子进程</x:t>
        </x:is>
      </x:c>
      <x:c r="M519" s="59" t="inlineStr">
        <x:is>
          <x:t xml:space="preserve">代码提交信息</x:t>
        </x:is>
      </x:c>
      <x:c r="N519" s="59" t="inlineStr">
        <x:is>
          <x:t xml:space="preserve">fix: 修复子任务未回收导致的问题</x:t>
        </x:is>
      </x:c>
      <x:c r="O519" s="58" t="inlineStr">
        <x:is>
          <x:t xml:space="preserve">中</x:t>
        </x:is>
      </x:c>
      <x:c r="P519" s="58" t="inlineStr">
        <x:is>
          <x:t xml:space="preserve">否</x:t>
        </x:is>
      </x:c>
      <x:c r="Q519" s="59" t="n"/>
      <x:c r="R519" s="60" t="inlineStr">
        <x:is>
          <x:t xml:space="preserve">隔离·待确认</x:t>
        </x:is>
      </x:c>
      <x:c r="S519" s="60" t="inlineStr">
        <x:is>
          <x:t xml:space="preserve"/>
        </x:is>
      </x:c>
      <x:c r="T519" s="60" t="inlineStr">
        <x:is>
          <x:t xml:space="preserve">触发词不含性别编码——判断可能依赖世界知识而非句内信息</x:t>
        </x:is>
      </x:c>
    </x:row>
    <x:row r="520" s="37" customFormat="1" ht="29.850000381469727" customHeight="1">
      <x:c r="A520" s="55" t="inlineStr">
        <x:is>
          <x:t xml:space="preserve">NEG-0519</x:t>
        </x:is>
      </x:c>
      <x:c r="B520" s="55" t="inlineStr">
        <x:is>
          <x:t xml:space="preserve">v1</x:t>
        </x:is>
      </x:c>
      <x:c r="C520" s="56" t="inlineStr">
        <x:is>
          <x:t xml:space="preserve">一、指称已知性别的具体个人</x:t>
        </x:is>
      </x:c>
      <x:c r="D520" s="56" t="inlineStr">
        <x:is>
          <x:t xml:space="preserve">1.1 姓名与社会称谓</x:t>
        </x:is>
      </x:c>
      <x:c r="E520" s="56" t="inlineStr">
        <x:is>
          <x:t xml:space="preserve">规范示例（基线）</x:t>
        </x:is>
      </x:c>
      <x:c r="F520" s="56" t="inlineStr">
        <x:is>
          <x:t xml:space="preserve">规范示例句</x:t>
        </x:is>
      </x:c>
      <x:c r="G520" s="55" t="inlineStr">
        <x:is>
          <x:t xml:space="preserve">无</x:t>
        </x:is>
      </x:c>
      <x:c r="H520" s="55" t="str">
        <x:f>IF(LEN(I520)&lt;15,"短",IF(LEN(I520)&lt;=45,"中","长"))</x:f>
        <x:v>中</x:v>
      </x:c>
      <x:c r="I520" s="56" t="inlineStr">
        <x:is>
          <x:t xml:space="preserve">李女士打算明天去一下学校，她儿子在学校获奖了。</x:t>
        </x:is>
      </x:c>
      <x:c r="J520" s="56" t="str">
        <x:f>I520</x:f>
        <x:v>李女士打算明天去一下学校，她儿子在学校获奖了。</x:v>
      </x:c>
      <x:c r="K520" s="55" t="inlineStr">
        <x:is>
          <x:t xml:space="preserve">无需改写</x:t>
        </x:is>
      </x:c>
      <x:c r="L520" s="56" t="inlineStr">
        <x:is>
          <x:t xml:space="preserve">李女士 / 她 / 儿子</x:t>
        </x:is>
      </x:c>
      <x:c r="M520" s="56" t="inlineStr">
        <x:is>
          <x:t xml:space="preserve">指称特定已知个体，性别是事实记录而非预设</x:t>
        </x:is>
      </x:c>
      <x:c r="N520" s="56" t="inlineStr">
        <x:is>
          <x:t xml:space="preserve">李某某打算明天去一下学校，其子女在学校获奖了</x:t>
        </x:is>
      </x:c>
      <x:c r="O520" s="55" t="inlineStr">
        <x:is>
          <x:t xml:space="preserve">难</x:t>
        </x:is>
      </x:c>
      <x:c r="P520" s="55" t="inlineStr">
        <x:is>
          <x:t xml:space="preserve">否</x:t>
        </x:is>
      </x:c>
      <x:c r="Q520" s="56" t="inlineStr">
        <x:is>
          <x:t xml:space="preserve">高频误改样本，建议置于测试集首位</x:t>
        </x:is>
      </x:c>
      <x:c r="R520" s="57" t="inlineStr">
        <x:is>
          <x:t xml:space="preserve">主集</x:t>
        </x:is>
      </x:c>
      <x:c r="S520" s="57" t="inlineStr">
        <x:is>
          <x:t xml:space="preserve">index</x:t>
        </x:is>
      </x:c>
      <x:c r="T520" s="57" t="inlineStr">
        <x:is>
          <x:t xml:space="preserve"/>
        </x:is>
      </x:c>
    </x:row>
    <x:row r="521" s="37" customFormat="1" ht="29.850000381469727" customHeight="1">
      <x:c r="A521" s="55" t="inlineStr">
        <x:is>
          <x:t xml:space="preserve">NEG-0520</x:t>
        </x:is>
      </x:c>
      <x:c r="B521" s="55" t="inlineStr">
        <x:is>
          <x:t xml:space="preserve">v1</x:t>
        </x:is>
      </x:c>
      <x:c r="C521" s="56" t="inlineStr">
        <x:is>
          <x:t xml:space="preserve">一、指称已知性别的具体个人</x:t>
        </x:is>
      </x:c>
      <x:c r="D521" s="56" t="inlineStr">
        <x:is>
          <x:t xml:space="preserve">1.1 姓名与社会称谓</x:t>
        </x:is>
      </x:c>
      <x:c r="E521" s="56" t="inlineStr">
        <x:is>
          <x:t xml:space="preserve">规范示例（基线）</x:t>
        </x:is>
      </x:c>
      <x:c r="F521" s="56" t="inlineStr">
        <x:is>
          <x:t xml:space="preserve">规范示例句</x:t>
        </x:is>
      </x:c>
      <x:c r="G521" s="55" t="inlineStr">
        <x:is>
          <x:t xml:space="preserve">无</x:t>
        </x:is>
      </x:c>
      <x:c r="H521" s="55" t="str">
        <x:f>IF(LEN(I521)&lt;15,"短",IF(LEN(I521)&lt;=45,"中","长"))</x:f>
        <x:v>中</x:v>
      </x:c>
      <x:c r="I521" s="56" t="inlineStr">
        <x:is>
          <x:t xml:space="preserve">张经理已批准这份预算，她下周一回办公室。</x:t>
        </x:is>
      </x:c>
      <x:c r="J521" s="56" t="str">
        <x:f>I521</x:f>
        <x:v>张经理已批准这份预算，她下周一回办公室。</x:v>
      </x:c>
      <x:c r="K521" s="55" t="inlineStr">
        <x:is>
          <x:t xml:space="preserve">无需改写</x:t>
        </x:is>
      </x:c>
      <x:c r="L521" s="56" t="inlineStr">
        <x:is>
          <x:t xml:space="preserve">张经理 / 她</x:t>
        </x:is>
      </x:c>
      <x:c r="M521" s="56" t="inlineStr">
        <x:is>
          <x:t xml:space="preserve">职务称谓本身中性，代词指向具体个人</x:t>
        </x:is>
      </x:c>
      <x:c r="N521" s="56" t="inlineStr">
        <x:is>
          <x:t xml:space="preserve">张经理已批准这份预算，TA下周一回办公室</x:t>
        </x:is>
      </x:c>
      <x:c r="O521" s="55" t="inlineStr">
        <x:is>
          <x:t xml:space="preserve">中</x:t>
        </x:is>
      </x:c>
      <x:c r="P521" s="55" t="inlineStr">
        <x:is>
          <x:t xml:space="preserve">否</x:t>
        </x:is>
      </x:c>
      <x:c r="Q521" s="56" t="n"/>
      <x:c r="R521" s="57" t="inlineStr">
        <x:is>
          <x:t xml:space="preserve">主集</x:t>
        </x:is>
      </x:c>
      <x:c r="S521" s="57" t="inlineStr">
        <x:is>
          <x:t xml:space="preserve">index</x:t>
        </x:is>
      </x:c>
      <x:c r="T521" s="57" t="inlineStr">
        <x:is>
          <x:t xml:space="preserve"/>
        </x:is>
      </x:c>
    </x:row>
    <x:row r="522" s="37" customFormat="1" ht="29.850000381469727" customHeight="1">
      <x:c r="A522" s="55" t="inlineStr">
        <x:is>
          <x:t xml:space="preserve">NEG-0521</x:t>
        </x:is>
      </x:c>
      <x:c r="B522" s="55" t="inlineStr">
        <x:is>
          <x:t xml:space="preserve">v1</x:t>
        </x:is>
      </x:c>
      <x:c r="C522" s="56" t="inlineStr">
        <x:is>
          <x:t xml:space="preserve">一、指称已知性别的具体个人</x:t>
        </x:is>
      </x:c>
      <x:c r="D522" s="56" t="inlineStr">
        <x:is>
          <x:t xml:space="preserve">1.1 姓名与社会称谓</x:t>
        </x:is>
      </x:c>
      <x:c r="E522" s="56" t="inlineStr">
        <x:is>
          <x:t xml:space="preserve">规范示例（基线）</x:t>
        </x:is>
      </x:c>
      <x:c r="F522" s="56" t="inlineStr">
        <x:is>
          <x:t xml:space="preserve">规范示例句</x:t>
        </x:is>
      </x:c>
      <x:c r="G522" s="55" t="inlineStr">
        <x:is>
          <x:t xml:space="preserve">无</x:t>
        </x:is>
      </x:c>
      <x:c r="H522" s="55" t="str">
        <x:f>IF(LEN(I522)&lt;15,"短",IF(LEN(I522)&lt;=45,"中","长"))</x:f>
        <x:v>中</x:v>
      </x:c>
      <x:c r="I522" s="56" t="inlineStr">
        <x:is>
          <x:t xml:space="preserve">请转告陈教授，他的讲座改到周四。</x:t>
        </x:is>
      </x:c>
      <x:c r="J522" s="56" t="str">
        <x:f>I522</x:f>
        <x:v>请转告陈教授，他的讲座改到周四。</x:v>
      </x:c>
      <x:c r="K522" s="55" t="inlineStr">
        <x:is>
          <x:t xml:space="preserve">无需改写</x:t>
        </x:is>
      </x:c>
      <x:c r="L522" s="56" t="inlineStr">
        <x:is>
          <x:t xml:space="preserve">他</x:t>
        </x:is>
      </x:c>
      <x:c r="M522" s="56" t="inlineStr">
        <x:is>
          <x:t xml:space="preserve">特指某位教授，非泛指</x:t>
        </x:is>
      </x:c>
      <x:c r="N522" s="56" t="inlineStr">
        <x:is>
          <x:t xml:space="preserve">请转告陈教授，其讲座改到周四</x:t>
        </x:is>
      </x:c>
      <x:c r="O522" s="55" t="inlineStr">
        <x:is>
          <x:t xml:space="preserve">中</x:t>
        </x:is>
      </x:c>
      <x:c r="P522" s="55" t="inlineStr">
        <x:is>
          <x:t xml:space="preserve">否</x:t>
        </x:is>
      </x:c>
      <x:c r="Q522" s="56" t="n"/>
      <x:c r="R522" s="57" t="inlineStr">
        <x:is>
          <x:t xml:space="preserve">主集</x:t>
        </x:is>
      </x:c>
      <x:c r="S522" s="57" t="inlineStr">
        <x:is>
          <x:t xml:space="preserve">index</x:t>
        </x:is>
      </x:c>
      <x:c r="T522" s="57" t="inlineStr">
        <x:is>
          <x:t xml:space="preserve"/>
        </x:is>
      </x:c>
    </x:row>
    <x:row r="523" s="37" customFormat="1" ht="29.850000381469727" customHeight="1">
      <x:c r="A523" s="55" t="inlineStr">
        <x:is>
          <x:t xml:space="preserve">NEG-0522</x:t>
        </x:is>
      </x:c>
      <x:c r="B523" s="55" t="inlineStr">
        <x:is>
          <x:t xml:space="preserve">v1</x:t>
        </x:is>
      </x:c>
      <x:c r="C523" s="56" t="inlineStr">
        <x:is>
          <x:t xml:space="preserve">一、指称已知性别的具体个人</x:t>
        </x:is>
      </x:c>
      <x:c r="D523" s="56" t="inlineStr">
        <x:is>
          <x:t xml:space="preserve">1.1 姓名与社会称谓</x:t>
        </x:is>
      </x:c>
      <x:c r="E523" s="56" t="inlineStr">
        <x:is>
          <x:t xml:space="preserve">规范示例（基线）</x:t>
        </x:is>
      </x:c>
      <x:c r="F523" s="56" t="inlineStr">
        <x:is>
          <x:t xml:space="preserve">规范示例句</x:t>
        </x:is>
      </x:c>
      <x:c r="G523" s="55" t="inlineStr">
        <x:is>
          <x:t xml:space="preserve">无</x:t>
        </x:is>
      </x:c>
      <x:c r="H523" s="55" t="str">
        <x:f>IF(LEN(I523)&lt;15,"短",IF(LEN(I523)&lt;=45,"中","长"))</x:f>
        <x:v>中</x:v>
      </x:c>
      <x:c r="I523" s="56" t="inlineStr">
        <x:is>
          <x:t xml:space="preserve">王先生是这套房子的登记产权人。</x:t>
        </x:is>
      </x:c>
      <x:c r="J523" s="56" t="str">
        <x:f>I523</x:f>
        <x:v>王先生是这套房子的登记产权人。</x:v>
      </x:c>
      <x:c r="K523" s="55" t="inlineStr">
        <x:is>
          <x:t xml:space="preserve">无需改写</x:t>
        </x:is>
      </x:c>
      <x:c r="L523" s="56" t="inlineStr">
        <x:is>
          <x:t xml:space="preserve">王先生</x:t>
        </x:is>
      </x:c>
      <x:c r="M523" s="56" t="inlineStr">
        <x:is>
          <x:t xml:space="preserve">法律语境中的当事人称谓，须与登记信息一致</x:t>
        </x:is>
      </x:c>
      <x:c r="N523" s="56" t="inlineStr">
        <x:is>
          <x:t xml:space="preserve">王某是这套房子的登记产权人</x:t>
        </x:is>
      </x:c>
      <x:c r="O523" s="55" t="inlineStr">
        <x:is>
          <x:t xml:space="preserve">易</x:t>
        </x:is>
      </x:c>
      <x:c r="P523" s="55" t="inlineStr">
        <x:is>
          <x:t xml:space="preserve">否</x:t>
        </x:is>
      </x:c>
      <x:c r="Q523" s="56" t="n"/>
      <x:c r="R523" s="57" t="inlineStr">
        <x:is>
          <x:t xml:space="preserve">主集</x:t>
        </x:is>
      </x:c>
      <x:c r="S523" s="57" t="inlineStr">
        <x:is>
          <x:t xml:space="preserve">dev</x:t>
        </x:is>
      </x:c>
      <x:c r="T523" s="57" t="inlineStr">
        <x:is>
          <x:t xml:space="preserve"/>
        </x:is>
      </x:c>
    </x:row>
    <x:row r="524" s="37" customFormat="1" ht="29.850000381469727" customHeight="1">
      <x:c r="A524" s="55" t="inlineStr">
        <x:is>
          <x:t xml:space="preserve">NEG-0523</x:t>
        </x:is>
      </x:c>
      <x:c r="B524" s="55" t="inlineStr">
        <x:is>
          <x:t xml:space="preserve">v1</x:t>
        </x:is>
      </x:c>
      <x:c r="C524" s="56" t="inlineStr">
        <x:is>
          <x:t xml:space="preserve">一、指称已知性别的具体个人</x:t>
        </x:is>
      </x:c>
      <x:c r="D524" s="56" t="inlineStr">
        <x:is>
          <x:t xml:space="preserve">1.1 姓名与社会称谓</x:t>
        </x:is>
      </x:c>
      <x:c r="E524" s="56" t="inlineStr">
        <x:is>
          <x:t xml:space="preserve">规范示例（基线）</x:t>
        </x:is>
      </x:c>
      <x:c r="F524" s="56" t="inlineStr">
        <x:is>
          <x:t xml:space="preserve">规范示例句</x:t>
        </x:is>
      </x:c>
      <x:c r="G524" s="55" t="inlineStr">
        <x:is>
          <x:t xml:space="preserve">无</x:t>
        </x:is>
      </x:c>
      <x:c r="H524" s="55" t="str">
        <x:f>IF(LEN(I524)&lt;15,"短",IF(LEN(I524)&lt;=45,"中","长"))</x:f>
        <x:v>短</x:v>
      </x:c>
      <x:c r="I524" s="56" t="inlineStr">
        <x:is>
          <x:t xml:space="preserve">请问周太太在家吗？</x:t>
        </x:is>
      </x:c>
      <x:c r="J524" s="56" t="str">
        <x:f>I524</x:f>
        <x:v>请问周太太在家吗？</x:v>
      </x:c>
      <x:c r="K524" s="55" t="inlineStr">
        <x:is>
          <x:t xml:space="preserve">无需改写</x:t>
        </x:is>
      </x:c>
      <x:c r="L524" s="56" t="inlineStr">
        <x:is>
          <x:t xml:space="preserve">周太太</x:t>
        </x:is>
      </x:c>
      <x:c r="M524" s="56" t="inlineStr">
        <x:is>
          <x:t xml:space="preserve">当事人自用称谓，第三方不应代为更改</x:t>
        </x:is>
      </x:c>
      <x:c r="N524" s="56" t="inlineStr">
        <x:is>
          <x:t xml:space="preserve">请问周女士在家吗</x:t>
        </x:is>
      </x:c>
      <x:c r="O524" s="55" t="inlineStr">
        <x:is>
          <x:t xml:space="preserve">难</x:t>
        </x:is>
      </x:c>
      <x:c r="P524" s="55" t="inlineStr">
        <x:is>
          <x:t xml:space="preserve">是</x:t>
        </x:is>
      </x:c>
      <x:c r="Q524" s="56" t="inlineStr">
        <x:is>
          <x:t xml:space="preserve">若当事人偏好“女士”则另论，需场景信息</x:t>
        </x:is>
      </x:c>
      <x:c r="R524" s="57" t="inlineStr">
        <x:is>
          <x:t xml:space="preserve">主集</x:t>
        </x:is>
      </x:c>
      <x:c r="S524" s="57" t="inlineStr">
        <x:is>
          <x:t xml:space="preserve">index</x:t>
        </x:is>
      </x:c>
      <x:c r="T524" s="57" t="inlineStr">
        <x:is>
          <x:t xml:space="preserve"/>
        </x:is>
      </x:c>
    </x:row>
    <x:row r="525" s="37" customFormat="1" ht="29.850000381469727" customHeight="1">
      <x:c r="A525" s="55" t="inlineStr">
        <x:is>
          <x:t xml:space="preserve">NEG-0524</x:t>
        </x:is>
      </x:c>
      <x:c r="B525" s="55" t="inlineStr">
        <x:is>
          <x:t xml:space="preserve">v1</x:t>
        </x:is>
      </x:c>
      <x:c r="C525" s="56" t="inlineStr">
        <x:is>
          <x:t xml:space="preserve">一、指称已知性别的具体个人</x:t>
        </x:is>
      </x:c>
      <x:c r="D525" s="56" t="inlineStr">
        <x:is>
          <x:t xml:space="preserve">1.1 姓名与社会称谓</x:t>
        </x:is>
      </x:c>
      <x:c r="E525" s="56" t="inlineStr">
        <x:is>
          <x:t xml:space="preserve">规范示例（基线）</x:t>
        </x:is>
      </x:c>
      <x:c r="F525" s="56" t="inlineStr">
        <x:is>
          <x:t xml:space="preserve">规范示例句</x:t>
        </x:is>
      </x:c>
      <x:c r="G525" s="55" t="inlineStr">
        <x:is>
          <x:t xml:space="preserve">无</x:t>
        </x:is>
      </x:c>
      <x:c r="H525" s="55" t="str">
        <x:f>IF(LEN(I525)&lt;15,"短",IF(LEN(I525)&lt;=45,"中","长"))</x:f>
        <x:v>中</x:v>
      </x:c>
      <x:c r="I525" s="56" t="inlineStr">
        <x:is>
          <x:t xml:space="preserve">武则天是中国历史上唯一的女皇帝。</x:t>
        </x:is>
      </x:c>
      <x:c r="J525" s="56" t="str">
        <x:f>I525</x:f>
        <x:v>武则天是中国历史上唯一的女皇帝。</x:v>
      </x:c>
      <x:c r="K525" s="55" t="inlineStr">
        <x:is>
          <x:t xml:space="preserve">无需改写</x:t>
        </x:is>
      </x:c>
      <x:c r="L525" s="56" t="inlineStr">
        <x:is>
          <x:t xml:space="preserve">女皇帝</x:t>
        </x:is>
      </x:c>
      <x:c r="M525" s="56" t="inlineStr">
        <x:is>
          <x:t xml:space="preserve">历史事实陈述，“女”是史实要点而非冗余标记</x:t>
        </x:is>
      </x:c>
      <x:c r="N525" s="56" t="inlineStr">
        <x:is>
          <x:t xml:space="preserve">武则天是中国历史上的一位皇帝</x:t>
        </x:is>
      </x:c>
      <x:c r="O525" s="55" t="inlineStr">
        <x:is>
          <x:t xml:space="preserve">中</x:t>
        </x:is>
      </x:c>
      <x:c r="P525" s="55" t="inlineStr">
        <x:is>
          <x:t xml:space="preserve">否</x:t>
        </x:is>
      </x:c>
      <x:c r="Q525" s="56" t="n"/>
      <x:c r="R525" s="57" t="inlineStr">
        <x:is>
          <x:t xml:space="preserve">主集</x:t>
        </x:is>
      </x:c>
      <x:c r="S525" s="57" t="inlineStr">
        <x:is>
          <x:t xml:space="preserve">dev</x:t>
        </x:is>
      </x:c>
      <x:c r="T525" s="57" t="inlineStr">
        <x:is>
          <x:t xml:space="preserve"/>
        </x:is>
      </x:c>
    </x:row>
    <x:row r="526" s="37" customFormat="1" ht="29.850000381469727" customHeight="1">
      <x:c r="A526" s="58" t="inlineStr">
        <x:is>
          <x:t xml:space="preserve">NEG-0525</x:t>
        </x:is>
      </x:c>
      <x:c r="B526" s="58" t="inlineStr">
        <x:is>
          <x:t xml:space="preserve">v1</x:t>
        </x:is>
      </x:c>
      <x:c r="C526" s="59" t="inlineStr">
        <x:is>
          <x:t xml:space="preserve">一、指称已知性别的具体个人</x:t>
        </x:is>
      </x:c>
      <x:c r="D526" s="59" t="inlineStr">
        <x:is>
          <x:t xml:space="preserve">1.1 姓名与社会称谓</x:t>
        </x:is>
      </x:c>
      <x:c r="E526" s="59" t="inlineStr">
        <x:is>
          <x:t xml:space="preserve">规范示例（基线）</x:t>
        </x:is>
      </x:c>
      <x:c r="F526" s="59" t="inlineStr">
        <x:is>
          <x:t xml:space="preserve">规范示例句</x:t>
        </x:is>
      </x:c>
      <x:c r="G526" s="58" t="inlineStr">
        <x:is>
          <x:t xml:space="preserve">无</x:t>
        </x:is>
      </x:c>
      <x:c r="H526" s="58" t="str">
        <x:f>IF(LEN(I526)&lt;15,"短",IF(LEN(I526)&lt;=45,"中","长"))</x:f>
        <x:v>短</x:v>
      </x:c>
      <x:c r="I526" s="59" t="inlineStr">
        <x:is>
          <x:t xml:space="preserve">小丽和阿强是同一批入职的。</x:t>
        </x:is>
      </x:c>
      <x:c r="J526" s="59" t="str">
        <x:f>I526</x:f>
        <x:v>小丽和阿强是同一批入职的。</x:v>
      </x:c>
      <x:c r="K526" s="58" t="inlineStr">
        <x:is>
          <x:t xml:space="preserve">无需改写</x:t>
        </x:is>
      </x:c>
      <x:c r="L526" s="59" t="inlineStr">
        <x:is>
          <x:t xml:space="preserve">小丽 / 阿强</x:t>
        </x:is>
      </x:c>
      <x:c r="M526" s="59" t="inlineStr">
        <x:is>
          <x:t xml:space="preserve">昵称指称具体个人</x:t>
        </x:is>
      </x:c>
      <x:c r="N526" s="59" t="inlineStr">
        <x:is>
          <x:t xml:space="preserve">甲和乙是同一批入职的</x:t>
        </x:is>
      </x:c>
      <x:c r="O526" s="58" t="inlineStr">
        <x:is>
          <x:t xml:space="preserve">易</x:t>
        </x:is>
      </x:c>
      <x:c r="P526" s="58" t="inlineStr">
        <x:is>
          <x:t xml:space="preserve">否</x:t>
        </x:is>
      </x:c>
      <x:c r="Q526" s="59" t="n"/>
      <x:c r="R526" s="60" t="inlineStr">
        <x:is>
          <x:t xml:space="preserve">隔离·待确认</x:t>
        </x:is>
      </x:c>
      <x:c r="S526" s="60" t="inlineStr">
        <x:is>
          <x:t xml:space="preserve"/>
        </x:is>
      </x:c>
      <x:c r="T526" s="60" t="inlineStr">
        <x:is>
          <x:t xml:space="preserve">触发词不含性别编码——判断可能依赖世界知识而非句内信息</x:t>
        </x:is>
      </x:c>
    </x:row>
    <x:row r="527" s="37" customFormat="1" ht="29.850000381469727" customHeight="1">
      <x:c r="A527" s="55" t="inlineStr">
        <x:is>
          <x:t xml:space="preserve">NEG-0526</x:t>
        </x:is>
      </x:c>
      <x:c r="B527" s="55" t="inlineStr">
        <x:is>
          <x:t xml:space="preserve">v1</x:t>
        </x:is>
      </x:c>
      <x:c r="C527" s="56" t="inlineStr">
        <x:is>
          <x:t xml:space="preserve">一、指称已知性别的具体个人</x:t>
        </x:is>
      </x:c>
      <x:c r="D527" s="56" t="inlineStr">
        <x:is>
          <x:t xml:space="preserve">1.2 人称代词</x:t>
        </x:is>
      </x:c>
      <x:c r="E527" s="56" t="inlineStr">
        <x:is>
          <x:t xml:space="preserve">规范示例（基线）</x:t>
        </x:is>
      </x:c>
      <x:c r="F527" s="56" t="inlineStr">
        <x:is>
          <x:t xml:space="preserve">规范示例句</x:t>
        </x:is>
      </x:c>
      <x:c r="G527" s="55" t="inlineStr">
        <x:is>
          <x:t xml:space="preserve">无</x:t>
        </x:is>
      </x:c>
      <x:c r="H527" s="55" t="str">
        <x:f>IF(LEN(I527)&lt;15,"短",IF(LEN(I527)&lt;=45,"中","长"))</x:f>
        <x:v>短</x:v>
      </x:c>
      <x:c r="I527" s="56" t="inlineStr">
        <x:is>
          <x:t xml:space="preserve">她本人已经签署了知情同意书。</x:t>
        </x:is>
      </x:c>
      <x:c r="J527" s="56" t="str">
        <x:f>I527</x:f>
        <x:v>她本人已经签署了知情同意书。</x:v>
      </x:c>
      <x:c r="K527" s="55" t="inlineStr">
        <x:is>
          <x:t xml:space="preserve">无需改写</x:t>
        </x:is>
      </x:c>
      <x:c r="L527" s="56" t="inlineStr">
        <x:is>
          <x:t xml:space="preserve">她</x:t>
        </x:is>
      </x:c>
      <x:c r="M527" s="56" t="inlineStr">
        <x:is>
          <x:t xml:space="preserve">特指患者本人，医疗文书须准确</x:t>
        </x:is>
      </x:c>
      <x:c r="N527" s="56" t="inlineStr">
        <x:is>
          <x:t xml:space="preserve">该人本人已经签署了知情同意书</x:t>
        </x:is>
      </x:c>
      <x:c r="O527" s="55" t="inlineStr">
        <x:is>
          <x:t xml:space="preserve">中</x:t>
        </x:is>
      </x:c>
      <x:c r="P527" s="55" t="inlineStr">
        <x:is>
          <x:t xml:space="preserve">否</x:t>
        </x:is>
      </x:c>
      <x:c r="Q527" s="56" t="n"/>
      <x:c r="R527" s="57" t="inlineStr">
        <x:is>
          <x:t xml:space="preserve">主集</x:t>
        </x:is>
      </x:c>
      <x:c r="S527" s="57" t="inlineStr">
        <x:is>
          <x:t xml:space="preserve">index</x:t>
        </x:is>
      </x:c>
      <x:c r="T527" s="57" t="inlineStr">
        <x:is>
          <x:t xml:space="preserve"/>
        </x:is>
      </x:c>
    </x:row>
    <x:row r="528" s="37" customFormat="1" ht="29.850000381469727" customHeight="1">
      <x:c r="A528" s="55" t="inlineStr">
        <x:is>
          <x:t xml:space="preserve">NEG-0527</x:t>
        </x:is>
      </x:c>
      <x:c r="B528" s="55" t="inlineStr">
        <x:is>
          <x:t xml:space="preserve">v1</x:t>
        </x:is>
      </x:c>
      <x:c r="C528" s="56" t="inlineStr">
        <x:is>
          <x:t xml:space="preserve">一、指称已知性别的具体个人</x:t>
        </x:is>
      </x:c>
      <x:c r="D528" s="56" t="inlineStr">
        <x:is>
          <x:t xml:space="preserve">1.2 人称代词</x:t>
        </x:is>
      </x:c>
      <x:c r="E528" s="56" t="inlineStr">
        <x:is>
          <x:t xml:space="preserve">规范示例（基线）</x:t>
        </x:is>
      </x:c>
      <x:c r="F528" s="56" t="inlineStr">
        <x:is>
          <x:t xml:space="preserve">规范示例句</x:t>
        </x:is>
      </x:c>
      <x:c r="G528" s="55" t="inlineStr">
        <x:is>
          <x:t xml:space="preserve">无</x:t>
        </x:is>
      </x:c>
      <x:c r="H528" s="55" t="str">
        <x:f>IF(LEN(I528)&lt;15,"短",IF(LEN(I528)&lt;=45,"中","长"))</x:f>
        <x:v>中</x:v>
      </x:c>
      <x:c r="I528" s="56" t="inlineStr">
        <x:is>
          <x:t xml:space="preserve">他们三兄弟一起接手了家里的生意。</x:t>
        </x:is>
      </x:c>
      <x:c r="J528" s="56" t="str">
        <x:f>I528</x:f>
        <x:v>他们三兄弟一起接手了家里的生意。</x:v>
      </x:c>
      <x:c r="K528" s="55" t="inlineStr">
        <x:is>
          <x:t xml:space="preserve">无需改写</x:t>
        </x:is>
      </x:c>
      <x:c r="L528" s="56" t="inlineStr">
        <x:is>
          <x:t xml:space="preserve">他们 / 兄弟</x:t>
        </x:is>
      </x:c>
      <x:c r="M528" s="56" t="inlineStr">
        <x:is>
          <x:t xml:space="preserve">确为三名男性，复数代词与事实相符</x:t>
        </x:is>
      </x:c>
      <x:c r="N528" s="56" t="inlineStr">
        <x:is>
          <x:t xml:space="preserve">他们三人一起接手了家里的生意</x:t>
        </x:is>
      </x:c>
      <x:c r="O528" s="55" t="inlineStr">
        <x:is>
          <x:t xml:space="preserve">中</x:t>
        </x:is>
      </x:c>
      <x:c r="P528" s="55" t="inlineStr">
        <x:is>
          <x:t xml:space="preserve">否</x:t>
        </x:is>
      </x:c>
      <x:c r="Q528" s="56" t="n"/>
      <x:c r="R528" s="57" t="inlineStr">
        <x:is>
          <x:t xml:space="preserve">主集</x:t>
        </x:is>
      </x:c>
      <x:c r="S528" s="57" t="inlineStr">
        <x:is>
          <x:t xml:space="preserve">test</x:t>
        </x:is>
      </x:c>
      <x:c r="T528" s="57" t="inlineStr">
        <x:is>
          <x:t xml:space="preserve"/>
        </x:is>
      </x:c>
    </x:row>
    <x:row r="529" s="37" customFormat="1" ht="29.850000381469727" customHeight="1">
      <x:c r="A529" s="55" t="inlineStr">
        <x:is>
          <x:t xml:space="preserve">NEG-0528</x:t>
        </x:is>
      </x:c>
      <x:c r="B529" s="55" t="inlineStr">
        <x:is>
          <x:t xml:space="preserve">v1</x:t>
        </x:is>
      </x:c>
      <x:c r="C529" s="56" t="inlineStr">
        <x:is>
          <x:t xml:space="preserve">一、指称已知性别的具体个人</x:t>
        </x:is>
      </x:c>
      <x:c r="D529" s="56" t="inlineStr">
        <x:is>
          <x:t xml:space="preserve">1.2 人称代词</x:t>
        </x:is>
      </x:c>
      <x:c r="E529" s="56" t="inlineStr">
        <x:is>
          <x:t xml:space="preserve">规范示例（基线）</x:t>
        </x:is>
      </x:c>
      <x:c r="F529" s="56" t="inlineStr">
        <x:is>
          <x:t xml:space="preserve">规范示例句</x:t>
        </x:is>
      </x:c>
      <x:c r="G529" s="55" t="inlineStr">
        <x:is>
          <x:t xml:space="preserve">无</x:t>
        </x:is>
      </x:c>
      <x:c r="H529" s="55" t="str">
        <x:f>IF(LEN(I529)&lt;15,"短",IF(LEN(I529)&lt;=45,"中","长"))</x:f>
        <x:v>中</x:v>
      </x:c>
      <x:c r="I529" s="56" t="inlineStr">
        <x:is>
          <x:t xml:space="preserve">她们班这学期的出勤率是全年级最高的。</x:t>
        </x:is>
      </x:c>
      <x:c r="J529" s="56" t="str">
        <x:f>I529</x:f>
        <x:v>她们班这学期的出勤率是全年级最高的。</x:v>
      </x:c>
      <x:c r="K529" s="55" t="inlineStr">
        <x:is>
          <x:t xml:space="preserve">无需改写</x:t>
        </x:is>
      </x:c>
      <x:c r="L529" s="56" t="inlineStr">
        <x:is>
          <x:t xml:space="preserve">她们</x:t>
        </x:is>
      </x:c>
      <x:c r="M529" s="56" t="inlineStr">
        <x:is>
          <x:t xml:space="preserve">指称女校/女生班这一具体群体</x:t>
        </x:is>
      </x:c>
      <x:c r="N529" s="56" t="inlineStr">
        <x:is>
          <x:t xml:space="preserve">他们班这学期的出勤率是全年级最高的</x:t>
        </x:is>
      </x:c>
      <x:c r="O529" s="55" t="inlineStr">
        <x:is>
          <x:t xml:space="preserve">中</x:t>
        </x:is>
      </x:c>
      <x:c r="P529" s="55" t="inlineStr">
        <x:is>
          <x:t xml:space="preserve">否</x:t>
        </x:is>
      </x:c>
      <x:c r="Q529" s="56" t="inlineStr">
        <x:is>
          <x:t xml:space="preserve">需上下文确认确为全女性群体</x:t>
        </x:is>
      </x:c>
      <x:c r="R529" s="57" t="inlineStr">
        <x:is>
          <x:t xml:space="preserve">主集</x:t>
        </x:is>
      </x:c>
      <x:c r="S529" s="57" t="inlineStr">
        <x:is>
          <x:t xml:space="preserve">dev</x:t>
        </x:is>
      </x:c>
      <x:c r="T529" s="57" t="inlineStr">
        <x:is>
          <x:t xml:space="preserve"/>
        </x:is>
      </x:c>
    </x:row>
    <x:row r="530" s="37" customFormat="1" ht="29.850000381469727" customHeight="1">
      <x:c r="A530" s="55" t="inlineStr">
        <x:is>
          <x:t xml:space="preserve">NEG-0529</x:t>
        </x:is>
      </x:c>
      <x:c r="B530" s="55" t="inlineStr">
        <x:is>
          <x:t xml:space="preserve">v1</x:t>
        </x:is>
      </x:c>
      <x:c r="C530" s="56" t="inlineStr">
        <x:is>
          <x:t xml:space="preserve">一、指称已知性别的具体个人</x:t>
        </x:is>
      </x:c>
      <x:c r="D530" s="56" t="inlineStr">
        <x:is>
          <x:t xml:space="preserve">1.3 血亲与姻亲称谓</x:t>
        </x:is>
      </x:c>
      <x:c r="E530" s="56" t="inlineStr">
        <x:is>
          <x:t xml:space="preserve">规范示例（基线）</x:t>
        </x:is>
      </x:c>
      <x:c r="F530" s="56" t="inlineStr">
        <x:is>
          <x:t xml:space="preserve">规范示例句</x:t>
        </x:is>
      </x:c>
      <x:c r="G530" s="55" t="inlineStr">
        <x:is>
          <x:t xml:space="preserve">无</x:t>
        </x:is>
      </x:c>
      <x:c r="H530" s="55" t="str">
        <x:f>IF(LEN(I530)&lt;15,"短",IF(LEN(I530)&lt;=45,"中","长"))</x:f>
        <x:v>中</x:v>
      </x:c>
      <x:c r="I530" s="56" t="inlineStr">
        <x:is>
          <x:t xml:space="preserve">我妈今年六十岁，还坚持每天晨跑。</x:t>
        </x:is>
      </x:c>
      <x:c r="J530" s="56" t="str">
        <x:f>I530</x:f>
        <x:v>我妈今年六十岁，还坚持每天晨跑。</x:v>
      </x:c>
      <x:c r="K530" s="55" t="inlineStr">
        <x:is>
          <x:t xml:space="preserve">无需改写</x:t>
        </x:is>
      </x:c>
      <x:c r="L530" s="56" t="inlineStr">
        <x:is>
          <x:t xml:space="preserve">我妈</x:t>
        </x:is>
      </x:c>
      <x:c r="M530" s="56" t="inlineStr">
        <x:is>
          <x:t xml:space="preserve">亲属关系的准确描述</x:t>
        </x:is>
      </x:c>
      <x:c r="N530" s="56" t="inlineStr">
        <x:is>
          <x:t xml:space="preserve">我的家长今年六十岁，还坚持每天晨跑</x:t>
        </x:is>
      </x:c>
      <x:c r="O530" s="55" t="inlineStr">
        <x:is>
          <x:t xml:space="preserve">易</x:t>
        </x:is>
      </x:c>
      <x:c r="P530" s="55" t="inlineStr">
        <x:is>
          <x:t xml:space="preserve">否</x:t>
        </x:is>
      </x:c>
      <x:c r="Q530" s="56" t="n"/>
      <x:c r="R530" s="57" t="inlineStr">
        <x:is>
          <x:t xml:space="preserve">主集</x:t>
        </x:is>
      </x:c>
      <x:c r="S530" s="57" t="inlineStr">
        <x:is>
          <x:t xml:space="preserve">test</x:t>
        </x:is>
      </x:c>
      <x:c r="T530" s="57" t="inlineStr">
        <x:is>
          <x:t xml:space="preserve"/>
        </x:is>
      </x:c>
    </x:row>
    <x:row r="531" s="37" customFormat="1" ht="29.850000381469727" customHeight="1">
      <x:c r="A531" s="58" t="inlineStr">
        <x:is>
          <x:t xml:space="preserve">NEG-0530</x:t>
        </x:is>
      </x:c>
      <x:c r="B531" s="58" t="inlineStr">
        <x:is>
          <x:t xml:space="preserve">v1</x:t>
        </x:is>
      </x:c>
      <x:c r="C531" s="59" t="inlineStr">
        <x:is>
          <x:t xml:space="preserve">一、指称已知性别的具体个人</x:t>
        </x:is>
      </x:c>
      <x:c r="D531" s="59" t="inlineStr">
        <x:is>
          <x:t xml:space="preserve">1.3 血亲与姻亲称谓</x:t>
        </x:is>
      </x:c>
      <x:c r="E531" s="59" t="inlineStr">
        <x:is>
          <x:t xml:space="preserve">规范示例（基线）</x:t>
        </x:is>
      </x:c>
      <x:c r="F531" s="59" t="inlineStr">
        <x:is>
          <x:t xml:space="preserve">规范示例句</x:t>
        </x:is>
      </x:c>
      <x:c r="G531" s="58" t="inlineStr">
        <x:is>
          <x:t xml:space="preserve">无</x:t>
        </x:is>
      </x:c>
      <x:c r="H531" s="58" t="str">
        <x:f>IF(LEN(I531)&lt;15,"短",IF(LEN(I531)&lt;=45,"中","长"))</x:f>
        <x:v>短</x:v>
      </x:c>
      <x:c r="I531" s="59" t="inlineStr">
        <x:is>
          <x:t xml:space="preserve">他哥哥在深圳做程序员。</x:t>
        </x:is>
      </x:c>
      <x:c r="J531" s="59" t="str">
        <x:f>I531</x:f>
        <x:v>他哥哥在深圳做程序员。</x:v>
      </x:c>
      <x:c r="K531" s="58" t="inlineStr">
        <x:is>
          <x:t xml:space="preserve">无需改写</x:t>
        </x:is>
      </x:c>
      <x:c r="L531" s="59" t="inlineStr">
        <x:is>
          <x:t xml:space="preserve">哥哥</x:t>
        </x:is>
      </x:c>
      <x:c r="M531" s="59" t="inlineStr">
        <x:is>
          <x:t xml:space="preserve">亲属称谓携带年齿与性别双重信息，替换会丢失信息</x:t>
        </x:is>
      </x:c>
      <x:c r="N531" s="59" t="inlineStr">
        <x:is>
          <x:t xml:space="preserve">他的兄弟姐妹在深圳做程序员</x:t>
        </x:is>
      </x:c>
      <x:c r="O531" s="58" t="inlineStr">
        <x:is>
          <x:t xml:space="preserve">中</x:t>
        </x:is>
      </x:c>
      <x:c r="P531" s="58" t="inlineStr">
        <x:is>
          <x:t xml:space="preserve">否</x:t>
        </x:is>
      </x:c>
      <x:c r="Q531" s="59" t="inlineStr">
        <x:is>
          <x:t xml:space="preserve">汉语亲属称谓信息密度高，是典型信息守恒测试点</x:t>
        </x:is>
      </x:c>
      <x:c r="R531" s="60" t="inlineStr">
        <x:is>
          <x:t xml:space="preserve">隔离·待确认</x:t>
        </x:is>
      </x:c>
      <x:c r="S531" s="60" t="inlineStr">
        <x:is>
          <x:t xml:space="preserve"/>
        </x:is>
      </x:c>
      <x:c r="T531" s="60" t="inlineStr">
        <x:is>
          <x:t xml:space="preserve">触发词不含性别编码——判断可能依赖世界知识而非句内信息</x:t>
        </x:is>
      </x:c>
    </x:row>
    <x:row r="532" s="37" customFormat="1" ht="29.850000381469727" customHeight="1">
      <x:c r="A532" s="55" t="inlineStr">
        <x:is>
          <x:t xml:space="preserve">NEG-0531</x:t>
        </x:is>
      </x:c>
      <x:c r="B532" s="55" t="inlineStr">
        <x:is>
          <x:t xml:space="preserve">v1</x:t>
        </x:is>
      </x:c>
      <x:c r="C532" s="56" t="inlineStr">
        <x:is>
          <x:t xml:space="preserve">一、指称已知性别的具体个人</x:t>
        </x:is>
      </x:c>
      <x:c r="D532" s="56" t="inlineStr">
        <x:is>
          <x:t xml:space="preserve">1.3 血亲与姻亲称谓</x:t>
        </x:is>
      </x:c>
      <x:c r="E532" s="56" t="inlineStr">
        <x:is>
          <x:t xml:space="preserve">规范示例（基线）</x:t>
        </x:is>
      </x:c>
      <x:c r="F532" s="56" t="inlineStr">
        <x:is>
          <x:t xml:space="preserve">规范示例句</x:t>
        </x:is>
      </x:c>
      <x:c r="G532" s="55" t="inlineStr">
        <x:is>
          <x:t xml:space="preserve">无</x:t>
        </x:is>
      </x:c>
      <x:c r="H532" s="55" t="str">
        <x:f>IF(LEN(I532)&lt;15,"短",IF(LEN(I532)&lt;=45,"中","长"))</x:f>
        <x:v>短</x:v>
      </x:c>
      <x:c r="I532" s="56" t="inlineStr">
        <x:is>
          <x:t xml:space="preserve">我丈夫负责接送孩子上下学。</x:t>
        </x:is>
      </x:c>
      <x:c r="J532" s="56" t="str">
        <x:f>I532</x:f>
        <x:v>我丈夫负责接送孩子上下学。</x:v>
      </x:c>
      <x:c r="K532" s="55" t="inlineStr">
        <x:is>
          <x:t xml:space="preserve">无需改写</x:t>
        </x:is>
      </x:c>
      <x:c r="L532" s="56" t="inlineStr">
        <x:is>
          <x:t xml:space="preserve">丈夫</x:t>
        </x:is>
      </x:c>
      <x:c r="M532" s="56" t="inlineStr">
        <x:is>
          <x:t xml:space="preserve">陈述本人家庭的实际分工，非规定性表述</x:t>
        </x:is>
      </x:c>
      <x:c r="N532" s="56" t="inlineStr">
        <x:is>
          <x:t xml:space="preserve">我的配偶负责接送孩子上下学</x:t>
        </x:is>
      </x:c>
      <x:c r="O532" s="55" t="inlineStr">
        <x:is>
          <x:t xml:space="preserve">难</x:t>
        </x:is>
      </x:c>
      <x:c r="P532" s="55" t="inlineStr">
        <x:is>
          <x:t xml:space="preserve">否</x:t>
        </x:is>
      </x:c>
      <x:c r="Q532" s="56" t="inlineStr">
        <x:is>
          <x:t xml:space="preserve">与刻板印象句“妈妈们负责接送”构成最小对立对</x:t>
        </x:is>
      </x:c>
      <x:c r="R532" s="57" t="inlineStr">
        <x:is>
          <x:t xml:space="preserve">主集</x:t>
        </x:is>
      </x:c>
      <x:c r="S532" s="57" t="inlineStr">
        <x:is>
          <x:t xml:space="preserve">test</x:t>
        </x:is>
      </x:c>
      <x:c r="T532" s="57" t="inlineStr">
        <x:is>
          <x:t xml:space="preserve"/>
        </x:is>
      </x:c>
    </x:row>
    <x:row r="533" s="37" customFormat="1" ht="29.850000381469727" customHeight="1">
      <x:c r="A533" s="55" t="inlineStr">
        <x:is>
          <x:t xml:space="preserve">NEG-0532</x:t>
        </x:is>
      </x:c>
      <x:c r="B533" s="55" t="inlineStr">
        <x:is>
          <x:t xml:space="preserve">v1</x:t>
        </x:is>
      </x:c>
      <x:c r="C533" s="56" t="inlineStr">
        <x:is>
          <x:t xml:space="preserve">一、指称已知性别的具体个人</x:t>
        </x:is>
      </x:c>
      <x:c r="D533" s="56" t="inlineStr">
        <x:is>
          <x:t xml:space="preserve">1.3 血亲与姻亲称谓</x:t>
        </x:is>
      </x:c>
      <x:c r="E533" s="56" t="inlineStr">
        <x:is>
          <x:t xml:space="preserve">规范示例（基线）</x:t>
        </x:is>
      </x:c>
      <x:c r="F533" s="56" t="inlineStr">
        <x:is>
          <x:t xml:space="preserve">规范示例句</x:t>
        </x:is>
      </x:c>
      <x:c r="G533" s="55" t="inlineStr">
        <x:is>
          <x:t xml:space="preserve">无</x:t>
        </x:is>
      </x:c>
      <x:c r="H533" s="55" t="str">
        <x:f>IF(LEN(I533)&lt;15,"短",IF(LEN(I533)&lt;=45,"中","长"))</x:f>
        <x:v>中</x:v>
      </x:c>
      <x:c r="I533" s="56" t="inlineStr">
        <x:is>
          <x:t xml:space="preserve">这份遗嘱由被继承人的女儿保管。</x:t>
        </x:is>
      </x:c>
      <x:c r="J533" s="56" t="str">
        <x:f>I533</x:f>
        <x:v>这份遗嘱由被继承人的女儿保管。</x:v>
      </x:c>
      <x:c r="K533" s="55" t="inlineStr">
        <x:is>
          <x:t xml:space="preserve">无需改写</x:t>
        </x:is>
      </x:c>
      <x:c r="L533" s="56" t="inlineStr">
        <x:is>
          <x:t xml:space="preserve">女儿</x:t>
        </x:is>
      </x:c>
      <x:c r="M533" s="56" t="inlineStr">
        <x:is>
          <x:t xml:space="preserve">继承法律关系中的身份必须精确</x:t>
        </x:is>
      </x:c>
      <x:c r="N533" s="56" t="inlineStr">
        <x:is>
          <x:t xml:space="preserve">这份遗嘱由被继承人的子女保管</x:t>
        </x:is>
      </x:c>
      <x:c r="O533" s="55" t="inlineStr">
        <x:is>
          <x:t xml:space="preserve">易</x:t>
        </x:is>
      </x:c>
      <x:c r="P533" s="55" t="inlineStr">
        <x:is>
          <x:t xml:space="preserve">否</x:t>
        </x:is>
      </x:c>
      <x:c r="Q533" s="56" t="n"/>
      <x:c r="R533" s="57" t="inlineStr">
        <x:is>
          <x:t xml:space="preserve">主集</x:t>
        </x:is>
      </x:c>
      <x:c r="S533" s="57" t="inlineStr">
        <x:is>
          <x:t xml:space="preserve">index</x:t>
        </x:is>
      </x:c>
      <x:c r="T533" s="57" t="inlineStr">
        <x:is>
          <x:t xml:space="preserve"/>
        </x:is>
      </x:c>
    </x:row>
    <x:row r="534" s="37" customFormat="1" ht="29.850000381469727" customHeight="1">
      <x:c r="A534" s="55" t="inlineStr">
        <x:is>
          <x:t xml:space="preserve">NEG-0533</x:t>
        </x:is>
      </x:c>
      <x:c r="B534" s="55" t="inlineStr">
        <x:is>
          <x:t xml:space="preserve">v1</x:t>
        </x:is>
      </x:c>
      <x:c r="C534" s="56" t="inlineStr">
        <x:is>
          <x:t xml:space="preserve">一、指称已知性别的具体个人</x:t>
        </x:is>
      </x:c>
      <x:c r="D534" s="56" t="inlineStr">
        <x:is>
          <x:t xml:space="preserve">1.3 血亲与姻亲称谓</x:t>
        </x:is>
      </x:c>
      <x:c r="E534" s="56" t="inlineStr">
        <x:is>
          <x:t xml:space="preserve">规范示例（基线）</x:t>
        </x:is>
      </x:c>
      <x:c r="F534" s="56" t="inlineStr">
        <x:is>
          <x:t xml:space="preserve">规范示例句</x:t>
        </x:is>
      </x:c>
      <x:c r="G534" s="55" t="inlineStr">
        <x:is>
          <x:t xml:space="preserve">无</x:t>
        </x:is>
      </x:c>
      <x:c r="H534" s="55" t="str">
        <x:f>IF(LEN(I534)&lt;15,"短",IF(LEN(I534)&lt;=45,"中","长"))</x:f>
        <x:v>短</x:v>
      </x:c>
      <x:c r="I534" s="56" t="inlineStr">
        <x:is>
          <x:t xml:space="preserve">我姐夫开了一家汽修厂。</x:t>
        </x:is>
      </x:c>
      <x:c r="J534" s="56" t="str">
        <x:f>I534</x:f>
        <x:v>我姐夫开了一家汽修厂。</x:v>
      </x:c>
      <x:c r="K534" s="55" t="inlineStr">
        <x:is>
          <x:t xml:space="preserve">无需改写</x:t>
        </x:is>
      </x:c>
      <x:c r="L534" s="56" t="inlineStr">
        <x:is>
          <x:t xml:space="preserve">姐夫</x:t>
        </x:is>
      </x:c>
      <x:c r="M534" s="56" t="inlineStr">
        <x:is>
          <x:t xml:space="preserve">姻亲称谓无中性对应词，替换即失真</x:t>
        </x:is>
      </x:c>
      <x:c r="N534" s="56" t="inlineStr">
        <x:is>
          <x:t xml:space="preserve">我的亲戚开了一家汽修厂</x:t>
        </x:is>
      </x:c>
      <x:c r="O534" s="55" t="inlineStr">
        <x:is>
          <x:t xml:space="preserve">中</x:t>
        </x:is>
      </x:c>
      <x:c r="P534" s="55" t="inlineStr">
        <x:is>
          <x:t xml:space="preserve">否</x:t>
        </x:is>
      </x:c>
      <x:c r="Q534" s="56" t="n"/>
      <x:c r="R534" s="57" t="inlineStr">
        <x:is>
          <x:t xml:space="preserve">主集</x:t>
        </x:is>
      </x:c>
      <x:c r="S534" s="57" t="inlineStr">
        <x:is>
          <x:t xml:space="preserve">index</x:t>
        </x:is>
      </x:c>
      <x:c r="T534" s="57" t="inlineStr">
        <x:is>
          <x:t xml:space="preserve"/>
        </x:is>
      </x:c>
    </x:row>
    <x:row r="535" s="37" customFormat="1" ht="29.850000381469727" customHeight="1">
      <x:c r="A535" s="55" t="inlineStr">
        <x:is>
          <x:t xml:space="preserve">NEG-0534</x:t>
        </x:is>
      </x:c>
      <x:c r="B535" s="55" t="inlineStr">
        <x:is>
          <x:t xml:space="preserve">v1</x:t>
        </x:is>
      </x:c>
      <x:c r="C535" s="56" t="inlineStr">
        <x:is>
          <x:t xml:space="preserve">一、指称已知性别的具体个人</x:t>
        </x:is>
      </x:c>
      <x:c r="D535" s="56" t="inlineStr">
        <x:is>
          <x:t xml:space="preserve">1.3 血亲与姻亲称谓</x:t>
        </x:is>
      </x:c>
      <x:c r="E535" s="56" t="inlineStr">
        <x:is>
          <x:t xml:space="preserve">规范示例（基线）</x:t>
        </x:is>
      </x:c>
      <x:c r="F535" s="56" t="inlineStr">
        <x:is>
          <x:t xml:space="preserve">规范示例句</x:t>
        </x:is>
      </x:c>
      <x:c r="G535" s="55" t="inlineStr">
        <x:is>
          <x:t xml:space="preserve">无</x:t>
        </x:is>
      </x:c>
      <x:c r="H535" s="55" t="str">
        <x:f>IF(LEN(I535)&lt;15,"短",IF(LEN(I535)&lt;=45,"中","长"))</x:f>
        <x:v>短</x:v>
      </x:c>
      <x:c r="I535" s="56" t="inlineStr">
        <x:is>
          <x:t xml:space="preserve">她奶奶生前住在城南。</x:t>
        </x:is>
      </x:c>
      <x:c r="J535" s="56" t="str">
        <x:f>I535</x:f>
        <x:v>她奶奶生前住在城南。</x:v>
      </x:c>
      <x:c r="K535" s="55" t="inlineStr">
        <x:is>
          <x:t xml:space="preserve">无需改写</x:t>
        </x:is>
      </x:c>
      <x:c r="L535" s="56" t="inlineStr">
        <x:is>
          <x:t xml:space="preserve">奶奶</x:t>
        </x:is>
      </x:c>
      <x:c r="M535" s="56" t="inlineStr">
        <x:is>
          <x:t xml:space="preserve">特指父系祖母，与“外婆”有别</x:t>
        </x:is>
      </x:c>
      <x:c r="N535" s="56" t="inlineStr">
        <x:is>
          <x:t xml:space="preserve">她的祖辈生前住在城南</x:t>
        </x:is>
      </x:c>
      <x:c r="O535" s="55" t="inlineStr">
        <x:is>
          <x:t xml:space="preserve">中</x:t>
        </x:is>
      </x:c>
      <x:c r="P535" s="55" t="inlineStr">
        <x:is>
          <x:t xml:space="preserve">否</x:t>
        </x:is>
      </x:c>
      <x:c r="Q535" s="56" t="n"/>
      <x:c r="R535" s="57" t="inlineStr">
        <x:is>
          <x:t xml:space="preserve">主集</x:t>
        </x:is>
      </x:c>
      <x:c r="S535" s="57" t="inlineStr">
        <x:is>
          <x:t xml:space="preserve">test</x:t>
        </x:is>
      </x:c>
      <x:c r="T535" s="57" t="inlineStr">
        <x:is>
          <x:t xml:space="preserve"/>
        </x:is>
      </x:c>
    </x:row>
    <x:row r="536" s="37" customFormat="1" ht="29.850000381469727" customHeight="1">
      <x:c r="A536" s="55" t="inlineStr">
        <x:is>
          <x:t xml:space="preserve">NEG-0535</x:t>
        </x:is>
      </x:c>
      <x:c r="B536" s="55" t="inlineStr">
        <x:is>
          <x:t xml:space="preserve">v1</x:t>
        </x:is>
      </x:c>
      <x:c r="C536" s="56" t="inlineStr">
        <x:is>
          <x:t xml:space="preserve">一、指称已知性别的具体个人</x:t>
        </x:is>
      </x:c>
      <x:c r="D536" s="56" t="inlineStr">
        <x:is>
          <x:t xml:space="preserve">1.4 伴侣与恋爱关系</x:t>
        </x:is>
      </x:c>
      <x:c r="E536" s="56" t="inlineStr">
        <x:is>
          <x:t xml:space="preserve">规范示例（基线）</x:t>
        </x:is>
      </x:c>
      <x:c r="F536" s="56" t="inlineStr">
        <x:is>
          <x:t xml:space="preserve">规范示例句</x:t>
        </x:is>
      </x:c>
      <x:c r="G536" s="55" t="inlineStr">
        <x:is>
          <x:t xml:space="preserve">无</x:t>
        </x:is>
      </x:c>
      <x:c r="H536" s="55" t="str">
        <x:f>IF(LEN(I536)&lt;15,"短",IF(LEN(I536)&lt;=45,"中","长"))</x:f>
        <x:v>中</x:v>
      </x:c>
      <x:c r="I536" s="56" t="inlineStr">
        <x:is>
          <x:t xml:space="preserve">我的女朋友打电话说她很快会回来。</x:t>
        </x:is>
      </x:c>
      <x:c r="J536" s="56" t="str">
        <x:f>I536</x:f>
        <x:v>我的女朋友打电话说她很快会回来。</x:v>
      </x:c>
      <x:c r="K536" s="55" t="inlineStr">
        <x:is>
          <x:t xml:space="preserve">无需改写</x:t>
        </x:is>
      </x:c>
      <x:c r="L536" s="56" t="inlineStr">
        <x:is>
          <x:t xml:space="preserve">女朋友 / 她</x:t>
        </x:is>
      </x:c>
      <x:c r="M536" s="56" t="inlineStr">
        <x:is>
          <x:t xml:space="preserve">当事人对自身亲密关系的准确描述</x:t>
        </x:is>
      </x:c>
      <x:c r="N536" s="56" t="inlineStr">
        <x:is>
          <x:t xml:space="preserve">我的伴侣打电话说TA很快会回来</x:t>
        </x:is>
      </x:c>
      <x:c r="O536" s="55" t="inlineStr">
        <x:is>
          <x:t xml:space="preserve">难</x:t>
        </x:is>
      </x:c>
      <x:c r="P536" s="55" t="inlineStr">
        <x:is>
          <x:t xml:space="preserve">否</x:t>
        </x:is>
      </x:c>
      <x:c r="Q536" s="56" t="inlineStr">
        <x:is>
          <x:t xml:space="preserve">高频误改样本</x:t>
        </x:is>
      </x:c>
      <x:c r="R536" s="57" t="inlineStr">
        <x:is>
          <x:t xml:space="preserve">主集</x:t>
        </x:is>
      </x:c>
      <x:c r="S536" s="57" t="inlineStr">
        <x:is>
          <x:t xml:space="preserve">test</x:t>
        </x:is>
      </x:c>
      <x:c r="T536" s="57" t="inlineStr">
        <x:is>
          <x:t xml:space="preserve"/>
        </x:is>
      </x:c>
    </x:row>
    <x:row r="537" s="37" customFormat="1" ht="29.850000381469727" customHeight="1">
      <x:c r="A537" s="55" t="inlineStr">
        <x:is>
          <x:t xml:space="preserve">NEG-0536</x:t>
        </x:is>
      </x:c>
      <x:c r="B537" s="55" t="inlineStr">
        <x:is>
          <x:t xml:space="preserve">v1</x:t>
        </x:is>
      </x:c>
      <x:c r="C537" s="56" t="inlineStr">
        <x:is>
          <x:t xml:space="preserve">一、指称已知性别的具体个人</x:t>
        </x:is>
      </x:c>
      <x:c r="D537" s="56" t="inlineStr">
        <x:is>
          <x:t xml:space="preserve">1.4 伴侣与恋爱关系</x:t>
        </x:is>
      </x:c>
      <x:c r="E537" s="56" t="inlineStr">
        <x:is>
          <x:t xml:space="preserve">规范示例（基线）</x:t>
        </x:is>
      </x:c>
      <x:c r="F537" s="56" t="inlineStr">
        <x:is>
          <x:t xml:space="preserve">规范示例句</x:t>
        </x:is>
      </x:c>
      <x:c r="G537" s="55" t="inlineStr">
        <x:is>
          <x:t xml:space="preserve">无</x:t>
        </x:is>
      </x:c>
      <x:c r="H537" s="55" t="str">
        <x:f>IF(LEN(I537)&lt;15,"短",IF(LEN(I537)&lt;=45,"中","长"))</x:f>
        <x:v>短</x:v>
      </x:c>
      <x:c r="I537" s="56" t="inlineStr">
        <x:is>
          <x:t xml:space="preserve">前妻负责孩子周末的照料。</x:t>
        </x:is>
      </x:c>
      <x:c r="J537" s="56" t="str">
        <x:f>I537</x:f>
        <x:v>前妻负责孩子周末的照料。</x:v>
      </x:c>
      <x:c r="K537" s="55" t="inlineStr">
        <x:is>
          <x:t xml:space="preserve">无需改写</x:t>
        </x:is>
      </x:c>
      <x:c r="L537" s="56" t="inlineStr">
        <x:is>
          <x:t xml:space="preserve">前妻</x:t>
        </x:is>
      </x:c>
      <x:c r="M537" s="56" t="inlineStr">
        <x:is>
          <x:t xml:space="preserve">离婚后抚养安排的事实陈述</x:t>
        </x:is>
      </x:c>
      <x:c r="N537" s="56" t="inlineStr">
        <x:is>
          <x:t xml:space="preserve">前任配偶负责孩子周末的照料</x:t>
        </x:is>
      </x:c>
      <x:c r="O537" s="55" t="inlineStr">
        <x:is>
          <x:t xml:space="preserve">中</x:t>
        </x:is>
      </x:c>
      <x:c r="P537" s="55" t="inlineStr">
        <x:is>
          <x:t xml:space="preserve">否</x:t>
        </x:is>
      </x:c>
      <x:c r="Q537" s="56" t="n"/>
      <x:c r="R537" s="57" t="inlineStr">
        <x:is>
          <x:t xml:space="preserve">主集</x:t>
        </x:is>
      </x:c>
      <x:c r="S537" s="57" t="inlineStr">
        <x:is>
          <x:t xml:space="preserve">test</x:t>
        </x:is>
      </x:c>
      <x:c r="T537" s="57" t="inlineStr">
        <x:is>
          <x:t xml:space="preserve"/>
        </x:is>
      </x:c>
    </x:row>
    <x:row r="538" s="37" customFormat="1" ht="29.850000381469727" customHeight="1">
      <x:c r="A538" s="55" t="inlineStr">
        <x:is>
          <x:t xml:space="preserve">NEG-0537</x:t>
        </x:is>
      </x:c>
      <x:c r="B538" s="55" t="inlineStr">
        <x:is>
          <x:t xml:space="preserve">v1</x:t>
        </x:is>
      </x:c>
      <x:c r="C538" s="56" t="inlineStr">
        <x:is>
          <x:t xml:space="preserve">一、指称已知性别的具体个人</x:t>
        </x:is>
      </x:c>
      <x:c r="D538" s="56" t="inlineStr">
        <x:is>
          <x:t xml:space="preserve">1.4 伴侣与恋爱关系</x:t>
        </x:is>
      </x:c>
      <x:c r="E538" s="56" t="inlineStr">
        <x:is>
          <x:t xml:space="preserve">规范示例（基线）</x:t>
        </x:is>
      </x:c>
      <x:c r="F538" s="56" t="inlineStr">
        <x:is>
          <x:t xml:space="preserve">规范示例句</x:t>
        </x:is>
      </x:c>
      <x:c r="G538" s="55" t="inlineStr">
        <x:is>
          <x:t xml:space="preserve">无</x:t>
        </x:is>
      </x:c>
      <x:c r="H538" s="55" t="str">
        <x:f>IF(LEN(I538)&lt;15,"短",IF(LEN(I538)&lt;=45,"中","长"))</x:f>
        <x:v>短</x:v>
      </x:c>
      <x:c r="I538" s="56" t="inlineStr">
        <x:is>
          <x:t xml:space="preserve">他和未婚妻定在十月办婚礼。</x:t>
        </x:is>
      </x:c>
      <x:c r="J538" s="56" t="str">
        <x:f>I538</x:f>
        <x:v>他和未婚妻定在十月办婚礼。</x:v>
      </x:c>
      <x:c r="K538" s="55" t="inlineStr">
        <x:is>
          <x:t xml:space="preserve">无需改写</x:t>
        </x:is>
      </x:c>
      <x:c r="L538" s="56" t="inlineStr">
        <x:is>
          <x:t xml:space="preserve">未婚妻</x:t>
        </x:is>
      </x:c>
      <x:c r="M538" s="56" t="inlineStr">
        <x:is>
          <x:t xml:space="preserve">特定关系的既有称谓</x:t>
        </x:is>
      </x:c>
      <x:c r="N538" s="56" t="inlineStr">
        <x:is>
          <x:t xml:space="preserve">他和未婚伴侣定在十月办婚礼</x:t>
        </x:is>
      </x:c>
      <x:c r="O538" s="55" t="inlineStr">
        <x:is>
          <x:t xml:space="preserve">易</x:t>
        </x:is>
      </x:c>
      <x:c r="P538" s="55" t="inlineStr">
        <x:is>
          <x:t xml:space="preserve">否</x:t>
        </x:is>
      </x:c>
      <x:c r="Q538" s="56" t="n"/>
      <x:c r="R538" s="57" t="inlineStr">
        <x:is>
          <x:t xml:space="preserve">主集</x:t>
        </x:is>
      </x:c>
      <x:c r="S538" s="57" t="inlineStr">
        <x:is>
          <x:t xml:space="preserve">test</x:t>
        </x:is>
      </x:c>
      <x:c r="T538" s="57" t="inlineStr">
        <x:is>
          <x:t xml:space="preserve"/>
        </x:is>
      </x:c>
    </x:row>
    <x:row r="539" s="37" customFormat="1" ht="44" customHeight="1">
      <x:c r="A539" s="55" t="inlineStr">
        <x:is>
          <x:t xml:space="preserve">NEG-0538</x:t>
        </x:is>
      </x:c>
      <x:c r="B539" s="55" t="inlineStr">
        <x:is>
          <x:t xml:space="preserve">v1</x:t>
        </x:is>
      </x:c>
      <x:c r="C539" s="56" t="inlineStr">
        <x:is>
          <x:t xml:space="preserve">一、指称已知性别的具体个人</x:t>
        </x:is>
      </x:c>
      <x:c r="D539" s="56" t="inlineStr">
        <x:is>
          <x:t xml:space="preserve">1.5 社会角色中的具体个人</x:t>
        </x:is>
      </x:c>
      <x:c r="E539" s="56" t="inlineStr">
        <x:is>
          <x:t xml:space="preserve">规范示例（基线）</x:t>
        </x:is>
      </x:c>
      <x:c r="F539" s="56" t="inlineStr">
        <x:is>
          <x:t xml:space="preserve">规范示例句</x:t>
        </x:is>
      </x:c>
      <x:c r="G539" s="55" t="inlineStr">
        <x:is>
          <x:t xml:space="preserve">无</x:t>
        </x:is>
      </x:c>
      <x:c r="H539" s="55" t="str">
        <x:f>IF(LEN(I539)&lt;15,"短",IF(LEN(I539)&lt;=45,"中","长"))</x:f>
        <x:v>短</x:v>
      </x:c>
      <x:c r="I539" s="56" t="inlineStr">
        <x:is>
          <x:t xml:space="preserve">我们班主任是位女老师，姓刘。</x:t>
        </x:is>
      </x:c>
      <x:c r="J539" s="56" t="str">
        <x:f>I539</x:f>
        <x:v>我们班主任是位女老师，姓刘。</x:v>
      </x:c>
      <x:c r="K539" s="55" t="inlineStr">
        <x:is>
          <x:t xml:space="preserve">无需改写</x:t>
        </x:is>
      </x:c>
      <x:c r="L539" s="56" t="inlineStr">
        <x:is>
          <x:t xml:space="preserve">女老师</x:t>
        </x:is>
      </x:c>
      <x:c r="M539" s="56" t="inlineStr">
        <x:is>
          <x:t xml:space="preserve">介绍具体某人的基本情况，非对职业加性别限定</x:t>
        </x:is>
      </x:c>
      <x:c r="N539" s="56" t="inlineStr">
        <x:is>
          <x:t xml:space="preserve">我们班主任是位老师，姓刘</x:t>
        </x:is>
      </x:c>
      <x:c r="O539" s="55" t="inlineStr">
        <x:is>
          <x:t xml:space="preserve">难</x:t>
        </x:is>
      </x:c>
      <x:c r="P539" s="55" t="inlineStr">
        <x:is>
          <x:t xml:space="preserve">否</x:t>
        </x:is>
      </x:c>
      <x:c r="Q539" s="56" t="inlineStr">
        <x:is>
          <x:t xml:space="preserve">与“女司机技术不行”构成最小对立对：此处“女”描述个体，彼处标记职业</x:t>
        </x:is>
      </x:c>
      <x:c r="R539" s="57" t="inlineStr">
        <x:is>
          <x:t xml:space="preserve">主集</x:t>
        </x:is>
      </x:c>
      <x:c r="S539" s="57" t="inlineStr">
        <x:is>
          <x:t xml:space="preserve">dev</x:t>
        </x:is>
      </x:c>
      <x:c r="T539" s="57" t="inlineStr">
        <x:is>
          <x:t xml:space="preserve"/>
        </x:is>
      </x:c>
    </x:row>
    <x:row r="540" s="37" customFormat="1" ht="29.850000381469727" customHeight="1">
      <x:c r="A540" s="55" t="inlineStr">
        <x:is>
          <x:t xml:space="preserve">NEG-0539</x:t>
        </x:is>
      </x:c>
      <x:c r="B540" s="55" t="inlineStr">
        <x:is>
          <x:t xml:space="preserve">v1</x:t>
        </x:is>
      </x:c>
      <x:c r="C540" s="56" t="inlineStr">
        <x:is>
          <x:t xml:space="preserve">一、指称已知性别的具体个人</x:t>
        </x:is>
      </x:c>
      <x:c r="D540" s="56" t="inlineStr">
        <x:is>
          <x:t xml:space="preserve">1.5 社会角色中的具体个人</x:t>
        </x:is>
      </x:c>
      <x:c r="E540" s="56" t="inlineStr">
        <x:is>
          <x:t xml:space="preserve">规范示例（基线）</x:t>
        </x:is>
      </x:c>
      <x:c r="F540" s="56" t="inlineStr">
        <x:is>
          <x:t xml:space="preserve">规范示例句</x:t>
        </x:is>
      </x:c>
      <x:c r="G540" s="55" t="inlineStr">
        <x:is>
          <x:t xml:space="preserve">无</x:t>
        </x:is>
      </x:c>
      <x:c r="H540" s="55" t="str">
        <x:f>IF(LEN(I540)&lt;15,"短",IF(LEN(I540)&lt;=45,"中","长"))</x:f>
        <x:v>中</x:v>
      </x:c>
      <x:c r="I540" s="56" t="inlineStr">
        <x:is>
          <x:t xml:space="preserve">证人陈述时，其母亲在庭外等候。</x:t>
        </x:is>
      </x:c>
      <x:c r="J540" s="56" t="str">
        <x:f>I540</x:f>
        <x:v>证人陈述时，其母亲在庭外等候。</x:v>
      </x:c>
      <x:c r="K540" s="55" t="inlineStr">
        <x:is>
          <x:t xml:space="preserve">无需改写</x:t>
        </x:is>
      </x:c>
      <x:c r="L540" s="56" t="inlineStr">
        <x:is>
          <x:t xml:space="preserve">母亲</x:t>
        </x:is>
      </x:c>
      <x:c r="M540" s="56" t="inlineStr">
        <x:is>
          <x:t xml:space="preserve">庭审记录中的在场人员身份</x:t>
        </x:is>
      </x:c>
      <x:c r="N540" s="56" t="inlineStr">
        <x:is>
          <x:t xml:space="preserve">证人陈述时，其家长在庭外等候</x:t>
        </x:is>
      </x:c>
      <x:c r="O540" s="55" t="inlineStr">
        <x:is>
          <x:t xml:space="preserve">易</x:t>
        </x:is>
      </x:c>
      <x:c r="P540" s="55" t="inlineStr">
        <x:is>
          <x:t xml:space="preserve">否</x:t>
        </x:is>
      </x:c>
      <x:c r="Q540" s="56" t="n"/>
      <x:c r="R540" s="57" t="inlineStr">
        <x:is>
          <x:t xml:space="preserve">主集</x:t>
        </x:is>
      </x:c>
      <x:c r="S540" s="57" t="inlineStr">
        <x:is>
          <x:t xml:space="preserve">dev</x:t>
        </x:is>
      </x:c>
      <x:c r="T540" s="57" t="inlineStr">
        <x:is>
          <x:t xml:space="preserve"/>
        </x:is>
      </x:c>
    </x:row>
    <x:row r="541" s="37" customFormat="1" ht="29.850000381469727" customHeight="1">
      <x:c r="A541" s="55" t="inlineStr">
        <x:is>
          <x:t xml:space="preserve">NEG-0540</x:t>
        </x:is>
      </x:c>
      <x:c r="B541" s="55" t="inlineStr">
        <x:is>
          <x:t xml:space="preserve">v1</x:t>
        </x:is>
      </x:c>
      <x:c r="C541" s="56" t="inlineStr">
        <x:is>
          <x:t xml:space="preserve">一、指称已知性别的具体个人</x:t>
        </x:is>
      </x:c>
      <x:c r="D541" s="56" t="inlineStr">
        <x:is>
          <x:t xml:space="preserve">1.5 社会角色中的具体个人</x:t>
        </x:is>
      </x:c>
      <x:c r="E541" s="56" t="inlineStr">
        <x:is>
          <x:t xml:space="preserve">规范示例（基线）</x:t>
        </x:is>
      </x:c>
      <x:c r="F541" s="56" t="inlineStr">
        <x:is>
          <x:t xml:space="preserve">规范示例句</x:t>
        </x:is>
      </x:c>
      <x:c r="G541" s="55" t="inlineStr">
        <x:is>
          <x:t xml:space="preserve">无</x:t>
        </x:is>
      </x:c>
      <x:c r="H541" s="55" t="str">
        <x:f>IF(LEN(I541)&lt;15,"短",IF(LEN(I541)&lt;=45,"中","长"))</x:f>
        <x:v>中</x:v>
      </x:c>
      <x:c r="I541" s="56" t="inlineStr">
        <x:is>
          <x:t xml:space="preserve">被害人为一名 14 岁女性，案发时独自在家。</x:t>
        </x:is>
      </x:c>
      <x:c r="J541" s="56" t="str">
        <x:f>I541</x:f>
        <x:v>被害人为一名 14 岁女性，案发时独自在家。</x:v>
      </x:c>
      <x:c r="K541" s="55" t="inlineStr">
        <x:is>
          <x:t xml:space="preserve">无需改写</x:t>
        </x:is>
      </x:c>
      <x:c r="L541" s="56" t="inlineStr">
        <x:is>
          <x:t xml:space="preserve">女性</x:t>
        </x:is>
      </x:c>
      <x:c r="M541" s="56" t="inlineStr">
        <x:is>
          <x:t xml:space="preserve">刑事案件中被害人性别是案情要素</x:t>
        </x:is>
      </x:c>
      <x:c r="N541" s="56" t="inlineStr">
        <x:is>
          <x:t xml:space="preserve">被害人为一名 14 岁未成年人，案发时独自在家</x:t>
        </x:is>
      </x:c>
      <x:c r="O541" s="55" t="inlineStr">
        <x:is>
          <x:t xml:space="preserve">易</x:t>
        </x:is>
      </x:c>
      <x:c r="P541" s="55" t="inlineStr">
        <x:is>
          <x:t xml:space="preserve">否</x:t>
        </x:is>
      </x:c>
      <x:c r="Q541" s="56" t="n"/>
      <x:c r="R541" s="57" t="inlineStr">
        <x:is>
          <x:t xml:space="preserve">主集</x:t>
        </x:is>
      </x:c>
      <x:c r="S541" s="57" t="inlineStr">
        <x:is>
          <x:t xml:space="preserve">index</x:t>
        </x:is>
      </x:c>
      <x:c r="T541" s="57" t="inlineStr">
        <x:is>
          <x:t xml:space="preserve"/>
        </x:is>
      </x:c>
    </x:row>
    <x:row r="542" s="37" customFormat="1" ht="29.850000381469727" customHeight="1">
      <x:c r="A542" s="55" t="inlineStr">
        <x:is>
          <x:t xml:space="preserve">NEG-0541</x:t>
        </x:is>
      </x:c>
      <x:c r="B542" s="55" t="inlineStr">
        <x:is>
          <x:t xml:space="preserve">v1</x:t>
        </x:is>
      </x:c>
      <x:c r="C542" s="56" t="inlineStr">
        <x:is>
          <x:t xml:space="preserve">二、生理与医学必需</x:t>
        </x:is>
      </x:c>
      <x:c r="D542" s="56" t="inlineStr">
        <x:is>
          <x:t xml:space="preserve">2.1 生殖与生育</x:t>
        </x:is>
      </x:c>
      <x:c r="E542" s="56" t="inlineStr">
        <x:is>
          <x:t xml:space="preserve">规范示例（基线）</x:t>
        </x:is>
      </x:c>
      <x:c r="F542" s="56" t="inlineStr">
        <x:is>
          <x:t xml:space="preserve">规范示例句</x:t>
        </x:is>
      </x:c>
      <x:c r="G542" s="55" t="inlineStr">
        <x:is>
          <x:t xml:space="preserve">无</x:t>
        </x:is>
      </x:c>
      <x:c r="H542" s="55" t="str">
        <x:f>IF(LEN(I542)&lt;15,"短",IF(LEN(I542)&lt;=45,"中","长"))</x:f>
        <x:v>中</x:v>
      </x:c>
      <x:c r="I542" s="56" t="inlineStr">
        <x:is>
          <x:t xml:space="preserve">孕妇应在妊娠 24 至 28 周完成口服葡萄糖耐量试验。</x:t>
        </x:is>
      </x:c>
      <x:c r="J542" s="56" t="str">
        <x:f>I542</x:f>
        <x:v>孕妇应在妊娠 24 至 28 周完成口服葡萄糖耐量试验。</x:v>
      </x:c>
      <x:c r="K542" s="55" t="inlineStr">
        <x:is>
          <x:t xml:space="preserve">无需改写</x:t>
        </x:is>
      </x:c>
      <x:c r="L542" s="56" t="inlineStr">
        <x:is>
          <x:t xml:space="preserve">孕妇 / 妊娠</x:t>
        </x:is>
      </x:c>
      <x:c r="M542" s="56" t="inlineStr">
        <x:is>
          <x:t xml:space="preserve">妊娠为生理事实，是该项检查的适应证</x:t>
        </x:is>
      </x:c>
      <x:c r="N542" s="56" t="inlineStr">
        <x:is>
          <x:t xml:space="preserve">孕育者应在妊娠 24 至 28 周完成口服葡萄糖耐量试验</x:t>
        </x:is>
      </x:c>
      <x:c r="O542" s="55" t="inlineStr">
        <x:is>
          <x:t xml:space="preserve">易</x:t>
        </x:is>
      </x:c>
      <x:c r="P542" s="55" t="inlineStr">
        <x:is>
          <x:t xml:space="preserve">否</x:t>
        </x:is>
      </x:c>
      <x:c r="Q542" s="56" t="n"/>
      <x:c r="R542" s="57" t="inlineStr">
        <x:is>
          <x:t xml:space="preserve">主集</x:t>
        </x:is>
      </x:c>
      <x:c r="S542" s="57" t="inlineStr">
        <x:is>
          <x:t xml:space="preserve">test</x:t>
        </x:is>
      </x:c>
      <x:c r="T542" s="57" t="inlineStr">
        <x:is>
          <x:t xml:space="preserve"/>
        </x:is>
      </x:c>
    </x:row>
    <x:row r="543" s="37" customFormat="1" ht="29.850000381469727" customHeight="1">
      <x:c r="A543" s="55" t="inlineStr">
        <x:is>
          <x:t xml:space="preserve">NEG-0542</x:t>
        </x:is>
      </x:c>
      <x:c r="B543" s="55" t="inlineStr">
        <x:is>
          <x:t xml:space="preserve">v1</x:t>
        </x:is>
      </x:c>
      <x:c r="C543" s="56" t="inlineStr">
        <x:is>
          <x:t xml:space="preserve">二、生理与医学必需</x:t>
        </x:is>
      </x:c>
      <x:c r="D543" s="56" t="inlineStr">
        <x:is>
          <x:t xml:space="preserve">2.1 生殖与生育</x:t>
        </x:is>
      </x:c>
      <x:c r="E543" s="56" t="inlineStr">
        <x:is>
          <x:t xml:space="preserve">规范示例（基线）</x:t>
        </x:is>
      </x:c>
      <x:c r="F543" s="56" t="inlineStr">
        <x:is>
          <x:t xml:space="preserve">规范示例句</x:t>
        </x:is>
      </x:c>
      <x:c r="G543" s="55" t="inlineStr">
        <x:is>
          <x:t xml:space="preserve">无</x:t>
        </x:is>
      </x:c>
      <x:c r="H543" s="55" t="str">
        <x:f>IF(LEN(I543)&lt;15,"短",IF(LEN(I543)&lt;=45,"中","长"))</x:f>
        <x:v>中</x:v>
      </x:c>
      <x:c r="I543" s="56" t="inlineStr">
        <x:is>
          <x:t xml:space="preserve">剖宫产术后需持续观察子宫收缩及阴道出血情况。</x:t>
        </x:is>
      </x:c>
      <x:c r="J543" s="56" t="str">
        <x:f>I543</x:f>
        <x:v>剖宫产术后需持续观察子宫收缩及阴道出血情况。</x:v>
      </x:c>
      <x:c r="K543" s="55" t="inlineStr">
        <x:is>
          <x:t xml:space="preserve">无需改写</x:t>
        </x:is>
      </x:c>
      <x:c r="L543" s="56" t="inlineStr">
        <x:is>
          <x:t xml:space="preserve">子宫 / 剖宫产</x:t>
        </x:is>
      </x:c>
      <x:c r="M543" s="56" t="inlineStr">
        <x:is>
          <x:t xml:space="preserve">解剖学与术式名称，无替代表述</x:t>
        </x:is>
      </x:c>
      <x:c r="N543" s="56" t="inlineStr">
        <x:is>
          <x:t xml:space="preserve">术后需持续观察相关器官收缩及出血情况</x:t>
        </x:is>
      </x:c>
      <x:c r="O543" s="55" t="inlineStr">
        <x:is>
          <x:t xml:space="preserve">易</x:t>
        </x:is>
      </x:c>
      <x:c r="P543" s="55" t="inlineStr">
        <x:is>
          <x:t xml:space="preserve">否</x:t>
        </x:is>
      </x:c>
      <x:c r="Q543" s="56" t="n"/>
      <x:c r="R543" s="57" t="inlineStr">
        <x:is>
          <x:t xml:space="preserve">主集</x:t>
        </x:is>
      </x:c>
      <x:c r="S543" s="57" t="inlineStr">
        <x:is>
          <x:t xml:space="preserve">dev</x:t>
        </x:is>
      </x:c>
      <x:c r="T543" s="57" t="inlineStr">
        <x:is>
          <x:t xml:space="preserve"/>
        </x:is>
      </x:c>
    </x:row>
    <x:row r="544" s="37" customFormat="1" ht="29.850000381469727" customHeight="1">
      <x:c r="A544" s="55" t="inlineStr">
        <x:is>
          <x:t xml:space="preserve">NEG-0543</x:t>
        </x:is>
      </x:c>
      <x:c r="B544" s="55" t="inlineStr">
        <x:is>
          <x:t xml:space="preserve">v1</x:t>
        </x:is>
      </x:c>
      <x:c r="C544" s="56" t="inlineStr">
        <x:is>
          <x:t xml:space="preserve">二、生理与医学必需</x:t>
        </x:is>
      </x:c>
      <x:c r="D544" s="56" t="inlineStr">
        <x:is>
          <x:t xml:space="preserve">2.1 生殖与生育</x:t>
        </x:is>
      </x:c>
      <x:c r="E544" s="56" t="inlineStr">
        <x:is>
          <x:t xml:space="preserve">规范示例（基线）</x:t>
        </x:is>
      </x:c>
      <x:c r="F544" s="56" t="inlineStr">
        <x:is>
          <x:t xml:space="preserve">规范示例句</x:t>
        </x:is>
      </x:c>
      <x:c r="G544" s="55" t="inlineStr">
        <x:is>
          <x:t xml:space="preserve">无</x:t>
        </x:is>
      </x:c>
      <x:c r="H544" s="55" t="str">
        <x:f>IF(LEN(I544)&lt;15,"短",IF(LEN(I544)&lt;=45,"中","长"))</x:f>
        <x:v>中</x:v>
      </x:c>
      <x:c r="I544" s="56" t="inlineStr">
        <x:is>
          <x:t xml:space="preserve">该药物在妊娠期及哺乳期妇女中禁用。</x:t>
        </x:is>
      </x:c>
      <x:c r="J544" s="56" t="str">
        <x:f>I544</x:f>
        <x:v>该药物在妊娠期及哺乳期妇女中禁用。</x:v>
      </x:c>
      <x:c r="K544" s="55" t="inlineStr">
        <x:is>
          <x:t xml:space="preserve">无需改写</x:t>
        </x:is>
      </x:c>
      <x:c r="L544" s="56" t="inlineStr">
        <x:is>
          <x:t xml:space="preserve">妊娠期 / 哺乳期妇女</x:t>
        </x:is>
      </x:c>
      <x:c r="M544" s="56" t="inlineStr">
        <x:is>
          <x:t xml:space="preserve">药品说明书法定表述，涉及用药安全</x:t>
        </x:is>
      </x:c>
      <x:c r="N544" s="56" t="inlineStr">
        <x:is>
          <x:t xml:space="preserve">该药物在特定生理期人群中禁用</x:t>
        </x:is>
      </x:c>
      <x:c r="O544" s="55" t="inlineStr">
        <x:is>
          <x:t xml:space="preserve">易</x:t>
        </x:is>
      </x:c>
      <x:c r="P544" s="55" t="inlineStr">
        <x:is>
          <x:t xml:space="preserve">否</x:t>
        </x:is>
      </x:c>
      <x:c r="Q544" s="56" t="inlineStr">
        <x:is>
          <x:t xml:space="preserve">药品说明书属法定文本，另受第五类保护</x:t>
        </x:is>
      </x:c>
      <x:c r="R544" s="57" t="inlineStr">
        <x:is>
          <x:t xml:space="preserve">主集</x:t>
        </x:is>
      </x:c>
      <x:c r="S544" s="57" t="inlineStr">
        <x:is>
          <x:t xml:space="preserve">index</x:t>
        </x:is>
      </x:c>
      <x:c r="T544" s="57" t="inlineStr">
        <x:is>
          <x:t xml:space="preserve"/>
        </x:is>
      </x:c>
    </x:row>
    <x:row r="545" s="37" customFormat="1" ht="29.850000381469727" customHeight="1">
      <x:c r="A545" s="55" t="inlineStr">
        <x:is>
          <x:t xml:space="preserve">NEG-0544</x:t>
        </x:is>
      </x:c>
      <x:c r="B545" s="55" t="inlineStr">
        <x:is>
          <x:t xml:space="preserve">v1</x:t>
        </x:is>
      </x:c>
      <x:c r="C545" s="56" t="inlineStr">
        <x:is>
          <x:t xml:space="preserve">二、生理与医学必需</x:t>
        </x:is>
      </x:c>
      <x:c r="D545" s="56" t="inlineStr">
        <x:is>
          <x:t xml:space="preserve">2.1 生殖与生育</x:t>
        </x:is>
      </x:c>
      <x:c r="E545" s="56" t="inlineStr">
        <x:is>
          <x:t xml:space="preserve">规范示例（基线）</x:t>
        </x:is>
      </x:c>
      <x:c r="F545" s="56" t="inlineStr">
        <x:is>
          <x:t xml:space="preserve">规范示例句</x:t>
        </x:is>
      </x:c>
      <x:c r="G545" s="55" t="inlineStr">
        <x:is>
          <x:t xml:space="preserve">无</x:t>
        </x:is>
      </x:c>
      <x:c r="H545" s="55" t="str">
        <x:f>IF(LEN(I545)&lt;15,"短",IF(LEN(I545)&lt;=45,"中","长"))</x:f>
        <x:v>中</x:v>
      </x:c>
      <x:c r="I545" s="56" t="inlineStr">
        <x:is>
          <x:t xml:space="preserve">精子浓度低于 1500 万/毫升提示男性因素不育。</x:t>
        </x:is>
      </x:c>
      <x:c r="J545" s="56" t="str">
        <x:f>I545</x:f>
        <x:v>精子浓度低于 1500 万/毫升提示男性因素不育。</x:v>
      </x:c>
      <x:c r="K545" s="55" t="inlineStr">
        <x:is>
          <x:t xml:space="preserve">无需改写</x:t>
        </x:is>
      </x:c>
      <x:c r="L545" s="56" t="inlineStr">
        <x:is>
          <x:t xml:space="preserve">精子 / 男性</x:t>
        </x:is>
      </x:c>
      <x:c r="M545" s="56" t="inlineStr">
        <x:is>
          <x:t xml:space="preserve">生育力评估的临床指标</x:t>
        </x:is>
      </x:c>
      <x:c r="N545" s="56" t="inlineStr">
        <x:is>
          <x:t xml:space="preserve">精子浓度低于 1500 万/毫升提示相关因素不育</x:t>
        </x:is>
      </x:c>
      <x:c r="O545" s="55" t="inlineStr">
        <x:is>
          <x:t xml:space="preserve">易</x:t>
        </x:is>
      </x:c>
      <x:c r="P545" s="55" t="inlineStr">
        <x:is>
          <x:t xml:space="preserve">否</x:t>
        </x:is>
      </x:c>
      <x:c r="Q545" s="56" t="n"/>
      <x:c r="R545" s="57" t="inlineStr">
        <x:is>
          <x:t xml:space="preserve">主集</x:t>
        </x:is>
      </x:c>
      <x:c r="S545" s="57" t="inlineStr">
        <x:is>
          <x:t xml:space="preserve">dev</x:t>
        </x:is>
      </x:c>
      <x:c r="T545" s="57" t="inlineStr">
        <x:is>
          <x:t xml:space="preserve"/>
        </x:is>
      </x:c>
    </x:row>
    <x:row r="546" s="37" customFormat="1" ht="29.850000381469727" customHeight="1">
      <x:c r="A546" s="55" t="inlineStr">
        <x:is>
          <x:t xml:space="preserve">NEG-0545</x:t>
        </x:is>
      </x:c>
      <x:c r="B546" s="55" t="inlineStr">
        <x:is>
          <x:t xml:space="preserve">v1</x:t>
        </x:is>
      </x:c>
      <x:c r="C546" s="56" t="inlineStr">
        <x:is>
          <x:t xml:space="preserve">二、生理与医学必需</x:t>
        </x:is>
      </x:c>
      <x:c r="D546" s="56" t="inlineStr">
        <x:is>
          <x:t xml:space="preserve">2.2 生理周期与内分泌</x:t>
        </x:is>
      </x:c>
      <x:c r="E546" s="56" t="inlineStr">
        <x:is>
          <x:t xml:space="preserve">规范示例（基线）</x:t>
        </x:is>
      </x:c>
      <x:c r="F546" s="56" t="inlineStr">
        <x:is>
          <x:t xml:space="preserve">规范示例句</x:t>
        </x:is>
      </x:c>
      <x:c r="G546" s="55" t="inlineStr">
        <x:is>
          <x:t xml:space="preserve">无</x:t>
        </x:is>
      </x:c>
      <x:c r="H546" s="55" t="str">
        <x:f>IF(LEN(I546)&lt;15,"短",IF(LEN(I546)&lt;=45,"中","长"))</x:f>
        <x:v>中</x:v>
      </x:c>
      <x:c r="I546" s="56" t="inlineStr">
        <x:is>
          <x:t xml:space="preserve">患者主诉停经三个月，建议完善妊娠试验。</x:t>
        </x:is>
      </x:c>
      <x:c r="J546" s="56" t="str">
        <x:f>I546</x:f>
        <x:v>患者主诉停经三个月，建议完善妊娠试验。</x:v>
      </x:c>
      <x:c r="K546" s="55" t="inlineStr">
        <x:is>
          <x:t xml:space="preserve">无需改写</x:t>
        </x:is>
      </x:c>
      <x:c r="L546" s="56" t="inlineStr">
        <x:is>
          <x:t xml:space="preserve">停经 / 妊娠</x:t>
        </x:is>
      </x:c>
      <x:c r="M546" s="56" t="inlineStr">
        <x:is>
          <x:t xml:space="preserve">主诉与鉴别诊断路径</x:t>
        </x:is>
      </x:c>
      <x:c r="N546" s="56" t="inlineStr">
        <x:is>
          <x:t xml:space="preserve">患者主诉月经异常三个月，建议完善相关检查</x:t>
        </x:is>
      </x:c>
      <x:c r="O546" s="55" t="inlineStr">
        <x:is>
          <x:t xml:space="preserve">易</x:t>
        </x:is>
      </x:c>
      <x:c r="P546" s="55" t="inlineStr">
        <x:is>
          <x:t xml:space="preserve">否</x:t>
        </x:is>
      </x:c>
      <x:c r="Q546" s="56" t="n"/>
      <x:c r="R546" s="57" t="inlineStr">
        <x:is>
          <x:t xml:space="preserve">主集</x:t>
        </x:is>
      </x:c>
      <x:c r="S546" s="57" t="inlineStr">
        <x:is>
          <x:t xml:space="preserve">index</x:t>
        </x:is>
      </x:c>
      <x:c r="T546" s="57" t="inlineStr">
        <x:is>
          <x:t xml:space="preserve"/>
        </x:is>
      </x:c>
    </x:row>
    <x:row r="547" s="37" customFormat="1" ht="29.850000381469727" customHeight="1">
      <x:c r="A547" s="58" t="inlineStr">
        <x:is>
          <x:t xml:space="preserve">NEG-0546</x:t>
        </x:is>
      </x:c>
      <x:c r="B547" s="58" t="inlineStr">
        <x:is>
          <x:t xml:space="preserve">v1</x:t>
        </x:is>
      </x:c>
      <x:c r="C547" s="59" t="inlineStr">
        <x:is>
          <x:t xml:space="preserve">二、生理与医学必需</x:t>
        </x:is>
      </x:c>
      <x:c r="D547" s="59" t="inlineStr">
        <x:is>
          <x:t xml:space="preserve">2.2 生理周期与内分泌</x:t>
        </x:is>
      </x:c>
      <x:c r="E547" s="59" t="inlineStr">
        <x:is>
          <x:t xml:space="preserve">规范示例（基线）</x:t>
        </x:is>
      </x:c>
      <x:c r="F547" s="59" t="inlineStr">
        <x:is>
          <x:t xml:space="preserve">规范示例句</x:t>
        </x:is>
      </x:c>
      <x:c r="G547" s="58" t="inlineStr">
        <x:is>
          <x:t xml:space="preserve">无</x:t>
        </x:is>
      </x:c>
      <x:c r="H547" s="58" t="str">
        <x:f>IF(LEN(I547)&lt;15,"短",IF(LEN(I547)&lt;=45,"中","长"))</x:f>
        <x:v>中</x:v>
      </x:c>
      <x:c r="I547" s="59" t="inlineStr">
        <x:is>
          <x:t xml:space="preserve">血清睾酮水平低于参考下限，建议一周后复查。</x:t>
        </x:is>
      </x:c>
      <x:c r="J547" s="59" t="str">
        <x:f>I547</x:f>
        <x:v>血清睾酮水平低于参考下限，建议一周后复查。</x:v>
      </x:c>
      <x:c r="K547" s="58" t="inlineStr">
        <x:is>
          <x:t xml:space="preserve">无需改写</x:t>
        </x:is>
      </x:c>
      <x:c r="L547" s="59" t="inlineStr">
        <x:is>
          <x:t xml:space="preserve">睾酮</x:t>
        </x:is>
      </x:c>
      <x:c r="M547" s="59" t="inlineStr">
        <x:is>
          <x:t xml:space="preserve">激素指标名称</x:t>
        </x:is>
      </x:c>
      <x:c r="N547" s="59" t="inlineStr">
        <x:is>
          <x:t xml:space="preserve">血清相关激素水平低于参考下限，建议一周后复查</x:t>
        </x:is>
      </x:c>
      <x:c r="O547" s="58" t="inlineStr">
        <x:is>
          <x:t xml:space="preserve">易</x:t>
        </x:is>
      </x:c>
      <x:c r="P547" s="58" t="inlineStr">
        <x:is>
          <x:t xml:space="preserve">否</x:t>
        </x:is>
      </x:c>
      <x:c r="Q547" s="59" t="n"/>
      <x:c r="R547" s="60" t="inlineStr">
        <x:is>
          <x:t xml:space="preserve">隔离·待确认</x:t>
        </x:is>
      </x:c>
      <x:c r="S547" s="60" t="inlineStr">
        <x:is>
          <x:t xml:space="preserve"/>
        </x:is>
      </x:c>
      <x:c r="T547" s="60" t="inlineStr">
        <x:is>
          <x:t xml:space="preserve">触发词不含性别编码——判断可能依赖世界知识而非句内信息</x:t>
        </x:is>
      </x:c>
    </x:row>
    <x:row r="548" s="37" customFormat="1" ht="29.850000381469727" customHeight="1">
      <x:c r="A548" s="55" t="inlineStr">
        <x:is>
          <x:t xml:space="preserve">NEG-0547</x:t>
        </x:is>
      </x:c>
      <x:c r="B548" s="55" t="inlineStr">
        <x:is>
          <x:t xml:space="preserve">v1</x:t>
        </x:is>
      </x:c>
      <x:c r="C548" s="56" t="inlineStr">
        <x:is>
          <x:t xml:space="preserve">二、生理与医学必需</x:t>
        </x:is>
      </x:c>
      <x:c r="D548" s="56" t="inlineStr">
        <x:is>
          <x:t xml:space="preserve">2.2 生理周期与内分泌</x:t>
        </x:is>
      </x:c>
      <x:c r="E548" s="56" t="inlineStr">
        <x:is>
          <x:t xml:space="preserve">规范示例（基线）</x:t>
        </x:is>
      </x:c>
      <x:c r="F548" s="56" t="inlineStr">
        <x:is>
          <x:t xml:space="preserve">规范示例句</x:t>
        </x:is>
      </x:c>
      <x:c r="G548" s="55" t="inlineStr">
        <x:is>
          <x:t xml:space="preserve">无</x:t>
        </x:is>
      </x:c>
      <x:c r="H548" s="55" t="str">
        <x:f>IF(LEN(I548)&lt;15,"短",IF(LEN(I548)&lt;=45,"中","长"))</x:f>
        <x:v>中</x:v>
      </x:c>
      <x:c r="I548" s="56" t="inlineStr">
        <x:is>
          <x:t xml:space="preserve">围绝经期女性的骨量流失速度显著加快。</x:t>
        </x:is>
      </x:c>
      <x:c r="J548" s="56" t="str">
        <x:f>I548</x:f>
        <x:v>围绝经期女性的骨量流失速度显著加快。</x:v>
      </x:c>
      <x:c r="K548" s="55" t="inlineStr">
        <x:is>
          <x:t xml:space="preserve">无需改写</x:t>
        </x:is>
      </x:c>
      <x:c r="L548" s="56" t="inlineStr">
        <x:is>
          <x:t xml:space="preserve">绝经期 / 女性</x:t>
        </x:is>
      </x:c>
      <x:c r="M548" s="56" t="inlineStr">
        <x:is>
          <x:t xml:space="preserve">生理阶段与人群的对应关系是医学结论本身</x:t>
        </x:is>
      </x:c>
      <x:c r="N548" s="56" t="inlineStr">
        <x:is>
          <x:t xml:space="preserve">围绝经期人群的骨量流失速度显著加快</x:t>
        </x:is>
      </x:c>
      <x:c r="O548" s="55" t="inlineStr">
        <x:is>
          <x:t xml:space="preserve">中</x:t>
        </x:is>
      </x:c>
      <x:c r="P548" s="55" t="inlineStr">
        <x:is>
          <x:t xml:space="preserve">否</x:t>
        </x:is>
      </x:c>
      <x:c r="Q548" s="56" t="n"/>
      <x:c r="R548" s="57" t="inlineStr">
        <x:is>
          <x:t xml:space="preserve">主集</x:t>
        </x:is>
      </x:c>
      <x:c r="S548" s="57" t="inlineStr">
        <x:is>
          <x:t xml:space="preserve">dev</x:t>
        </x:is>
      </x:c>
      <x:c r="T548" s="57" t="inlineStr">
        <x:is>
          <x:t xml:space="preserve"/>
        </x:is>
      </x:c>
    </x:row>
    <x:row r="549" s="37" customFormat="1" ht="29.850000381469727" customHeight="1">
      <x:c r="A549" s="55" t="inlineStr">
        <x:is>
          <x:t xml:space="preserve">NEG-0548</x:t>
        </x:is>
      </x:c>
      <x:c r="B549" s="55" t="inlineStr">
        <x:is>
          <x:t xml:space="preserve">v1</x:t>
        </x:is>
      </x:c>
      <x:c r="C549" s="56" t="inlineStr">
        <x:is>
          <x:t xml:space="preserve">二、生理与医学必需</x:t>
        </x:is>
      </x:c>
      <x:c r="D549" s="56" t="inlineStr">
        <x:is>
          <x:t xml:space="preserve">2.3 性别特异性器官与疾病</x:t>
        </x:is>
      </x:c>
      <x:c r="E549" s="56" t="inlineStr">
        <x:is>
          <x:t xml:space="preserve">规范示例（基线）</x:t>
        </x:is>
      </x:c>
      <x:c r="F549" s="56" t="inlineStr">
        <x:is>
          <x:t xml:space="preserve">规范示例句</x:t>
        </x:is>
      </x:c>
      <x:c r="G549" s="55" t="inlineStr">
        <x:is>
          <x:t xml:space="preserve">无</x:t>
        </x:is>
      </x:c>
      <x:c r="H549" s="55" t="str">
        <x:f>IF(LEN(I549)&lt;15,"短",IF(LEN(I549)&lt;=45,"中","长"))</x:f>
        <x:v>中</x:v>
      </x:c>
      <x:c r="I549" s="56" t="inlineStr">
        <x:is>
          <x:t xml:space="preserve">多囊卵巢综合征常伴有胰岛素抵抗和高雄激素血症。</x:t>
        </x:is>
      </x:c>
      <x:c r="J549" s="56" t="str">
        <x:f>I549</x:f>
        <x:v>多囊卵巢综合征常伴有胰岛素抵抗和高雄激素血症。</x:v>
      </x:c>
      <x:c r="K549" s="55" t="inlineStr">
        <x:is>
          <x:t xml:space="preserve">无需改写</x:t>
        </x:is>
      </x:c>
      <x:c r="L549" s="56" t="inlineStr">
        <x:is>
          <x:t xml:space="preserve">卵巢 / 雄激素</x:t>
        </x:is>
      </x:c>
      <x:c r="M549" s="56" t="inlineStr">
        <x:is>
          <x:t xml:space="preserve">疾病名称与病理机制</x:t>
        </x:is>
      </x:c>
      <x:c r="N549" s="56" t="inlineStr">
        <x:is>
          <x:t xml:space="preserve">该综合征常伴有胰岛素抵抗和激素异常</x:t>
        </x:is>
      </x:c>
      <x:c r="O549" s="55" t="inlineStr">
        <x:is>
          <x:t xml:space="preserve">易</x:t>
        </x:is>
      </x:c>
      <x:c r="P549" s="55" t="inlineStr">
        <x:is>
          <x:t xml:space="preserve">否</x:t>
        </x:is>
      </x:c>
      <x:c r="Q549" s="56" t="n"/>
      <x:c r="R549" s="57" t="inlineStr">
        <x:is>
          <x:t xml:space="preserve">主集</x:t>
        </x:is>
      </x:c>
      <x:c r="S549" s="57" t="inlineStr">
        <x:is>
          <x:t xml:space="preserve">dev</x:t>
        </x:is>
      </x:c>
      <x:c r="T549" s="57" t="inlineStr">
        <x:is>
          <x:t xml:space="preserve"/>
        </x:is>
      </x:c>
    </x:row>
    <x:row r="550" s="37" customFormat="1" ht="29.850000381469727" customHeight="1">
      <x:c r="A550" s="55" t="inlineStr">
        <x:is>
          <x:t xml:space="preserve">NEG-0549</x:t>
        </x:is>
      </x:c>
      <x:c r="B550" s="55" t="inlineStr">
        <x:is>
          <x:t xml:space="preserve">v1</x:t>
        </x:is>
      </x:c>
      <x:c r="C550" s="56" t="inlineStr">
        <x:is>
          <x:t xml:space="preserve">二、生理与医学必需</x:t>
        </x:is>
      </x:c>
      <x:c r="D550" s="56" t="inlineStr">
        <x:is>
          <x:t xml:space="preserve">2.3 性别特异性器官与疾病</x:t>
        </x:is>
      </x:c>
      <x:c r="E550" s="56" t="inlineStr">
        <x:is>
          <x:t xml:space="preserve">规范示例（基线）</x:t>
        </x:is>
      </x:c>
      <x:c r="F550" s="56" t="inlineStr">
        <x:is>
          <x:t xml:space="preserve">规范示例句</x:t>
        </x:is>
      </x:c>
      <x:c r="G550" s="55" t="inlineStr">
        <x:is>
          <x:t xml:space="preserve">无</x:t>
        </x:is>
      </x:c>
      <x:c r="H550" s="55" t="str">
        <x:f>IF(LEN(I550)&lt;15,"短",IF(LEN(I550)&lt;=45,"中","长"))</x:f>
        <x:v>中</x:v>
      </x:c>
      <x:c r="I550" s="56" t="inlineStr">
        <x:is>
          <x:t xml:space="preserve">乳腺癌在男性中亦有发生，约占全部病例的百分之一。</x:t>
        </x:is>
      </x:c>
      <x:c r="J550" s="56" t="str">
        <x:f>I550</x:f>
        <x:v>乳腺癌在男性中亦有发生，约占全部病例的百分之一。</x:v>
      </x:c>
      <x:c r="K550" s="55" t="inlineStr">
        <x:is>
          <x:t xml:space="preserve">无需改写</x:t>
        </x:is>
      </x:c>
      <x:c r="L550" s="56" t="inlineStr">
        <x:is>
          <x:t xml:space="preserve">男性</x:t>
        </x:is>
      </x:c>
      <x:c r="M550" s="56" t="inlineStr">
        <x:is>
          <x:t xml:space="preserve">流行病学事实，删去性别则命题不成立</x:t>
        </x:is>
      </x:c>
      <x:c r="N550" s="56" t="inlineStr">
        <x:is>
          <x:t xml:space="preserve">乳腺癌在各类人群中均有发生，约占全部病例的百分之一</x:t>
        </x:is>
      </x:c>
      <x:c r="O550" s="55" t="inlineStr">
        <x:is>
          <x:t xml:space="preserve">中</x:t>
        </x:is>
      </x:c>
      <x:c r="P550" s="55" t="inlineStr">
        <x:is>
          <x:t xml:space="preserve">否</x:t>
        </x:is>
      </x:c>
      <x:c r="Q550" s="56" t="n"/>
      <x:c r="R550" s="57" t="inlineStr">
        <x:is>
          <x:t xml:space="preserve">主集</x:t>
        </x:is>
      </x:c>
      <x:c r="S550" s="57" t="inlineStr">
        <x:is>
          <x:t xml:space="preserve">test</x:t>
        </x:is>
      </x:c>
      <x:c r="T550" s="57" t="inlineStr">
        <x:is>
          <x:t xml:space="preserve"/>
        </x:is>
      </x:c>
    </x:row>
    <x:row r="551" s="37" customFormat="1" ht="29.850000381469727" customHeight="1">
      <x:c r="A551" s="55" t="inlineStr">
        <x:is>
          <x:t xml:space="preserve">NEG-0550</x:t>
        </x:is>
      </x:c>
      <x:c r="B551" s="55" t="inlineStr">
        <x:is>
          <x:t xml:space="preserve">v1</x:t>
        </x:is>
      </x:c>
      <x:c r="C551" s="56" t="inlineStr">
        <x:is>
          <x:t xml:space="preserve">二、生理与医学必需</x:t>
        </x:is>
      </x:c>
      <x:c r="D551" s="56" t="inlineStr">
        <x:is>
          <x:t xml:space="preserve">2.3 性别特异性器官与疾病</x:t>
        </x:is>
      </x:c>
      <x:c r="E551" s="56" t="inlineStr">
        <x:is>
          <x:t xml:space="preserve">规范示例（基线）</x:t>
        </x:is>
      </x:c>
      <x:c r="F551" s="56" t="inlineStr">
        <x:is>
          <x:t xml:space="preserve">规范示例句</x:t>
        </x:is>
      </x:c>
      <x:c r="G551" s="55" t="inlineStr">
        <x:is>
          <x:t xml:space="preserve">无</x:t>
        </x:is>
      </x:c>
      <x:c r="H551" s="55" t="str">
        <x:f>IF(LEN(I551)&lt;15,"短",IF(LEN(I551)&lt;=45,"中","长"))</x:f>
        <x:v>中</x:v>
      </x:c>
      <x:c r="I551" s="56" t="inlineStr">
        <x:is>
          <x:t xml:space="preserve">男性型脱发与毛囊对双氢睾酮的敏感性有关。</x:t>
        </x:is>
      </x:c>
      <x:c r="J551" s="56" t="str">
        <x:f>I551</x:f>
        <x:v>男性型脱发与毛囊对双氢睾酮的敏感性有关。</x:v>
      </x:c>
      <x:c r="K551" s="55" t="inlineStr">
        <x:is>
          <x:t xml:space="preserve">无需改写</x:t>
        </x:is>
      </x:c>
      <x:c r="L551" s="56" t="inlineStr">
        <x:is>
          <x:t xml:space="preserve">男性型脱发</x:t>
        </x:is>
      </x:c>
      <x:c r="M551" s="56" t="inlineStr">
        <x:is>
          <x:t xml:space="preserve">疾病的规范命名</x:t>
        </x:is>
      </x:c>
      <x:c r="N551" s="56" t="inlineStr">
        <x:is>
          <x:t xml:space="preserve">脱发与毛囊对双氢睾酮的敏感性有关</x:t>
        </x:is>
      </x:c>
      <x:c r="O551" s="55" t="inlineStr">
        <x:is>
          <x:t xml:space="preserve">中</x:t>
        </x:is>
      </x:c>
      <x:c r="P551" s="55" t="inlineStr">
        <x:is>
          <x:t xml:space="preserve">否</x:t>
        </x:is>
      </x:c>
      <x:c r="Q551" s="56" t="n"/>
      <x:c r="R551" s="57" t="inlineStr">
        <x:is>
          <x:t xml:space="preserve">主集</x:t>
        </x:is>
      </x:c>
      <x:c r="S551" s="57" t="inlineStr">
        <x:is>
          <x:t xml:space="preserve">index</x:t>
        </x:is>
      </x:c>
      <x:c r="T551" s="57" t="inlineStr">
        <x:is>
          <x:t xml:space="preserve"/>
        </x:is>
      </x:c>
    </x:row>
    <x:row r="552" s="37" customFormat="1" ht="29.850000381469727" customHeight="1">
      <x:c r="A552" s="55" t="inlineStr">
        <x:is>
          <x:t xml:space="preserve">NEG-0551</x:t>
        </x:is>
      </x:c>
      <x:c r="B552" s="55" t="inlineStr">
        <x:is>
          <x:t xml:space="preserve">v1</x:t>
        </x:is>
      </x:c>
      <x:c r="C552" s="56" t="inlineStr">
        <x:is>
          <x:t xml:space="preserve">二、生理与医学必需</x:t>
        </x:is>
      </x:c>
      <x:c r="D552" s="56" t="inlineStr">
        <x:is>
          <x:t xml:space="preserve">2.4 药理与诊疗差异</x:t>
        </x:is>
      </x:c>
      <x:c r="E552" s="56" t="inlineStr">
        <x:is>
          <x:t xml:space="preserve">规范示例（基线）</x:t>
        </x:is>
      </x:c>
      <x:c r="F552" s="56" t="inlineStr">
        <x:is>
          <x:t xml:space="preserve">规范示例句</x:t>
        </x:is>
      </x:c>
      <x:c r="G552" s="55" t="inlineStr">
        <x:is>
          <x:t xml:space="preserve">无</x:t>
        </x:is>
      </x:c>
      <x:c r="H552" s="55" t="str">
        <x:f>IF(LEN(I552)&lt;15,"短",IF(LEN(I552)&lt;=45,"中","长"))</x:f>
        <x:v>中</x:v>
      </x:c>
      <x:c r="I552" s="56" t="inlineStr">
        <x:is>
          <x:t xml:space="preserve">本院血红蛋白参考值按男性、女性分别列出。</x:t>
        </x:is>
      </x:c>
      <x:c r="J552" s="56" t="str">
        <x:f>I552</x:f>
        <x:v>本院血红蛋白参考值按男性、女性分别列出。</x:v>
      </x:c>
      <x:c r="K552" s="55" t="inlineStr">
        <x:is>
          <x:t xml:space="preserve">无需改写</x:t>
        </x:is>
      </x:c>
      <x:c r="L552" s="56" t="inlineStr">
        <x:is>
          <x:t xml:space="preserve">男性 / 女性</x:t>
        </x:is>
      </x:c>
      <x:c r="M552" s="56" t="inlineStr">
        <x:is>
          <x:t xml:space="preserve">检验参考区间按生理性别分层是临床规范</x:t>
        </x:is>
      </x:c>
      <x:c r="N552" s="56" t="inlineStr">
        <x:is>
          <x:t xml:space="preserve">本院血红蛋白参考值统一列出</x:t>
        </x:is>
      </x:c>
      <x:c r="O552" s="55" t="inlineStr">
        <x:is>
          <x:t xml:space="preserve">易</x:t>
        </x:is>
      </x:c>
      <x:c r="P552" s="55" t="inlineStr">
        <x:is>
          <x:t xml:space="preserve">否</x:t>
        </x:is>
      </x:c>
      <x:c r="Q552" s="56" t="n"/>
      <x:c r="R552" s="57" t="inlineStr">
        <x:is>
          <x:t xml:space="preserve">主集</x:t>
        </x:is>
      </x:c>
      <x:c r="S552" s="57" t="inlineStr">
        <x:is>
          <x:t xml:space="preserve">index</x:t>
        </x:is>
      </x:c>
      <x:c r="T552" s="57" t="inlineStr">
        <x:is>
          <x:t xml:space="preserve"/>
        </x:is>
      </x:c>
    </x:row>
    <x:row r="553" s="37" customFormat="1" ht="29.850000381469727" customHeight="1">
      <x:c r="A553" s="55" t="inlineStr">
        <x:is>
          <x:t xml:space="preserve">NEG-0552</x:t>
        </x:is>
      </x:c>
      <x:c r="B553" s="55" t="inlineStr">
        <x:is>
          <x:t xml:space="preserve">v1</x:t>
        </x:is>
      </x:c>
      <x:c r="C553" s="56" t="inlineStr">
        <x:is>
          <x:t xml:space="preserve">二、生理与医学必需</x:t>
        </x:is>
      </x:c>
      <x:c r="D553" s="56" t="inlineStr">
        <x:is>
          <x:t xml:space="preserve">2.5 性别确认医疗与性健康</x:t>
        </x:is>
      </x:c>
      <x:c r="E553" s="56" t="inlineStr">
        <x:is>
          <x:t xml:space="preserve">规范示例（基线）</x:t>
        </x:is>
      </x:c>
      <x:c r="F553" s="56" t="inlineStr">
        <x:is>
          <x:t xml:space="preserve">规范示例句</x:t>
        </x:is>
      </x:c>
      <x:c r="G553" s="55" t="inlineStr">
        <x:is>
          <x:t xml:space="preserve">无</x:t>
        </x:is>
      </x:c>
      <x:c r="H553" s="55" t="str">
        <x:f>IF(LEN(I553)&lt;15,"短",IF(LEN(I553)&lt;=45,"中","长"))</x:f>
        <x:v>中</x:v>
      </x:c>
      <x:c r="I553" s="56" t="inlineStr">
        <x:is>
          <x:t xml:space="preserve">该受试者正在接受性别确认激素治疗，入组前需评估基线肝功能。</x:t>
        </x:is>
      </x:c>
      <x:c r="J553" s="56" t="str">
        <x:f>I553</x:f>
        <x:v>该受试者正在接受性别确认激素治疗，入组前需评估基线肝功能。</x:v>
      </x:c>
      <x:c r="K553" s="55" t="inlineStr">
        <x:is>
          <x:t xml:space="preserve">无需改写</x:t>
        </x:is>
      </x:c>
      <x:c r="L553" s="56" t="inlineStr">
        <x:is>
          <x:t xml:space="preserve">性别确认激素治疗</x:t>
        </x:is>
      </x:c>
      <x:c r="M553" s="56" t="inlineStr">
        <x:is>
          <x:t xml:space="preserve">治疗方案名称，且属受试者本人的医疗事实</x:t>
        </x:is>
      </x:c>
      <x:c r="N553" s="56" t="inlineStr">
        <x:is>
          <x:t xml:space="preserve">该受试者正在接受激素治疗，入组前需评估基线肝功能</x:t>
        </x:is>
      </x:c>
      <x:c r="O553" s="55" t="inlineStr">
        <x:is>
          <x:t xml:space="preserve">中</x:t>
        </x:is>
      </x:c>
      <x:c r="P553" s="55" t="inlineStr">
        <x:is>
          <x:t xml:space="preserve">否</x:t>
        </x:is>
      </x:c>
      <x:c r="Q553" s="56" t="n"/>
      <x:c r="R553" s="57" t="inlineStr">
        <x:is>
          <x:t xml:space="preserve">主集</x:t>
        </x:is>
      </x:c>
      <x:c r="S553" s="57" t="inlineStr">
        <x:is>
          <x:t xml:space="preserve">test</x:t>
        </x:is>
      </x:c>
      <x:c r="T553" s="57" t="inlineStr">
        <x:is>
          <x:t xml:space="preserve"/>
        </x:is>
      </x:c>
    </x:row>
    <x:row r="554" s="37" customFormat="1" ht="29.850000381469727" customHeight="1">
      <x:c r="A554" s="55" t="inlineStr">
        <x:is>
          <x:t xml:space="preserve">NEG-0553</x:t>
        </x:is>
      </x:c>
      <x:c r="B554" s="55" t="inlineStr">
        <x:is>
          <x:t xml:space="preserve">v1</x:t>
        </x:is>
      </x:c>
      <x:c r="C554" s="56" t="inlineStr">
        <x:is>
          <x:t xml:space="preserve">二、生理与医学必需</x:t>
        </x:is>
      </x:c>
      <x:c r="D554" s="56" t="inlineStr">
        <x:is>
          <x:t xml:space="preserve">2.6 鉴定与研究场景</x:t>
        </x:is>
      </x:c>
      <x:c r="E554" s="56" t="inlineStr">
        <x:is>
          <x:t xml:space="preserve">规范示例（基线）</x:t>
        </x:is>
      </x:c>
      <x:c r="F554" s="56" t="inlineStr">
        <x:is>
          <x:t xml:space="preserve">规范示例句</x:t>
        </x:is>
      </x:c>
      <x:c r="G554" s="55" t="inlineStr">
        <x:is>
          <x:t xml:space="preserve">无</x:t>
        </x:is>
      </x:c>
      <x:c r="H554" s="55" t="str">
        <x:f>IF(LEN(I554)&lt;15,"短",IF(LEN(I554)&lt;=45,"中","长"))</x:f>
        <x:v>中</x:v>
      </x:c>
      <x:c r="I554" s="56" t="inlineStr">
        <x:is>
          <x:t xml:space="preserve">法医依据骨盆形态及耻骨联合特征判断死者为女性。</x:t>
        </x:is>
      </x:c>
      <x:c r="J554" s="56" t="str">
        <x:f>I554</x:f>
        <x:v>法医依据骨盆形态及耻骨联合特征判断死者为女性。</x:v>
      </x:c>
      <x:c r="K554" s="55" t="inlineStr">
        <x:is>
          <x:t xml:space="preserve">无需改写</x:t>
        </x:is>
      </x:c>
      <x:c r="L554" s="56" t="inlineStr">
        <x:is>
          <x:t xml:space="preserve">女性</x:t>
        </x:is>
      </x:c>
      <x:c r="M554" s="56" t="inlineStr">
        <x:is>
          <x:t xml:space="preserve">法医学鉴定结论</x:t>
        </x:is>
      </x:c>
      <x:c r="N554" s="56" t="inlineStr">
        <x:is>
          <x:t xml:space="preserve">法医依据骨盆形态及耻骨联合特征作出个体识别</x:t>
        </x:is>
      </x:c>
      <x:c r="O554" s="55" t="inlineStr">
        <x:is>
          <x:t xml:space="preserve">易</x:t>
        </x:is>
      </x:c>
      <x:c r="P554" s="55" t="inlineStr">
        <x:is>
          <x:t xml:space="preserve">否</x:t>
        </x:is>
      </x:c>
      <x:c r="Q554" s="56" t="n"/>
      <x:c r="R554" s="57" t="inlineStr">
        <x:is>
          <x:t xml:space="preserve">主集</x:t>
        </x:is>
      </x:c>
      <x:c r="S554" s="57" t="inlineStr">
        <x:is>
          <x:t xml:space="preserve">dev</x:t>
        </x:is>
      </x:c>
      <x:c r="T554" s="57" t="inlineStr">
        <x:is>
          <x:t xml:space="preserve"/>
        </x:is>
      </x:c>
    </x:row>
    <x:row r="555" s="37" customFormat="1" ht="29.850000381469727" customHeight="1">
      <x:c r="A555" s="55" t="inlineStr">
        <x:is>
          <x:t xml:space="preserve">NEG-0554</x:t>
        </x:is>
      </x:c>
      <x:c r="B555" s="55" t="inlineStr">
        <x:is>
          <x:t xml:space="preserve">v1</x:t>
        </x:is>
      </x:c>
      <x:c r="C555" s="56" t="inlineStr">
        <x:is>
          <x:t xml:space="preserve">二、生理与医学必需</x:t>
        </x:is>
      </x:c>
      <x:c r="D555" s="56" t="inlineStr">
        <x:is>
          <x:t xml:space="preserve">2.6 鉴定与研究场景</x:t>
        </x:is>
      </x:c>
      <x:c r="E555" s="56" t="inlineStr">
        <x:is>
          <x:t xml:space="preserve">规范示例（基线）</x:t>
        </x:is>
      </x:c>
      <x:c r="F555" s="56" t="inlineStr">
        <x:is>
          <x:t xml:space="preserve">规范示例句</x:t>
        </x:is>
      </x:c>
      <x:c r="G555" s="55" t="inlineStr">
        <x:is>
          <x:t xml:space="preserve">无</x:t>
        </x:is>
      </x:c>
      <x:c r="H555" s="55" t="str">
        <x:f>IF(LEN(I555)&lt;15,"短",IF(LEN(I555)&lt;=45,"中","长"))</x:f>
        <x:v>中</x:v>
      </x:c>
      <x:c r="I555" s="56" t="inlineStr">
        <x:is>
          <x:t xml:space="preserve">本研究对用药依从性进行了性别分层分析。</x:t>
        </x:is>
      </x:c>
      <x:c r="J555" s="56" t="str">
        <x:f>I555</x:f>
        <x:v>本研究对用药依从性进行了性别分层分析。</x:v>
      </x:c>
      <x:c r="K555" s="55" t="inlineStr">
        <x:is>
          <x:t xml:space="preserve">无需改写</x:t>
        </x:is>
      </x:c>
      <x:c r="L555" s="56" t="inlineStr">
        <x:is>
          <x:t xml:space="preserve">性别分层</x:t>
        </x:is>
      </x:c>
      <x:c r="M555" s="56" t="inlineStr">
        <x:is>
          <x:t xml:space="preserve">研究方法学表述</x:t>
        </x:is>
      </x:c>
      <x:c r="N555" s="56" t="inlineStr">
        <x:is>
          <x:t xml:space="preserve">本研究对用药依从性进行了亚组分析</x:t>
        </x:is>
      </x:c>
      <x:c r="O555" s="55" t="inlineStr">
        <x:is>
          <x:t xml:space="preserve">易</x:t>
        </x:is>
      </x:c>
      <x:c r="P555" s="55" t="inlineStr">
        <x:is>
          <x:t xml:space="preserve">否</x:t>
        </x:is>
      </x:c>
      <x:c r="Q555" s="56" t="n"/>
      <x:c r="R555" s="57" t="inlineStr">
        <x:is>
          <x:t xml:space="preserve">主集</x:t>
        </x:is>
      </x:c>
      <x:c r="S555" s="57" t="inlineStr">
        <x:is>
          <x:t xml:space="preserve">index</x:t>
        </x:is>
      </x:c>
      <x:c r="T555" s="57" t="inlineStr">
        <x:is>
          <x:t xml:space="preserve"/>
        </x:is>
      </x:c>
    </x:row>
    <x:row r="556" s="37" customFormat="1" ht="29.850000381469727" customHeight="1">
      <x:c r="A556" s="55" t="inlineStr">
        <x:is>
          <x:t xml:space="preserve">NEG-0555</x:t>
        </x:is>
      </x:c>
      <x:c r="B556" s="55" t="inlineStr">
        <x:is>
          <x:t xml:space="preserve">v1</x:t>
        </x:is>
      </x:c>
      <x:c r="C556" s="56" t="inlineStr">
        <x:is>
          <x:t xml:space="preserve">三、制度性与统计性区分</x:t>
        </x:is>
      </x:c>
      <x:c r="D556" s="56" t="inlineStr">
        <x:is>
          <x:t xml:space="preserve">3.1 法律与行政身份</x:t>
        </x:is>
      </x:c>
      <x:c r="E556" s="56" t="inlineStr">
        <x:is>
          <x:t xml:space="preserve">规范示例（基线）</x:t>
        </x:is>
      </x:c>
      <x:c r="F556" s="56" t="inlineStr">
        <x:is>
          <x:t xml:space="preserve">规范示例句</x:t>
        </x:is>
      </x:c>
      <x:c r="G556" s="55" t="inlineStr">
        <x:is>
          <x:t xml:space="preserve">无</x:t>
        </x:is>
      </x:c>
      <x:c r="H556" s="55" t="str">
        <x:f>IF(LEN(I556)&lt;15,"短",IF(LEN(I556)&lt;=45,"中","长"))</x:f>
        <x:v>中</x:v>
      </x:c>
      <x:c r="I556" s="56" t="inlineStr">
        <x:is>
          <x:t xml:space="preserve">身份证信息项包括姓名、性别、民族、出生日期及住址。</x:t>
        </x:is>
      </x:c>
      <x:c r="J556" s="56" t="str">
        <x:f>I556</x:f>
        <x:v>身份证信息项包括姓名、性别、民族、出生日期及住址。</x:v>
      </x:c>
      <x:c r="K556" s="55" t="inlineStr">
        <x:is>
          <x:t xml:space="preserve">无需改写</x:t>
        </x:is>
      </x:c>
      <x:c r="L556" s="56" t="inlineStr">
        <x:is>
          <x:t xml:space="preserve">性别</x:t>
        </x:is>
      </x:c>
      <x:c r="M556" s="56" t="inlineStr">
        <x:is>
          <x:t xml:space="preserve">法定登记项目名称</x:t>
        </x:is>
      </x:c>
      <x:c r="N556" s="56" t="inlineStr">
        <x:is>
          <x:t xml:space="preserve">身份证信息项包括姓名、民族、出生日期及住址</x:t>
        </x:is>
      </x:c>
      <x:c r="O556" s="55" t="inlineStr">
        <x:is>
          <x:t xml:space="preserve">易</x:t>
        </x:is>
      </x:c>
      <x:c r="P556" s="55" t="inlineStr">
        <x:is>
          <x:t xml:space="preserve">否</x:t>
        </x:is>
      </x:c>
      <x:c r="Q556" s="56" t="n"/>
      <x:c r="R556" s="57" t="inlineStr">
        <x:is>
          <x:t xml:space="preserve">主集</x:t>
        </x:is>
      </x:c>
      <x:c r="S556" s="57" t="inlineStr">
        <x:is>
          <x:t xml:space="preserve">test</x:t>
        </x:is>
      </x:c>
      <x:c r="T556" s="57" t="inlineStr">
        <x:is>
          <x:t xml:space="preserve"/>
        </x:is>
      </x:c>
    </x:row>
    <x:row r="557" s="37" customFormat="1" ht="29.850000381469727" customHeight="1">
      <x:c r="A557" s="55" t="inlineStr">
        <x:is>
          <x:t xml:space="preserve">NEG-0556</x:t>
        </x:is>
      </x:c>
      <x:c r="B557" s="55" t="inlineStr">
        <x:is>
          <x:t xml:space="preserve">v1</x:t>
        </x:is>
      </x:c>
      <x:c r="C557" s="56" t="inlineStr">
        <x:is>
          <x:t xml:space="preserve">三、制度性与统计性区分</x:t>
        </x:is>
      </x:c>
      <x:c r="D557" s="56" t="inlineStr">
        <x:is>
          <x:t xml:space="preserve">3.1 法律与行政身份</x:t>
        </x:is>
      </x:c>
      <x:c r="E557" s="56" t="inlineStr">
        <x:is>
          <x:t xml:space="preserve">规范示例（基线）</x:t>
        </x:is>
      </x:c>
      <x:c r="F557" s="56" t="inlineStr">
        <x:is>
          <x:t xml:space="preserve">规范示例句</x:t>
        </x:is>
      </x:c>
      <x:c r="G557" s="55" t="inlineStr">
        <x:is>
          <x:t xml:space="preserve">无</x:t>
        </x:is>
      </x:c>
      <x:c r="H557" s="55" t="str">
        <x:f>IF(LEN(I557)&lt;15,"短",IF(LEN(I557)&lt;=45,"中","长"))</x:f>
        <x:v>中</x:v>
      </x:c>
      <x:c r="I557" s="56" t="inlineStr">
        <x:is>
          <x:t xml:space="preserve">当事人已完成法律性别变更登记，档案应同步更新。</x:t>
        </x:is>
      </x:c>
      <x:c r="J557" s="56" t="str">
        <x:f>I557</x:f>
        <x:v>当事人已完成法律性别变更登记，档案应同步更新。</x:v>
      </x:c>
      <x:c r="K557" s="55" t="inlineStr">
        <x:is>
          <x:t xml:space="preserve">无需改写</x:t>
        </x:is>
      </x:c>
      <x:c r="L557" s="56" t="inlineStr">
        <x:is>
          <x:t xml:space="preserve">法律性别变更</x:t>
        </x:is>
      </x:c>
      <x:c r="M557" s="56" t="inlineStr">
        <x:is>
          <x:t xml:space="preserve">行政程序名称，且是保障当事人权益的必要表述</x:t>
        </x:is>
      </x:c>
      <x:c r="N557" s="56" t="inlineStr">
        <x:is>
          <x:t xml:space="preserve">当事人已完成信息变更登记，档案应同步更新</x:t>
        </x:is>
      </x:c>
      <x:c r="O557" s="55" t="inlineStr">
        <x:is>
          <x:t xml:space="preserve">中</x:t>
        </x:is>
      </x:c>
      <x:c r="P557" s="55" t="inlineStr">
        <x:is>
          <x:t xml:space="preserve">否</x:t>
        </x:is>
      </x:c>
      <x:c r="Q557" s="56" t="n"/>
      <x:c r="R557" s="57" t="inlineStr">
        <x:is>
          <x:t xml:space="preserve">主集</x:t>
        </x:is>
      </x:c>
      <x:c r="S557" s="57" t="inlineStr">
        <x:is>
          <x:t xml:space="preserve">test</x:t>
        </x:is>
      </x:c>
      <x:c r="T557" s="57" t="inlineStr">
        <x:is>
          <x:t xml:space="preserve"/>
        </x:is>
      </x:c>
    </x:row>
    <x:row r="558" s="37" customFormat="1" ht="29.850000381469727" customHeight="1">
      <x:c r="A558" s="55" t="inlineStr">
        <x:is>
          <x:t xml:space="preserve">NEG-0557</x:t>
        </x:is>
      </x:c>
      <x:c r="B558" s="55" t="inlineStr">
        <x:is>
          <x:t xml:space="preserve">v1</x:t>
        </x:is>
      </x:c>
      <x:c r="C558" s="56" t="inlineStr">
        <x:is>
          <x:t xml:space="preserve">三、制度性与统计性区分</x:t>
        </x:is>
      </x:c>
      <x:c r="D558" s="56" t="inlineStr">
        <x:is>
          <x:t xml:space="preserve">3.2 劳动与社会保障</x:t>
        </x:is>
      </x:c>
      <x:c r="E558" s="56" t="inlineStr">
        <x:is>
          <x:t xml:space="preserve">规范示例（基线）</x:t>
        </x:is>
      </x:c>
      <x:c r="F558" s="56" t="inlineStr">
        <x:is>
          <x:t xml:space="preserve">规范示例句</x:t>
        </x:is>
      </x:c>
      <x:c r="G558" s="55" t="inlineStr">
        <x:is>
          <x:t xml:space="preserve">无</x:t>
        </x:is>
      </x:c>
      <x:c r="H558" s="55" t="str">
        <x:f>IF(LEN(I558)&lt;15,"短",IF(LEN(I558)&lt;=45,"中","长"))</x:f>
        <x:v>中</x:v>
      </x:c>
      <x:c r="I558" s="56" t="inlineStr">
        <x:is>
          <x:t xml:space="preserve">女职工在孕期不得安排从事第三级体力劳动强度的工作。</x:t>
        </x:is>
      </x:c>
      <x:c r="J558" s="56" t="str">
        <x:f>I558</x:f>
        <x:v>女职工在孕期不得安排从事第三级体力劳动强度的工作。</x:v>
      </x:c>
      <x:c r="K558" s="55" t="inlineStr">
        <x:is>
          <x:t xml:space="preserve">无需改写</x:t>
        </x:is>
      </x:c>
      <x:c r="L558" s="56" t="inlineStr">
        <x:is>
          <x:t xml:space="preserve">女职工 / 孕期</x:t>
        </x:is>
      </x:c>
      <x:c r="M558" s="56" t="inlineStr">
        <x:is>
          <x:t xml:space="preserve">劳动保护条款的法定适用对象</x:t>
        </x:is>
      </x:c>
      <x:c r="N558" s="56" t="inlineStr">
        <x:is>
          <x:t xml:space="preserve">职工在孕期不得安排从事第三级体力劳动强度的工作</x:t>
        </x:is>
      </x:c>
      <x:c r="O558" s="55" t="inlineStr">
        <x:is>
          <x:t xml:space="preserve">中</x:t>
        </x:is>
      </x:c>
      <x:c r="P558" s="55" t="inlineStr">
        <x:is>
          <x:t xml:space="preserve">否</x:t>
        </x:is>
      </x:c>
      <x:c r="Q558" s="56" t="n"/>
      <x:c r="R558" s="57" t="inlineStr">
        <x:is>
          <x:t xml:space="preserve">主集</x:t>
        </x:is>
      </x:c>
      <x:c r="S558" s="57" t="inlineStr">
        <x:is>
          <x:t xml:space="preserve">dev</x:t>
        </x:is>
      </x:c>
      <x:c r="T558" s="57" t="inlineStr">
        <x:is>
          <x:t xml:space="preserve"/>
        </x:is>
      </x:c>
    </x:row>
    <x:row r="559" s="37" customFormat="1" ht="29.850000381469727" customHeight="1">
      <x:c r="A559" s="55" t="inlineStr">
        <x:is>
          <x:t xml:space="preserve">NEG-0558</x:t>
        </x:is>
      </x:c>
      <x:c r="B559" s="55" t="inlineStr">
        <x:is>
          <x:t xml:space="preserve">v1</x:t>
        </x:is>
      </x:c>
      <x:c r="C559" s="56" t="inlineStr">
        <x:is>
          <x:t xml:space="preserve">三、制度性与统计性区分</x:t>
        </x:is>
      </x:c>
      <x:c r="D559" s="56" t="inlineStr">
        <x:is>
          <x:t xml:space="preserve">3.2 劳动与社会保障</x:t>
        </x:is>
      </x:c>
      <x:c r="E559" s="56" t="inlineStr">
        <x:is>
          <x:t xml:space="preserve">规范示例（基线）</x:t>
        </x:is>
      </x:c>
      <x:c r="F559" s="56" t="inlineStr">
        <x:is>
          <x:t xml:space="preserve">规范示例句</x:t>
        </x:is>
      </x:c>
      <x:c r="G559" s="55" t="inlineStr">
        <x:is>
          <x:t xml:space="preserve">无</x:t>
        </x:is>
      </x:c>
      <x:c r="H559" s="55" t="str">
        <x:f>IF(LEN(I559)&lt;15,"短",IF(LEN(I559)&lt;=45,"中","长"))</x:f>
        <x:v>中</x:v>
      </x:c>
      <x:c r="I559" s="56" t="inlineStr">
        <x:is>
          <x:t xml:space="preserve">男性员工可申请不少于 15 天的陪产假。</x:t>
        </x:is>
      </x:c>
      <x:c r="J559" s="56" t="str">
        <x:f>I559</x:f>
        <x:v>男性员工可申请不少于 15 天的陪产假。</x:v>
      </x:c>
      <x:c r="K559" s="55" t="inlineStr">
        <x:is>
          <x:t xml:space="preserve">无需改写</x:t>
        </x:is>
      </x:c>
      <x:c r="L559" s="56" t="inlineStr">
        <x:is>
          <x:t xml:space="preserve">男性员工</x:t>
        </x:is>
      </x:c>
      <x:c r="M559" s="56" t="inlineStr">
        <x:is>
          <x:t xml:space="preserve">现行假期制度的适用对象</x:t>
        </x:is>
      </x:c>
      <x:c r="N559" s="56" t="inlineStr">
        <x:is>
          <x:t xml:space="preserve">员工可申请不少于 15 天的陪产假</x:t>
        </x:is>
      </x:c>
      <x:c r="O559" s="55" t="inlineStr">
        <x:is>
          <x:t xml:space="preserve">中</x:t>
        </x:is>
      </x:c>
      <x:c r="P559" s="55" t="inlineStr">
        <x:is>
          <x:t xml:space="preserve">是</x:t>
        </x:is>
      </x:c>
      <x:c r="Q559" s="56" t="inlineStr">
        <x:is>
          <x:t xml:space="preserve">部分企业已改为性别中立的“育儿假”，改写会与现行制度不符</x:t>
        </x:is>
      </x:c>
      <x:c r="R559" s="57" t="inlineStr">
        <x:is>
          <x:t xml:space="preserve">主集</x:t>
        </x:is>
      </x:c>
      <x:c r="S559" s="57" t="inlineStr">
        <x:is>
          <x:t xml:space="preserve">test</x:t>
        </x:is>
      </x:c>
      <x:c r="T559" s="57" t="inlineStr">
        <x:is>
          <x:t xml:space="preserve"/>
        </x:is>
      </x:c>
    </x:row>
    <x:row r="560" s="37" customFormat="1" ht="29.850000381469727" customHeight="1">
      <x:c r="A560" s="55" t="inlineStr">
        <x:is>
          <x:t xml:space="preserve">NEG-0559</x:t>
        </x:is>
      </x:c>
      <x:c r="B560" s="55" t="inlineStr">
        <x:is>
          <x:t xml:space="preserve">v1</x:t>
        </x:is>
      </x:c>
      <x:c r="C560" s="56" t="inlineStr">
        <x:is>
          <x:t xml:space="preserve">三、制度性与统计性区分</x:t>
        </x:is>
      </x:c>
      <x:c r="D560" s="56" t="inlineStr">
        <x:is>
          <x:t xml:space="preserve">3.2 劳动与社会保障</x:t>
        </x:is>
      </x:c>
      <x:c r="E560" s="56" t="inlineStr">
        <x:is>
          <x:t xml:space="preserve">规范示例（基线）</x:t>
        </x:is>
      </x:c>
      <x:c r="F560" s="56" t="inlineStr">
        <x:is>
          <x:t xml:space="preserve">规范示例句</x:t>
        </x:is>
      </x:c>
      <x:c r="G560" s="55" t="inlineStr">
        <x:is>
          <x:t xml:space="preserve">无</x:t>
        </x:is>
      </x:c>
      <x:c r="H560" s="55" t="str">
        <x:f>IF(LEN(I560)&lt;15,"短",IF(LEN(I560)&lt;=45,"中","长"))</x:f>
        <x:v>中</x:v>
      </x:c>
      <x:c r="I560" s="56" t="inlineStr">
        <x:is>
          <x:t xml:space="preserve">现行规定中女性干部的法定退休年龄为 55 周岁。</x:t>
        </x:is>
      </x:c>
      <x:c r="J560" s="56" t="str">
        <x:f>I560</x:f>
        <x:v>现行规定中女性干部的法定退休年龄为 55 周岁。</x:v>
      </x:c>
      <x:c r="K560" s="55" t="inlineStr">
        <x:is>
          <x:t xml:space="preserve">无需改写</x:t>
        </x:is>
      </x:c>
      <x:c r="L560" s="56" t="inlineStr">
        <x:is>
          <x:t xml:space="preserve">女性干部</x:t>
        </x:is>
      </x:c>
      <x:c r="M560" s="56" t="inlineStr">
        <x:is>
          <x:t xml:space="preserve">陈述现行制度，属描述而非主张</x:t>
        </x:is>
      </x:c>
      <x:c r="N560" s="56" t="inlineStr">
        <x:is>
          <x:t xml:space="preserve">现行规定中干部的法定退休年龄为 55 周岁</x:t>
        </x:is>
      </x:c>
      <x:c r="O560" s="55" t="inlineStr">
        <x:is>
          <x:t xml:space="preserve">中</x:t>
        </x:is>
      </x:c>
      <x:c r="P560" s="55" t="inlineStr">
        <x:is>
          <x:t xml:space="preserve">否</x:t>
        </x:is>
      </x:c>
      <x:c r="Q560" s="56" t="n"/>
      <x:c r="R560" s="57" t="inlineStr">
        <x:is>
          <x:t xml:space="preserve">主集</x:t>
        </x:is>
      </x:c>
      <x:c r="S560" s="57" t="inlineStr">
        <x:is>
          <x:t xml:space="preserve">index</x:t>
        </x:is>
      </x:c>
      <x:c r="T560" s="57" t="inlineStr">
        <x:is>
          <x:t xml:space="preserve"/>
        </x:is>
      </x:c>
    </x:row>
    <x:row r="561" s="37" customFormat="1" ht="29.850000381469727" customHeight="1">
      <x:c r="A561" s="55" t="inlineStr">
        <x:is>
          <x:t xml:space="preserve">NEG-0560</x:t>
        </x:is>
      </x:c>
      <x:c r="B561" s="55" t="inlineStr">
        <x:is>
          <x:t xml:space="preserve">v1</x:t>
        </x:is>
      </x:c>
      <x:c r="C561" s="56" t="inlineStr">
        <x:is>
          <x:t xml:space="preserve">三、制度性与统计性区分</x:t>
        </x:is>
      </x:c>
      <x:c r="D561" s="56" t="inlineStr">
        <x:is>
          <x:t xml:space="preserve">3.3 体育竞技分级</x:t>
        </x:is>
      </x:c>
      <x:c r="E561" s="56" t="inlineStr">
        <x:is>
          <x:t xml:space="preserve">规范示例（基线）</x:t>
        </x:is>
      </x:c>
      <x:c r="F561" s="56" t="inlineStr">
        <x:is>
          <x:t xml:space="preserve">规范示例句</x:t>
        </x:is>
      </x:c>
      <x:c r="G561" s="55" t="inlineStr">
        <x:is>
          <x:t xml:space="preserve">无</x:t>
        </x:is>
      </x:c>
      <x:c r="H561" s="55" t="str">
        <x:f>IF(LEN(I561)&lt;15,"短",IF(LEN(I561)&lt;=45,"中","长"))</x:f>
        <x:v>中</x:v>
      </x:c>
      <x:c r="I561" s="56" t="inlineStr">
        <x:is>
          <x:t xml:space="preserve">本届赛事新增女子拳击 60 公斤级项目。</x:t>
        </x:is>
      </x:c>
      <x:c r="J561" s="56" t="str">
        <x:f>I561</x:f>
        <x:v>本届赛事新增女子拳击 60 公斤级项目。</x:v>
      </x:c>
      <x:c r="K561" s="55" t="inlineStr">
        <x:is>
          <x:t xml:space="preserve">无需改写</x:t>
        </x:is>
      </x:c>
      <x:c r="L561" s="56" t="inlineStr">
        <x:is>
          <x:t xml:space="preserve">女子</x:t>
        </x:is>
      </x:c>
      <x:c r="M561" s="56" t="inlineStr">
        <x:is>
          <x:t xml:space="preserve">竞赛项目的正式分级名称</x:t>
        </x:is>
      </x:c>
      <x:c r="N561" s="56" t="inlineStr">
        <x:is>
          <x:t xml:space="preserve">本届赛事新增拳击 60 公斤级项目</x:t>
        </x:is>
      </x:c>
      <x:c r="O561" s="55" t="inlineStr">
        <x:is>
          <x:t xml:space="preserve">易</x:t>
        </x:is>
      </x:c>
      <x:c r="P561" s="55" t="inlineStr">
        <x:is>
          <x:t xml:space="preserve">否</x:t>
        </x:is>
      </x:c>
      <x:c r="Q561" s="56" t="n"/>
      <x:c r="R561" s="57" t="inlineStr">
        <x:is>
          <x:t xml:space="preserve">主集</x:t>
        </x:is>
      </x:c>
      <x:c r="S561" s="57" t="inlineStr">
        <x:is>
          <x:t xml:space="preserve">dev</x:t>
        </x:is>
      </x:c>
      <x:c r="T561" s="57" t="inlineStr">
        <x:is>
          <x:t xml:space="preserve"/>
        </x:is>
      </x:c>
    </x:row>
    <x:row r="562" s="37" customFormat="1" ht="29.850000381469727" customHeight="1">
      <x:c r="A562" s="58" t="inlineStr">
        <x:is>
          <x:t xml:space="preserve">NEG-0561</x:t>
        </x:is>
      </x:c>
      <x:c r="B562" s="58" t="inlineStr">
        <x:is>
          <x:t xml:space="preserve">v1</x:t>
        </x:is>
      </x:c>
      <x:c r="C562" s="59" t="inlineStr">
        <x:is>
          <x:t xml:space="preserve">三、制度性与统计性区分</x:t>
        </x:is>
      </x:c>
      <x:c r="D562" s="59" t="inlineStr">
        <x:is>
          <x:t xml:space="preserve">3.3 体育竞技分级</x:t>
        </x:is>
      </x:c>
      <x:c r="E562" s="59" t="inlineStr">
        <x:is>
          <x:t xml:space="preserve">规范示例（基线）</x:t>
        </x:is>
      </x:c>
      <x:c r="F562" s="59" t="inlineStr">
        <x:is>
          <x:t xml:space="preserve">规范示例句</x:t>
        </x:is>
      </x:c>
      <x:c r="G562" s="58" t="inlineStr">
        <x:is>
          <x:t xml:space="preserve">无</x:t>
        </x:is>
      </x:c>
      <x:c r="H562" s="58" t="str">
        <x:f>IF(LEN(I562)&lt;15,"短",IF(LEN(I562)&lt;=45,"中","长"))</x:f>
        <x:v>中</x:v>
      </x:c>
      <x:c r="I562" s="59" t="inlineStr">
        <x:is>
          <x:t xml:space="preserve">混合双打决赛将于本周日下午举行。</x:t>
        </x:is>
      </x:c>
      <x:c r="J562" s="59" t="str">
        <x:f>I562</x:f>
        <x:v>混合双打决赛将于本周日下午举行。</x:v>
      </x:c>
      <x:c r="K562" s="58" t="inlineStr">
        <x:is>
          <x:t xml:space="preserve">无需改写</x:t>
        </x:is>
      </x:c>
      <x:c r="L562" s="59" t="inlineStr">
        <x:is>
          <x:t xml:space="preserve">混合双打</x:t>
        </x:is>
      </x:c>
      <x:c r="M562" s="59" t="inlineStr">
        <x:is>
          <x:t xml:space="preserve">项目名称，“混合”本身即指男女搭配</x:t>
        </x:is>
      </x:c>
      <x:c r="N562" s="59" t="inlineStr">
        <x:is>
          <x:t xml:space="preserve">双打决赛将于本周日下午举行</x:t>
        </x:is>
      </x:c>
      <x:c r="O562" s="58" t="inlineStr">
        <x:is>
          <x:t xml:space="preserve">易</x:t>
        </x:is>
      </x:c>
      <x:c r="P562" s="58" t="inlineStr">
        <x:is>
          <x:t xml:space="preserve">否</x:t>
        </x:is>
      </x:c>
      <x:c r="Q562" s="59" t="n"/>
      <x:c r="R562" s="60" t="inlineStr">
        <x:is>
          <x:t xml:space="preserve">隔离·待确认</x:t>
        </x:is>
      </x:c>
      <x:c r="S562" s="60" t="inlineStr">
        <x:is>
          <x:t xml:space="preserve"/>
        </x:is>
      </x:c>
      <x:c r="T562" s="60" t="inlineStr">
        <x:is>
          <x:t xml:space="preserve">触发词不含性别编码——判断可能依赖世界知识而非句内信息</x:t>
        </x:is>
      </x:c>
    </x:row>
    <x:row r="563" s="37" customFormat="1" ht="29.850000381469727" customHeight="1">
      <x:c r="A563" s="55" t="inlineStr">
        <x:is>
          <x:t xml:space="preserve">NEG-0562</x:t>
        </x:is>
      </x:c>
      <x:c r="B563" s="55" t="inlineStr">
        <x:is>
          <x:t xml:space="preserve">v1</x:t>
        </x:is>
      </x:c>
      <x:c r="C563" s="56" t="inlineStr">
        <x:is>
          <x:t xml:space="preserve">三、制度性与统计性区分</x:t>
        </x:is>
      </x:c>
      <x:c r="D563" s="56" t="inlineStr">
        <x:is>
          <x:t xml:space="preserve">3.3 体育竞技分级</x:t>
        </x:is>
      </x:c>
      <x:c r="E563" s="56" t="inlineStr">
        <x:is>
          <x:t xml:space="preserve">规范示例（基线）</x:t>
        </x:is>
      </x:c>
      <x:c r="F563" s="56" t="inlineStr">
        <x:is>
          <x:t xml:space="preserve">规范示例句</x:t>
        </x:is>
      </x:c>
      <x:c r="G563" s="55" t="inlineStr">
        <x:is>
          <x:t xml:space="preserve">无</x:t>
        </x:is>
      </x:c>
      <x:c r="H563" s="55" t="str">
        <x:f>IF(LEN(I563)&lt;15,"短",IF(LEN(I563)&lt;=45,"中","长"))</x:f>
        <x:v>中</x:v>
      </x:c>
      <x:c r="I563" s="56" t="inlineStr">
        <x:is>
          <x:t xml:space="preserve">跨性别运动员参加女子组比赛须符合睾酮水平的相关规定。</x:t>
        </x:is>
      </x:c>
      <x:c r="J563" s="56" t="str">
        <x:f>I563</x:f>
        <x:v>跨性别运动员参加女子组比赛须符合睾酮水平的相关规定。</x:v>
      </x:c>
      <x:c r="K563" s="55" t="inlineStr">
        <x:is>
          <x:t xml:space="preserve">无需改写</x:t>
        </x:is>
      </x:c>
      <x:c r="L563" s="56" t="inlineStr">
        <x:is>
          <x:t xml:space="preserve">跨性别 / 女子组</x:t>
        </x:is>
      </x:c>
      <x:c r="M563" s="56" t="inlineStr">
        <x:is>
          <x:t xml:space="preserve">参赛资格规则的准确陈述</x:t>
        </x:is>
      </x:c>
      <x:c r="N563" s="56" t="inlineStr">
        <x:is>
          <x:t xml:space="preserve">运动员参加比赛须符合相关生理指标规定</x:t>
        </x:is>
      </x:c>
      <x:c r="O563" s="55" t="inlineStr">
        <x:is>
          <x:t xml:space="preserve">中</x:t>
        </x:is>
      </x:c>
      <x:c r="P563" s="55" t="inlineStr">
        <x:is>
          <x:t xml:space="preserve">是</x:t>
        </x:is>
      </x:c>
      <x:c r="Q563" s="56" t="inlineStr">
        <x:is>
          <x:t xml:space="preserve">该规则本身在各国际单项组织间存在分歧，仅作规则转述</x:t>
        </x:is>
      </x:c>
      <x:c r="R563" s="57" t="inlineStr">
        <x:is>
          <x:t xml:space="preserve">主集</x:t>
        </x:is>
      </x:c>
      <x:c r="S563" s="57" t="inlineStr">
        <x:is>
          <x:t xml:space="preserve">dev</x:t>
        </x:is>
      </x:c>
      <x:c r="T563" s="57" t="inlineStr">
        <x:is>
          <x:t xml:space="preserve"/>
        </x:is>
      </x:c>
    </x:row>
    <x:row r="564" s="37" customFormat="1" ht="29.850000381469727" customHeight="1">
      <x:c r="A564" s="55" t="inlineStr">
        <x:is>
          <x:t xml:space="preserve">NEG-0563</x:t>
        </x:is>
      </x:c>
      <x:c r="B564" s="55" t="inlineStr">
        <x:is>
          <x:t xml:space="preserve">v1</x:t>
        </x:is>
      </x:c>
      <x:c r="C564" s="56" t="inlineStr">
        <x:is>
          <x:t xml:space="preserve">三、制度性与统计性区分</x:t>
        </x:is>
      </x:c>
      <x:c r="D564" s="56" t="inlineStr">
        <x:is>
          <x:t xml:space="preserve">3.3 体育竞技分级</x:t>
        </x:is>
      </x:c>
      <x:c r="E564" s="56" t="inlineStr">
        <x:is>
          <x:t xml:space="preserve">规范示例（基线）</x:t>
        </x:is>
      </x:c>
      <x:c r="F564" s="56" t="inlineStr">
        <x:is>
          <x:t xml:space="preserve">规范示例句</x:t>
        </x:is>
      </x:c>
      <x:c r="G564" s="55" t="inlineStr">
        <x:is>
          <x:t xml:space="preserve">无</x:t>
        </x:is>
      </x:c>
      <x:c r="H564" s="55" t="str">
        <x:f>IF(LEN(I564)&lt;15,"短",IF(LEN(I564)&lt;=45,"中","长"))</x:f>
        <x:v>中</x:v>
      </x:c>
      <x:c r="I564" s="56" t="inlineStr">
        <x:is>
          <x:t xml:space="preserve">该项世界纪录男子组与女子组分别统计。</x:t>
        </x:is>
      </x:c>
      <x:c r="J564" s="56" t="str">
        <x:f>I564</x:f>
        <x:v>该项世界纪录男子组与女子组分别统计。</x:v>
      </x:c>
      <x:c r="K564" s="55" t="inlineStr">
        <x:is>
          <x:t xml:space="preserve">无需改写</x:t>
        </x:is>
      </x:c>
      <x:c r="L564" s="56" t="inlineStr">
        <x:is>
          <x:t xml:space="preserve">男子组 / 女子组</x:t>
        </x:is>
      </x:c>
      <x:c r="M564" s="56" t="inlineStr">
        <x:is>
          <x:t xml:space="preserve">纪录统计口径</x:t>
        </x:is>
      </x:c>
      <x:c r="N564" s="56" t="inlineStr">
        <x:is>
          <x:t xml:space="preserve">该项世界纪录统一统计</x:t>
        </x:is>
      </x:c>
      <x:c r="O564" s="55" t="inlineStr">
        <x:is>
          <x:t xml:space="preserve">易</x:t>
        </x:is>
      </x:c>
      <x:c r="P564" s="55" t="inlineStr">
        <x:is>
          <x:t xml:space="preserve">否</x:t>
        </x:is>
      </x:c>
      <x:c r="Q564" s="56" t="n"/>
      <x:c r="R564" s="57" t="inlineStr">
        <x:is>
          <x:t xml:space="preserve">主集</x:t>
        </x:is>
      </x:c>
      <x:c r="S564" s="57" t="inlineStr">
        <x:is>
          <x:t xml:space="preserve">index</x:t>
        </x:is>
      </x:c>
      <x:c r="T564" s="57" t="inlineStr">
        <x:is>
          <x:t xml:space="preserve"/>
        </x:is>
      </x:c>
    </x:row>
    <x:row r="565" s="37" customFormat="1" ht="29.850000381469727" customHeight="1">
      <x:c r="A565" s="55" t="inlineStr">
        <x:is>
          <x:t xml:space="preserve">NEG-0564</x:t>
        </x:is>
      </x:c>
      <x:c r="B565" s="55" t="inlineStr">
        <x:is>
          <x:t xml:space="preserve">v1</x:t>
        </x:is>
      </x:c>
      <x:c r="C565" s="56" t="inlineStr">
        <x:is>
          <x:t xml:space="preserve">三、制度性与统计性区分</x:t>
        </x:is>
      </x:c>
      <x:c r="D565" s="56" t="inlineStr">
        <x:is>
          <x:t xml:space="preserve">3.4 空间与设施</x:t>
        </x:is>
      </x:c>
      <x:c r="E565" s="56" t="inlineStr">
        <x:is>
          <x:t xml:space="preserve">规范示例（基线）</x:t>
        </x:is>
      </x:c>
      <x:c r="F565" s="56" t="inlineStr">
        <x:is>
          <x:t xml:space="preserve">规范示例句</x:t>
        </x:is>
      </x:c>
      <x:c r="G565" s="55" t="inlineStr">
        <x:is>
          <x:t xml:space="preserve">无</x:t>
        </x:is>
      </x:c>
      <x:c r="H565" s="55" t="str">
        <x:f>IF(LEN(I565)&lt;15,"短",IF(LEN(I565)&lt;=45,"中","长"))</x:f>
        <x:v>中</x:v>
      </x:c>
      <x:c r="I565" s="56" t="inlineStr">
        <x:is>
          <x:t xml:space="preserve">二楼东侧为女更衣室，西侧为男更衣室。</x:t>
        </x:is>
      </x:c>
      <x:c r="J565" s="56" t="str">
        <x:f>I565</x:f>
        <x:v>二楼东侧为女更衣室，西侧为男更衣室。</x:v>
      </x:c>
      <x:c r="K565" s="55" t="inlineStr">
        <x:is>
          <x:t xml:space="preserve">无需改写</x:t>
        </x:is>
      </x:c>
      <x:c r="L565" s="56" t="inlineStr">
        <x:is>
          <x:t xml:space="preserve">女 / 男更衣室</x:t>
        </x:is>
      </x:c>
      <x:c r="M565" s="56" t="inlineStr">
        <x:is>
          <x:t xml:space="preserve">设施指引，改写将导致实用信息失效</x:t>
        </x:is>
      </x:c>
      <x:c r="N565" s="56" t="inlineStr">
        <x:is>
          <x:t xml:space="preserve">二楼东西两侧均设有更衣室</x:t>
        </x:is>
      </x:c>
      <x:c r="O565" s="55" t="inlineStr">
        <x:is>
          <x:t xml:space="preserve">易</x:t>
        </x:is>
      </x:c>
      <x:c r="P565" s="55" t="inlineStr">
        <x:is>
          <x:t xml:space="preserve">是</x:t>
        </x:is>
      </x:c>
      <x:c r="Q565" s="56" t="inlineStr">
        <x:is>
          <x:t xml:space="preserve">设施划分与跨性别者权益的关系存在持续争论</x:t>
        </x:is>
      </x:c>
      <x:c r="R565" s="57" t="inlineStr">
        <x:is>
          <x:t xml:space="preserve">主集</x:t>
        </x:is>
      </x:c>
      <x:c r="S565" s="57" t="inlineStr">
        <x:is>
          <x:t xml:space="preserve">test</x:t>
        </x:is>
      </x:c>
      <x:c r="T565" s="57" t="inlineStr">
        <x:is>
          <x:t xml:space="preserve"/>
        </x:is>
      </x:c>
    </x:row>
    <x:row r="566" s="37" customFormat="1" ht="29.850000381469727" customHeight="1">
      <x:c r="A566" s="55" t="inlineStr">
        <x:is>
          <x:t xml:space="preserve">NEG-0565</x:t>
        </x:is>
      </x:c>
      <x:c r="B566" s="55" t="inlineStr">
        <x:is>
          <x:t xml:space="preserve">v1</x:t>
        </x:is>
      </x:c>
      <x:c r="C566" s="56" t="inlineStr">
        <x:is>
          <x:t xml:space="preserve">三、制度性与统计性区分</x:t>
        </x:is>
      </x:c>
      <x:c r="D566" s="56" t="inlineStr">
        <x:is>
          <x:t xml:space="preserve">3.4 空间与设施</x:t>
        </x:is>
      </x:c>
      <x:c r="E566" s="56" t="inlineStr">
        <x:is>
          <x:t xml:space="preserve">规范示例（基线）</x:t>
        </x:is>
      </x:c>
      <x:c r="F566" s="56" t="inlineStr">
        <x:is>
          <x:t xml:space="preserve">规范示例句</x:t>
        </x:is>
      </x:c>
      <x:c r="G566" s="55" t="inlineStr">
        <x:is>
          <x:t xml:space="preserve">无</x:t>
        </x:is>
      </x:c>
      <x:c r="H566" s="55" t="str">
        <x:f>IF(LEN(I566)&lt;15,"短",IF(LEN(I566)&lt;=45,"中","长"))</x:f>
        <x:v>中</x:v>
      </x:c>
      <x:c r="I566" s="56" t="inlineStr">
        <x:is>
          <x:t xml:space="preserve">母婴室位于候机楼三层安检口右侧。</x:t>
        </x:is>
      </x:c>
      <x:c r="J566" s="56" t="str">
        <x:f>I566</x:f>
        <x:v>母婴室位于候机楼三层安检口右侧。</x:v>
      </x:c>
      <x:c r="K566" s="55" t="inlineStr">
        <x:is>
          <x:t xml:space="preserve">无需改写</x:t>
        </x:is>
      </x:c>
      <x:c r="L566" s="56" t="inlineStr">
        <x:is>
          <x:t xml:space="preserve">母婴室</x:t>
        </x:is>
      </x:c>
      <x:c r="M566" s="56" t="inlineStr">
        <x:is>
          <x:t xml:space="preserve">设施的既有名称</x:t>
        </x:is>
      </x:c>
      <x:c r="N566" s="56" t="inlineStr">
        <x:is>
          <x:t xml:space="preserve">育儿室位于候机楼三层安检口右侧</x:t>
        </x:is>
      </x:c>
      <x:c r="O566" s="55" t="inlineStr">
        <x:is>
          <x:t xml:space="preserve">中</x:t>
        </x:is>
      </x:c>
      <x:c r="P566" s="55" t="inlineStr">
        <x:is>
          <x:t xml:space="preserve">是</x:t>
        </x:is>
      </x:c>
      <x:c r="Q566" s="56" t="inlineStr">
        <x:is>
          <x:t xml:space="preserve">部分机场已更名为“育婴室”，但改写既有标识会造成指引错误</x:t>
        </x:is>
      </x:c>
      <x:c r="R566" s="57" t="inlineStr">
        <x:is>
          <x:t xml:space="preserve">主集</x:t>
        </x:is>
      </x:c>
      <x:c r="S566" s="57" t="inlineStr">
        <x:is>
          <x:t xml:space="preserve">index</x:t>
        </x:is>
      </x:c>
      <x:c r="T566" s="57" t="inlineStr">
        <x:is>
          <x:t xml:space="preserve"/>
        </x:is>
      </x:c>
    </x:row>
    <x:row r="567" s="37" customFormat="1" ht="29.850000381469727" customHeight="1">
      <x:c r="A567" s="55" t="inlineStr">
        <x:is>
          <x:t xml:space="preserve">NEG-0566</x:t>
        </x:is>
      </x:c>
      <x:c r="B567" s="55" t="inlineStr">
        <x:is>
          <x:t xml:space="preserve">v1</x:t>
        </x:is>
      </x:c>
      <x:c r="C567" s="56" t="inlineStr">
        <x:is>
          <x:t xml:space="preserve">三、制度性与统计性区分</x:t>
        </x:is>
      </x:c>
      <x:c r="D567" s="56" t="inlineStr">
        <x:is>
          <x:t xml:space="preserve">3.4 空间与设施</x:t>
        </x:is>
      </x:c>
      <x:c r="E567" s="56" t="inlineStr">
        <x:is>
          <x:t xml:space="preserve">规范示例（基线）</x:t>
        </x:is>
      </x:c>
      <x:c r="F567" s="56" t="inlineStr">
        <x:is>
          <x:t xml:space="preserve">规范示例句</x:t>
        </x:is>
      </x:c>
      <x:c r="G567" s="55" t="inlineStr">
        <x:is>
          <x:t xml:space="preserve">无</x:t>
        </x:is>
      </x:c>
      <x:c r="H567" s="55" t="str">
        <x:f>IF(LEN(I567)&lt;15,"短",IF(LEN(I567)&lt;=45,"中","长"))</x:f>
        <x:v>中</x:v>
      </x:c>
      <x:c r="I567" s="56" t="inlineStr">
        <x:is>
          <x:t xml:space="preserve">女子监狱应当配备女性管教人员。</x:t>
        </x:is>
      </x:c>
      <x:c r="J567" s="56" t="str">
        <x:f>I567</x:f>
        <x:v>女子监狱应当配备女性管教人员。</x:v>
      </x:c>
      <x:c r="K567" s="55" t="inlineStr">
        <x:is>
          <x:t xml:space="preserve">无需改写</x:t>
        </x:is>
      </x:c>
      <x:c r="L567" s="56" t="inlineStr">
        <x:is>
          <x:t xml:space="preserve">女子监狱 / 女性管教</x:t>
        </x:is>
      </x:c>
      <x:c r="M567" s="56" t="inlineStr">
        <x:is>
          <x:t xml:space="preserve">监所管理的法定要求</x:t>
        </x:is>
      </x:c>
      <x:c r="N567" s="56" t="inlineStr">
        <x:is>
          <x:t xml:space="preserve">监狱应当配备管教人员</x:t>
        </x:is>
      </x:c>
      <x:c r="O567" s="55" t="inlineStr">
        <x:is>
          <x:t xml:space="preserve">易</x:t>
        </x:is>
      </x:c>
      <x:c r="P567" s="55" t="inlineStr">
        <x:is>
          <x:t xml:space="preserve">否</x:t>
        </x:is>
      </x:c>
      <x:c r="Q567" s="56" t="n"/>
      <x:c r="R567" s="57" t="inlineStr">
        <x:is>
          <x:t xml:space="preserve">主集</x:t>
        </x:is>
      </x:c>
      <x:c r="S567" s="57" t="inlineStr">
        <x:is>
          <x:t xml:space="preserve">test</x:t>
        </x:is>
      </x:c>
      <x:c r="T567" s="57" t="inlineStr">
        <x:is>
          <x:t xml:space="preserve"/>
        </x:is>
      </x:c>
    </x:row>
    <x:row r="568" s="37" customFormat="1" ht="29.850000381469727" customHeight="1">
      <x:c r="A568" s="55" t="inlineStr">
        <x:is>
          <x:t xml:space="preserve">NEG-0567</x:t>
        </x:is>
      </x:c>
      <x:c r="B568" s="55" t="inlineStr">
        <x:is>
          <x:t xml:space="preserve">v1</x:t>
        </x:is>
      </x:c>
      <x:c r="C568" s="56" t="inlineStr">
        <x:is>
          <x:t xml:space="preserve">三、制度性与统计性区分</x:t>
        </x:is>
      </x:c>
      <x:c r="D568" s="56" t="inlineStr">
        <x:is>
          <x:t xml:space="preserve">3.5 统计、监测与研究</x:t>
        </x:is>
      </x:c>
      <x:c r="E568" s="56" t="inlineStr">
        <x:is>
          <x:t xml:space="preserve">规范示例（基线）</x:t>
        </x:is>
      </x:c>
      <x:c r="F568" s="56" t="inlineStr">
        <x:is>
          <x:t xml:space="preserve">规范示例句</x:t>
        </x:is>
      </x:c>
      <x:c r="G568" s="55" t="inlineStr">
        <x:is>
          <x:t xml:space="preserve">无</x:t>
        </x:is>
      </x:c>
      <x:c r="H568" s="55" t="str">
        <x:f>IF(LEN(I568)&lt;15,"短",IF(LEN(I568)&lt;=45,"中","长"))</x:f>
        <x:v>中</x:v>
      </x:c>
      <x:c r="I568" s="56" t="inlineStr">
        <x:is>
          <x:t xml:space="preserve">2023 年该地区出生人口性别比为 108.3。</x:t>
        </x:is>
      </x:c>
      <x:c r="J568" s="56" t="str">
        <x:f>I568</x:f>
        <x:v>2023 年该地区出生人口性别比为 108.3。</x:v>
      </x:c>
      <x:c r="K568" s="55" t="inlineStr">
        <x:is>
          <x:t xml:space="preserve">无需改写</x:t>
        </x:is>
      </x:c>
      <x:c r="L568" s="56" t="inlineStr">
        <x:is>
          <x:t xml:space="preserve">性别比</x:t>
        </x:is>
      </x:c>
      <x:c r="M568" s="56" t="inlineStr">
        <x:is>
          <x:t xml:space="preserve">统计指标名称，是人口监测核心变量</x:t>
        </x:is>
      </x:c>
      <x:c r="N568" s="56" t="inlineStr">
        <x:is>
          <x:t xml:space="preserve">2023 年该地区出生人口结构指标为 108.3</x:t>
        </x:is>
      </x:c>
      <x:c r="O568" s="55" t="inlineStr">
        <x:is>
          <x:t xml:space="preserve">易</x:t>
        </x:is>
      </x:c>
      <x:c r="P568" s="55" t="inlineStr">
        <x:is>
          <x:t xml:space="preserve">否</x:t>
        </x:is>
      </x:c>
      <x:c r="Q568" s="56" t="n"/>
      <x:c r="R568" s="57" t="inlineStr">
        <x:is>
          <x:t xml:space="preserve">主集</x:t>
        </x:is>
      </x:c>
      <x:c r="S568" s="57" t="inlineStr">
        <x:is>
          <x:t xml:space="preserve">index</x:t>
        </x:is>
      </x:c>
      <x:c r="T568" s="57" t="inlineStr">
        <x:is>
          <x:t xml:space="preserve"/>
        </x:is>
      </x:c>
    </x:row>
    <x:row r="569" s="37" customFormat="1" ht="29.850000381469727" customHeight="1">
      <x:c r="A569" s="55" t="inlineStr">
        <x:is>
          <x:t xml:space="preserve">NEG-0568</x:t>
        </x:is>
      </x:c>
      <x:c r="B569" s="55" t="inlineStr">
        <x:is>
          <x:t xml:space="preserve">v1</x:t>
        </x:is>
      </x:c>
      <x:c r="C569" s="56" t="inlineStr">
        <x:is>
          <x:t xml:space="preserve">三、制度性与统计性区分</x:t>
        </x:is>
      </x:c>
      <x:c r="D569" s="56" t="inlineStr">
        <x:is>
          <x:t xml:space="preserve">3.5 统计、监测与研究</x:t>
        </x:is>
      </x:c>
      <x:c r="E569" s="56" t="inlineStr">
        <x:is>
          <x:t xml:space="preserve">规范示例（基线）</x:t>
        </x:is>
      </x:c>
      <x:c r="F569" s="56" t="inlineStr">
        <x:is>
          <x:t xml:space="preserve">规范示例句</x:t>
        </x:is>
      </x:c>
      <x:c r="G569" s="55" t="inlineStr">
        <x:is>
          <x:t xml:space="preserve">无</x:t>
        </x:is>
      </x:c>
      <x:c r="H569" s="55" t="str">
        <x:f>IF(LEN(I569)&lt;15,"短",IF(LEN(I569)&lt;=45,"中","长"))</x:f>
        <x:v>中</x:v>
      </x:c>
      <x:c r="I569" s="56" t="inlineStr">
        <x:is>
          <x:t xml:space="preserve">该国男性自杀率约为女性的两倍。</x:t>
        </x:is>
      </x:c>
      <x:c r="J569" s="56" t="str">
        <x:f>I569</x:f>
        <x:v>该国男性自杀率约为女性的两倍。</x:v>
      </x:c>
      <x:c r="K569" s="55" t="inlineStr">
        <x:is>
          <x:t xml:space="preserve">无需改写</x:t>
        </x:is>
      </x:c>
      <x:c r="L569" s="56" t="inlineStr">
        <x:is>
          <x:t xml:space="preserve">男性 / 女性</x:t>
        </x:is>
      </x:c>
      <x:c r="M569" s="56" t="inlineStr">
        <x:is>
          <x:t xml:space="preserve">公共卫生统计结论，性别差异即结论本身</x:t>
        </x:is>
      </x:c>
      <x:c r="N569" s="56" t="inlineStr">
        <x:is>
          <x:t xml:space="preserve">该国不同人群的自杀率存在差异</x:t>
        </x:is>
      </x:c>
      <x:c r="O569" s="55" t="inlineStr">
        <x:is>
          <x:t xml:space="preserve">中</x:t>
        </x:is>
      </x:c>
      <x:c r="P569" s="55" t="inlineStr">
        <x:is>
          <x:t xml:space="preserve">否</x:t>
        </x:is>
      </x:c>
      <x:c r="Q569" s="56" t="n"/>
      <x:c r="R569" s="57" t="inlineStr">
        <x:is>
          <x:t xml:space="preserve">主集</x:t>
        </x:is>
      </x:c>
      <x:c r="S569" s="57" t="inlineStr">
        <x:is>
          <x:t xml:space="preserve">dev</x:t>
        </x:is>
      </x:c>
      <x:c r="T569" s="57" t="inlineStr">
        <x:is>
          <x:t xml:space="preserve"/>
        </x:is>
      </x:c>
    </x:row>
    <x:row r="570" s="37" customFormat="1" ht="29.850000381469727" customHeight="1">
      <x:c r="A570" s="55" t="inlineStr">
        <x:is>
          <x:t xml:space="preserve">NEG-0569</x:t>
        </x:is>
      </x:c>
      <x:c r="B570" s="55" t="inlineStr">
        <x:is>
          <x:t xml:space="preserve">v1</x:t>
        </x:is>
      </x:c>
      <x:c r="C570" s="56" t="inlineStr">
        <x:is>
          <x:t xml:space="preserve">三、制度性与统计性区分</x:t>
        </x:is>
      </x:c>
      <x:c r="D570" s="56" t="inlineStr">
        <x:is>
          <x:t xml:space="preserve">3.5 统计、监测与研究</x:t>
        </x:is>
      </x:c>
      <x:c r="E570" s="56" t="inlineStr">
        <x:is>
          <x:t xml:space="preserve">规范示例（基线）</x:t>
        </x:is>
      </x:c>
      <x:c r="F570" s="56" t="inlineStr">
        <x:is>
          <x:t xml:space="preserve">规范示例句</x:t>
        </x:is>
      </x:c>
      <x:c r="G570" s="55" t="inlineStr">
        <x:is>
          <x:t xml:space="preserve">无</x:t>
        </x:is>
      </x:c>
      <x:c r="H570" s="55" t="str">
        <x:f>IF(LEN(I570)&lt;15,"短",IF(LEN(I570)&lt;=45,"中","长"))</x:f>
        <x:v>中</x:v>
      </x:c>
      <x:c r="I570" s="56" t="inlineStr">
        <x:is>
          <x:t xml:space="preserve">性别薪酬差距在管理岗位上尤为明显。</x:t>
        </x:is>
      </x:c>
      <x:c r="J570" s="56" t="str">
        <x:f>I570</x:f>
        <x:v>性别薪酬差距在管理岗位上尤为明显。</x:v>
      </x:c>
      <x:c r="K570" s="55" t="inlineStr">
        <x:is>
          <x:t xml:space="preserve">无需改写</x:t>
        </x:is>
      </x:c>
      <x:c r="L570" s="56" t="inlineStr">
        <x:is>
          <x:t xml:space="preserve">性别薪酬差距</x:t>
        </x:is>
      </x:c>
      <x:c r="M570" s="56" t="inlineStr">
        <x:is>
          <x:t xml:space="preserve">研究议题名称，删去即取消议题</x:t>
        </x:is>
      </x:c>
      <x:c r="N570" s="56" t="inlineStr">
        <x:is>
          <x:t xml:space="preserve">薪酬差距在管理岗位上尤为明显</x:t>
        </x:is>
      </x:c>
      <x:c r="O570" s="55" t="inlineStr">
        <x:is>
          <x:t xml:space="preserve">中</x:t>
        </x:is>
      </x:c>
      <x:c r="P570" s="55" t="inlineStr">
        <x:is>
          <x:t xml:space="preserve">否</x:t>
        </x:is>
      </x:c>
      <x:c r="Q570" s="56" t="n"/>
      <x:c r="R570" s="57" t="inlineStr">
        <x:is>
          <x:t xml:space="preserve">主集</x:t>
        </x:is>
      </x:c>
      <x:c r="S570" s="57" t="inlineStr">
        <x:is>
          <x:t xml:space="preserve">test</x:t>
        </x:is>
      </x:c>
      <x:c r="T570" s="57" t="inlineStr">
        <x:is>
          <x:t xml:space="preserve"/>
        </x:is>
      </x:c>
    </x:row>
    <x:row r="571" s="37" customFormat="1" ht="29.850000381469727" customHeight="1">
      <x:c r="A571" s="55" t="inlineStr">
        <x:is>
          <x:t xml:space="preserve">NEG-0570</x:t>
        </x:is>
      </x:c>
      <x:c r="B571" s="55" t="inlineStr">
        <x:is>
          <x:t xml:space="preserve">v1</x:t>
        </x:is>
      </x:c>
      <x:c r="C571" s="56" t="inlineStr">
        <x:is>
          <x:t xml:space="preserve">三、制度性与统计性区分</x:t>
        </x:is>
      </x:c>
      <x:c r="D571" s="56" t="inlineStr">
        <x:is>
          <x:t xml:space="preserve">3.5 统计、监测与研究</x:t>
        </x:is>
      </x:c>
      <x:c r="E571" s="56" t="inlineStr">
        <x:is>
          <x:t xml:space="preserve">规范示例（基线）</x:t>
        </x:is>
      </x:c>
      <x:c r="F571" s="56" t="inlineStr">
        <x:is>
          <x:t xml:space="preserve">规范示例句</x:t>
        </x:is>
      </x:c>
      <x:c r="G571" s="55" t="inlineStr">
        <x:is>
          <x:t xml:space="preserve">无</x:t>
        </x:is>
      </x:c>
      <x:c r="H571" s="55" t="str">
        <x:f>IF(LEN(I571)&lt;15,"短",IF(LEN(I571)&lt;=45,"中","长"))</x:f>
        <x:v>中</x:v>
      </x:c>
      <x:c r="I571" s="56" t="inlineStr">
        <x:is>
          <x:t xml:space="preserve">工程类专业在校生中女性占比为 23.7%。</x:t>
        </x:is>
      </x:c>
      <x:c r="J571" s="56" t="str">
        <x:f>I571</x:f>
        <x:v>工程类专业在校生中女性占比为 23.7%。</x:v>
      </x:c>
      <x:c r="K571" s="55" t="inlineStr">
        <x:is>
          <x:t xml:space="preserve">无需改写</x:t>
        </x:is>
      </x:c>
      <x:c r="L571" s="56" t="inlineStr">
        <x:is>
          <x:t xml:space="preserve">女性占比</x:t>
        </x:is>
      </x:c>
      <x:c r="M571" s="56" t="inlineStr">
        <x:is>
          <x:t xml:space="preserve">教育统计数据</x:t>
        </x:is>
      </x:c>
      <x:c r="N571" s="56" t="inlineStr">
        <x:is>
          <x:t xml:space="preserve">工程类专业在校生结构占比为 23.7%</x:t>
        </x:is>
      </x:c>
      <x:c r="O571" s="55" t="inlineStr">
        <x:is>
          <x:t xml:space="preserve">易</x:t>
        </x:is>
      </x:c>
      <x:c r="P571" s="55" t="inlineStr">
        <x:is>
          <x:t xml:space="preserve">否</x:t>
        </x:is>
      </x:c>
      <x:c r="Q571" s="56" t="n"/>
      <x:c r="R571" s="57" t="inlineStr">
        <x:is>
          <x:t xml:space="preserve">主集</x:t>
        </x:is>
      </x:c>
      <x:c r="S571" s="57" t="inlineStr">
        <x:is>
          <x:t xml:space="preserve">test</x:t>
        </x:is>
      </x:c>
      <x:c r="T571" s="57" t="inlineStr">
        <x:is>
          <x:t xml:space="preserve"/>
        </x:is>
      </x:c>
    </x:row>
    <x:row r="572" s="37" customFormat="1" ht="29.850000381469727" customHeight="1">
      <x:c r="A572" s="55" t="inlineStr">
        <x:is>
          <x:t xml:space="preserve">NEG-0571</x:t>
        </x:is>
      </x:c>
      <x:c r="B572" s="55" t="inlineStr">
        <x:is>
          <x:t xml:space="preserve">v1</x:t>
        </x:is>
      </x:c>
      <x:c r="C572" s="56" t="inlineStr">
        <x:is>
          <x:t xml:space="preserve">三、制度性与统计性区分</x:t>
        </x:is>
      </x:c>
      <x:c r="D572" s="56" t="inlineStr">
        <x:is>
          <x:t xml:space="preserve">3.6 平权、保护与专项服务</x:t>
        </x:is>
      </x:c>
      <x:c r="E572" s="56" t="inlineStr">
        <x:is>
          <x:t xml:space="preserve">规范示例（基线）</x:t>
        </x:is>
      </x:c>
      <x:c r="F572" s="56" t="inlineStr">
        <x:is>
          <x:t xml:space="preserve">规范示例句</x:t>
        </x:is>
      </x:c>
      <x:c r="G572" s="55" t="inlineStr">
        <x:is>
          <x:t xml:space="preserve">无</x:t>
        </x:is>
      </x:c>
      <x:c r="H572" s="55" t="str">
        <x:f>IF(LEN(I572)&lt;15,"短",IF(LEN(I572)&lt;=45,"中","长"))</x:f>
        <x:v>中</x:v>
      </x:c>
      <x:c r="I572" s="56" t="inlineStr">
        <x:is>
          <x:t xml:space="preserve">公司计划三年内将女性高管比例提升至 30%。</x:t>
        </x:is>
      </x:c>
      <x:c r="J572" s="56" t="str">
        <x:f>I572</x:f>
        <x:v>公司计划三年内将女性高管比例提升至 30%。</x:v>
      </x:c>
      <x:c r="K572" s="55" t="inlineStr">
        <x:is>
          <x:t xml:space="preserve">无需改写</x:t>
        </x:is>
      </x:c>
      <x:c r="L572" s="56" t="inlineStr">
        <x:is>
          <x:t xml:space="preserve">女性高管比例</x:t>
        </x:is>
      </x:c>
      <x:c r="M572" s="56" t="inlineStr">
        <x:is>
          <x:t xml:space="preserve">平权目标的量化指标</x:t>
        </x:is>
      </x:c>
      <x:c r="N572" s="56" t="inlineStr">
        <x:is>
          <x:t xml:space="preserve">公司计划三年内提升高管队伍的多元化水平</x:t>
        </x:is>
      </x:c>
      <x:c r="O572" s="55" t="inlineStr">
        <x:is>
          <x:t xml:space="preserve">中</x:t>
        </x:is>
      </x:c>
      <x:c r="P572" s="55" t="inlineStr">
        <x:is>
          <x:t xml:space="preserve">否</x:t>
        </x:is>
      </x:c>
      <x:c r="Q572" s="56" t="inlineStr">
        <x:is>
          <x:t xml:space="preserve">此处保留性别正是为实现性别公平</x:t>
        </x:is>
      </x:c>
      <x:c r="R572" s="57" t="inlineStr">
        <x:is>
          <x:t xml:space="preserve">主集</x:t>
        </x:is>
      </x:c>
      <x:c r="S572" s="57" t="inlineStr">
        <x:is>
          <x:t xml:space="preserve">test</x:t>
        </x:is>
      </x:c>
      <x:c r="T572" s="57" t="inlineStr">
        <x:is>
          <x:t xml:space="preserve"/>
        </x:is>
      </x:c>
    </x:row>
    <x:row r="573" s="37" customFormat="1" ht="29.850000381469727" customHeight="1">
      <x:c r="A573" s="55" t="inlineStr">
        <x:is>
          <x:t xml:space="preserve">NEG-0572</x:t>
        </x:is>
      </x:c>
      <x:c r="B573" s="55" t="inlineStr">
        <x:is>
          <x:t xml:space="preserve">v1</x:t>
        </x:is>
      </x:c>
      <x:c r="C573" s="56" t="inlineStr">
        <x:is>
          <x:t xml:space="preserve">三、制度性与统计性区分</x:t>
        </x:is>
      </x:c>
      <x:c r="D573" s="56" t="inlineStr">
        <x:is>
          <x:t xml:space="preserve">3.6 平权、保护与专项服务</x:t>
        </x:is>
      </x:c>
      <x:c r="E573" s="56" t="inlineStr">
        <x:is>
          <x:t xml:space="preserve">规范示例（基线）</x:t>
        </x:is>
      </x:c>
      <x:c r="F573" s="56" t="inlineStr">
        <x:is>
          <x:t xml:space="preserve">规范示例句</x:t>
        </x:is>
      </x:c>
      <x:c r="G573" s="55" t="inlineStr">
        <x:is>
          <x:t xml:space="preserve">无</x:t>
        </x:is>
      </x:c>
      <x:c r="H573" s="55" t="str">
        <x:f>IF(LEN(I573)&lt;15,"短",IF(LEN(I573)&lt;=45,"中","长"))</x:f>
        <x:v>中</x:v>
      </x:c>
      <x:c r="I573" s="56" t="inlineStr">
        <x:is>
          <x:t xml:space="preserve">反家暴庇护所目前仅接收女性及其未成年子女。</x:t>
        </x:is>
      </x:c>
      <x:c r="J573" s="56" t="str">
        <x:f>I573</x:f>
        <x:v>反家暴庇护所目前仅接收女性及其未成年子女。</x:v>
      </x:c>
      <x:c r="K573" s="55" t="inlineStr">
        <x:is>
          <x:t xml:space="preserve">无需改写</x:t>
        </x:is>
      </x:c>
      <x:c r="L573" s="56" t="inlineStr">
        <x:is>
          <x:t xml:space="preserve">女性</x:t>
        </x:is>
      </x:c>
      <x:c r="M573" s="56" t="inlineStr">
        <x:is>
          <x:t xml:space="preserve">服务对象的准入规则</x:t>
        </x:is>
      </x:c>
      <x:c r="N573" s="56" t="inlineStr">
        <x:is>
          <x:t xml:space="preserve">反家暴庇护所目前接收受害者及其未成年子女</x:t>
        </x:is>
      </x:c>
      <x:c r="O573" s="55" t="inlineStr">
        <x:is>
          <x:t xml:space="preserve">中</x:t>
        </x:is>
      </x:c>
      <x:c r="P573" s="55" t="inlineStr">
        <x:is>
          <x:t xml:space="preserve">是</x:t>
        </x:is>
      </x:c>
      <x:c r="Q573" s="56" t="inlineStr">
        <x:is>
          <x:t xml:space="preserve">部分机构已扩展至男性受害者，但改写会误述该机构现行规则</x:t>
        </x:is>
      </x:c>
      <x:c r="R573" s="57" t="inlineStr">
        <x:is>
          <x:t xml:space="preserve">主集</x:t>
        </x:is>
      </x:c>
      <x:c r="S573" s="57" t="inlineStr">
        <x:is>
          <x:t xml:space="preserve">index</x:t>
        </x:is>
      </x:c>
      <x:c r="T573" s="57" t="inlineStr">
        <x:is>
          <x:t xml:space="preserve"/>
        </x:is>
      </x:c>
    </x:row>
    <x:row r="574" s="37" customFormat="1" ht="29.850000381469727" customHeight="1">
      <x:c r="A574" s="55" t="inlineStr">
        <x:is>
          <x:t xml:space="preserve">NEG-0573</x:t>
        </x:is>
      </x:c>
      <x:c r="B574" s="55" t="inlineStr">
        <x:is>
          <x:t xml:space="preserve">v1</x:t>
        </x:is>
      </x:c>
      <x:c r="C574" s="56" t="inlineStr">
        <x:is>
          <x:t xml:space="preserve">三、制度性与统计性区分</x:t>
        </x:is>
      </x:c>
      <x:c r="D574" s="56" t="inlineStr">
        <x:is>
          <x:t xml:space="preserve">3.6 平权、保护与专项服务</x:t>
        </x:is>
      </x:c>
      <x:c r="E574" s="56" t="inlineStr">
        <x:is>
          <x:t xml:space="preserve">规范示例（基线）</x:t>
        </x:is>
      </x:c>
      <x:c r="F574" s="56" t="inlineStr">
        <x:is>
          <x:t xml:space="preserve">规范示例句</x:t>
        </x:is>
      </x:c>
      <x:c r="G574" s="55" t="inlineStr">
        <x:is>
          <x:t xml:space="preserve">无</x:t>
        </x:is>
      </x:c>
      <x:c r="H574" s="55" t="str">
        <x:f>IF(LEN(I574)&lt;15,"短",IF(LEN(I574)&lt;=45,"中","长"))</x:f>
        <x:v>中</x:v>
      </x:c>
      <x:c r="I574" s="56" t="inlineStr">
        <x:is>
          <x:t xml:space="preserve">该基金专项支持青年女科技工作者的独立研究。</x:t>
        </x:is>
      </x:c>
      <x:c r="J574" s="56" t="str">
        <x:f>I574</x:f>
        <x:v>该基金专项支持青年女科技工作者的独立研究。</x:v>
      </x:c>
      <x:c r="K574" s="55" t="inlineStr">
        <x:is>
          <x:t xml:space="preserve">无需改写</x:t>
        </x:is>
      </x:c>
      <x:c r="L574" s="56" t="inlineStr">
        <x:is>
          <x:t xml:space="preserve">女科技工作者</x:t>
        </x:is>
      </x:c>
      <x:c r="M574" s="56" t="inlineStr">
        <x:is>
          <x:t xml:space="preserve">专项计划的资助对象界定</x:t>
        </x:is>
      </x:c>
      <x:c r="N574" s="56" t="inlineStr">
        <x:is>
          <x:t xml:space="preserve">该基金专项支持青年科技工作者的独立研究</x:t>
        </x:is>
      </x:c>
      <x:c r="O574" s="55" t="inlineStr">
        <x:is>
          <x:t xml:space="preserve">中</x:t>
        </x:is>
      </x:c>
      <x:c r="P574" s="55" t="inlineStr">
        <x:is>
          <x:t xml:space="preserve">否</x:t>
        </x:is>
      </x:c>
      <x:c r="Q574" s="56" t="inlineStr">
        <x:is>
          <x:t xml:space="preserve">与“女博士”式冗余标记的关键区别：此处限定即资格条件</x:t>
        </x:is>
      </x:c>
      <x:c r="R574" s="57" t="inlineStr">
        <x:is>
          <x:t xml:space="preserve">主集</x:t>
        </x:is>
      </x:c>
      <x:c r="S574" s="57" t="inlineStr">
        <x:is>
          <x:t xml:space="preserve">test</x:t>
        </x:is>
      </x:c>
      <x:c r="T574" s="57" t="inlineStr">
        <x:is>
          <x:t xml:space="preserve"/>
        </x:is>
      </x:c>
    </x:row>
    <x:row r="575" s="37" customFormat="1" ht="29.850000381469727" customHeight="1">
      <x:c r="A575" s="55" t="inlineStr">
        <x:is>
          <x:t xml:space="preserve">NEG-0574</x:t>
        </x:is>
      </x:c>
      <x:c r="B575" s="55" t="inlineStr">
        <x:is>
          <x:t xml:space="preserve">v1</x:t>
        </x:is>
      </x:c>
      <x:c r="C575" s="56" t="inlineStr">
        <x:is>
          <x:t xml:space="preserve">三、制度性与统计性区分</x:t>
        </x:is>
      </x:c>
      <x:c r="D575" s="56" t="inlineStr">
        <x:is>
          <x:t xml:space="preserve">3.6 平权、保护与专项服务</x:t>
        </x:is>
      </x:c>
      <x:c r="E575" s="56" t="inlineStr">
        <x:is>
          <x:t xml:space="preserve">规范示例（基线）</x:t>
        </x:is>
      </x:c>
      <x:c r="F575" s="56" t="inlineStr">
        <x:is>
          <x:t xml:space="preserve">规范示例句</x:t>
        </x:is>
      </x:c>
      <x:c r="G575" s="55" t="inlineStr">
        <x:is>
          <x:t xml:space="preserve">无</x:t>
        </x:is>
      </x:c>
      <x:c r="H575" s="55" t="str">
        <x:f>IF(LEN(I575)&lt;15,"短",IF(LEN(I575)&lt;=45,"中","长"))</x:f>
        <x:v>中</x:v>
      </x:c>
      <x:c r="I575" s="56" t="inlineStr">
        <x:is>
          <x:t xml:space="preserve">本市开通了面向男性照护者的心理支持热线。</x:t>
        </x:is>
      </x:c>
      <x:c r="J575" s="56" t="str">
        <x:f>I575</x:f>
        <x:v>本市开通了面向男性照护者的心理支持热线。</x:v>
      </x:c>
      <x:c r="K575" s="55" t="inlineStr">
        <x:is>
          <x:t xml:space="preserve">无需改写</x:t>
        </x:is>
      </x:c>
      <x:c r="L575" s="56" t="inlineStr">
        <x:is>
          <x:t xml:space="preserve">男性照护者</x:t>
        </x:is>
      </x:c>
      <x:c r="M575" s="56" t="inlineStr">
        <x:is>
          <x:t xml:space="preserve">服务对象界定，且针对的是被忽视群体</x:t>
        </x:is>
      </x:c>
      <x:c r="N575" s="56" t="inlineStr">
        <x:is>
          <x:t xml:space="preserve">本市开通了面向照护者的心理支持热线</x:t>
        </x:is>
      </x:c>
      <x:c r="O575" s="55" t="inlineStr">
        <x:is>
          <x:t xml:space="preserve">中</x:t>
        </x:is>
      </x:c>
      <x:c r="P575" s="55" t="inlineStr">
        <x:is>
          <x:t xml:space="preserve">否</x:t>
        </x:is>
      </x:c>
      <x:c r="Q575" s="56" t="n"/>
      <x:c r="R575" s="57" t="inlineStr">
        <x:is>
          <x:t xml:space="preserve">主集</x:t>
        </x:is>
      </x:c>
      <x:c r="S575" s="57" t="inlineStr">
        <x:is>
          <x:t xml:space="preserve">index</x:t>
        </x:is>
      </x:c>
      <x:c r="T575" s="57" t="inlineStr">
        <x:is>
          <x:t xml:space="preserve"/>
        </x:is>
      </x:c>
    </x:row>
    <x:row r="576" s="37" customFormat="1" ht="29.850000381469727" customHeight="1">
      <x:c r="A576" s="55" t="inlineStr">
        <x:is>
          <x:t xml:space="preserve">NEG-0575</x:t>
        </x:is>
      </x:c>
      <x:c r="B576" s="55" t="inlineStr">
        <x:is>
          <x:t xml:space="preserve">v1</x:t>
        </x:is>
      </x:c>
      <x:c r="C576" s="56" t="inlineStr">
        <x:is>
          <x:t xml:space="preserve">三、制度性与统计性区分</x:t>
        </x:is>
      </x:c>
      <x:c r="D576" s="56" t="inlineStr">
        <x:is>
          <x:t xml:space="preserve">3.7 宗教与文化传统实践</x:t>
        </x:is>
      </x:c>
      <x:c r="E576" s="56" t="inlineStr">
        <x:is>
          <x:t xml:space="preserve">规范示例（基线）</x:t>
        </x:is>
      </x:c>
      <x:c r="F576" s="56" t="inlineStr">
        <x:is>
          <x:t xml:space="preserve">规范示例句</x:t>
        </x:is>
      </x:c>
      <x:c r="G576" s="55" t="inlineStr">
        <x:is>
          <x:t xml:space="preserve">无</x:t>
        </x:is>
      </x:c>
      <x:c r="H576" s="55" t="str">
        <x:f>IF(LEN(I576)&lt;15,"短",IF(LEN(I576)&lt;=45,"中","长"))</x:f>
        <x:v>中</x:v>
      </x:c>
      <x:c r="I576" s="56" t="inlineStr">
        <x:is>
          <x:t xml:space="preserve">按该教派传统，神职人员仅由男性担任。</x:t>
        </x:is>
      </x:c>
      <x:c r="J576" s="56" t="str">
        <x:f>I576</x:f>
        <x:v>按该教派传统，神职人员仅由男性担任。</x:v>
      </x:c>
      <x:c r="K576" s="55" t="inlineStr">
        <x:is>
          <x:t xml:space="preserve">无需改写</x:t>
        </x:is>
      </x:c>
      <x:c r="L576" s="56" t="inlineStr">
        <x:is>
          <x:t xml:space="preserve">男性</x:t>
        </x:is>
      </x:c>
      <x:c r="M576" s="56" t="inlineStr">
        <x:is>
          <x:t xml:space="preserve">对现存传统的客观描述，非认可</x:t>
        </x:is>
      </x:c>
      <x:c r="N576" s="56" t="inlineStr">
        <x:is>
          <x:t xml:space="preserve">按该教派传统，神职人员由信众担任</x:t>
        </x:is>
      </x:c>
      <x:c r="O576" s="55" t="inlineStr">
        <x:is>
          <x:t xml:space="preserve">中</x:t>
        </x:is>
      </x:c>
      <x:c r="P576" s="55" t="inlineStr">
        <x:is>
          <x:t xml:space="preserve">否</x:t>
        </x:is>
      </x:c>
      <x:c r="Q576" s="56" t="inlineStr">
        <x:is>
          <x:t xml:space="preserve">描述与规定之别的典型样本</x:t>
        </x:is>
      </x:c>
      <x:c r="R576" s="57" t="inlineStr">
        <x:is>
          <x:t xml:space="preserve">主集</x:t>
        </x:is>
      </x:c>
      <x:c r="S576" s="57" t="inlineStr">
        <x:is>
          <x:t xml:space="preserve">test</x:t>
        </x:is>
      </x:c>
      <x:c r="T576" s="57" t="inlineStr">
        <x:is>
          <x:t xml:space="preserve"/>
        </x:is>
      </x:c>
    </x:row>
    <x:row r="577" s="37" customFormat="1" ht="29.850000381469727" customHeight="1">
      <x:c r="A577" s="55" t="inlineStr">
        <x:is>
          <x:t xml:space="preserve">NEG-0576</x:t>
        </x:is>
      </x:c>
      <x:c r="B577" s="55" t="inlineStr">
        <x:is>
          <x:t xml:space="preserve">v1</x:t>
        </x:is>
      </x:c>
      <x:c r="C577" s="56" t="inlineStr">
        <x:is>
          <x:t xml:space="preserve">四、专有名词与固定名称</x:t>
        </x:is>
      </x:c>
      <x:c r="D577" s="56" t="inlineStr">
        <x:is>
          <x:t xml:space="preserve">4.1 法律法规</x:t>
        </x:is>
      </x:c>
      <x:c r="E577" s="56" t="inlineStr">
        <x:is>
          <x:t xml:space="preserve">规范示例（基线）</x:t>
        </x:is>
      </x:c>
      <x:c r="F577" s="56" t="inlineStr">
        <x:is>
          <x:t xml:space="preserve">规范示例句</x:t>
        </x:is>
      </x:c>
      <x:c r="G577" s="55" t="inlineStr">
        <x:is>
          <x:t xml:space="preserve">无</x:t>
        </x:is>
      </x:c>
      <x:c r="H577" s="55" t="str">
        <x:f>IF(LEN(I577)&lt;15,"短",IF(LEN(I577)&lt;=45,"中","长"))</x:f>
        <x:v>中</x:v>
      </x:c>
      <x:c r="I577" s="56" t="inlineStr">
        <x:is>
          <x:t xml:space="preserve">《中华人民共和国妇女权益保障法》于 2022 年完成修订。</x:t>
        </x:is>
      </x:c>
      <x:c r="J577" s="56" t="str">
        <x:f>I577</x:f>
        <x:v>《中华人民共和国妇女权益保障法》于 2022 年完成修订。</x:v>
      </x:c>
      <x:c r="K577" s="55" t="inlineStr">
        <x:is>
          <x:t xml:space="preserve">无需改写</x:t>
        </x:is>
      </x:c>
      <x:c r="L577" s="56" t="inlineStr">
        <x:is>
          <x:t xml:space="preserve">妇女权益保障法</x:t>
        </x:is>
      </x:c>
      <x:c r="M577" s="56" t="inlineStr">
        <x:is>
          <x:t xml:space="preserve">法律名称，不可改动</x:t>
        </x:is>
      </x:c>
      <x:c r="N577" s="56" t="inlineStr">
        <x:is>
          <x:t xml:space="preserve">《中华人民共和国权益保障法》于 2022 年完成修订</x:t>
        </x:is>
      </x:c>
      <x:c r="O577" s="55" t="inlineStr">
        <x:is>
          <x:t xml:space="preserve">易</x:t>
        </x:is>
      </x:c>
      <x:c r="P577" s="55" t="inlineStr">
        <x:is>
          <x:t xml:space="preserve">否</x:t>
        </x:is>
      </x:c>
      <x:c r="Q577" s="56" t="n"/>
      <x:c r="R577" s="57" t="inlineStr">
        <x:is>
          <x:t xml:space="preserve">主集</x:t>
        </x:is>
      </x:c>
      <x:c r="S577" s="57" t="inlineStr">
        <x:is>
          <x:t xml:space="preserve">index</x:t>
        </x:is>
      </x:c>
      <x:c r="T577" s="57" t="inlineStr">
        <x:is>
          <x:t xml:space="preserve"/>
        </x:is>
      </x:c>
    </x:row>
    <x:row r="578" s="37" customFormat="1" ht="29.850000381469727" customHeight="1">
      <x:c r="A578" s="55" t="inlineStr">
        <x:is>
          <x:t xml:space="preserve">NEG-0577</x:t>
        </x:is>
      </x:c>
      <x:c r="B578" s="55" t="inlineStr">
        <x:is>
          <x:t xml:space="preserve">v1</x:t>
        </x:is>
      </x:c>
      <x:c r="C578" s="56" t="inlineStr">
        <x:is>
          <x:t xml:space="preserve">四、专有名词与固定名称</x:t>
        </x:is>
      </x:c>
      <x:c r="D578" s="56" t="inlineStr">
        <x:is>
          <x:t xml:space="preserve">4.1 法律法规</x:t>
        </x:is>
      </x:c>
      <x:c r="E578" s="56" t="inlineStr">
        <x:is>
          <x:t xml:space="preserve">规范示例（基线）</x:t>
        </x:is>
      </x:c>
      <x:c r="F578" s="56" t="inlineStr">
        <x:is>
          <x:t xml:space="preserve">规范示例句</x:t>
        </x:is>
      </x:c>
      <x:c r="G578" s="55" t="inlineStr">
        <x:is>
          <x:t xml:space="preserve">无</x:t>
        </x:is>
      </x:c>
      <x:c r="H578" s="55" t="str">
        <x:f>IF(LEN(I578)&lt;15,"短",IF(LEN(I578)&lt;=45,"中","长"))</x:f>
        <x:v>中</x:v>
      </x:c>
      <x:c r="I578" s="56" t="inlineStr">
        <x:is>
          <x:t xml:space="preserve">《女职工劳动保护特别规定》对禁忌劳动范围作出了列举。</x:t>
        </x:is>
      </x:c>
      <x:c r="J578" s="56" t="str">
        <x:f>I578</x:f>
        <x:v>《女职工劳动保护特别规定》对禁忌劳动范围作出了列举。</x:v>
      </x:c>
      <x:c r="K578" s="55" t="inlineStr">
        <x:is>
          <x:t xml:space="preserve">无需改写</x:t>
        </x:is>
      </x:c>
      <x:c r="L578" s="56" t="inlineStr">
        <x:is>
          <x:t xml:space="preserve">女职工</x:t>
        </x:is>
      </x:c>
      <x:c r="M578" s="56" t="inlineStr">
        <x:is>
          <x:t xml:space="preserve">行政法规正式名称</x:t>
        </x:is>
      </x:c>
      <x:c r="N578" s="56" t="inlineStr">
        <x:is>
          <x:t xml:space="preserve">《职工劳动保护特别规定》对禁忌劳动范围作出了列举</x:t>
        </x:is>
      </x:c>
      <x:c r="O578" s="55" t="inlineStr">
        <x:is>
          <x:t xml:space="preserve">易</x:t>
        </x:is>
      </x:c>
      <x:c r="P578" s="55" t="inlineStr">
        <x:is>
          <x:t xml:space="preserve">否</x:t>
        </x:is>
      </x:c>
      <x:c r="Q578" s="56" t="n"/>
      <x:c r="R578" s="57" t="inlineStr">
        <x:is>
          <x:t xml:space="preserve">主集</x:t>
        </x:is>
      </x:c>
      <x:c r="S578" s="57" t="inlineStr">
        <x:is>
          <x:t xml:space="preserve">dev</x:t>
        </x:is>
      </x:c>
      <x:c r="T578" s="57" t="inlineStr">
        <x:is>
          <x:t xml:space="preserve"/>
        </x:is>
      </x:c>
    </x:row>
    <x:row r="579" s="37" customFormat="1" ht="29.850000381469727" customHeight="1">
      <x:c r="A579" s="55" t="inlineStr">
        <x:is>
          <x:t xml:space="preserve">NEG-0578</x:t>
        </x:is>
      </x:c>
      <x:c r="B579" s="55" t="inlineStr">
        <x:is>
          <x:t xml:space="preserve">v1</x:t>
        </x:is>
      </x:c>
      <x:c r="C579" s="56" t="inlineStr">
        <x:is>
          <x:t xml:space="preserve">四、专有名词与固定名称</x:t>
        </x:is>
      </x:c>
      <x:c r="D579" s="56" t="inlineStr">
        <x:is>
          <x:t xml:space="preserve">4.1 法律法规</x:t>
        </x:is>
      </x:c>
      <x:c r="E579" s="56" t="inlineStr">
        <x:is>
          <x:t xml:space="preserve">规范示例（基线）</x:t>
        </x:is>
      </x:c>
      <x:c r="F579" s="56" t="inlineStr">
        <x:is>
          <x:t xml:space="preserve">规范示例句</x:t>
        </x:is>
      </x:c>
      <x:c r="G579" s="55" t="inlineStr">
        <x:is>
          <x:t xml:space="preserve">无</x:t>
        </x:is>
      </x:c>
      <x:c r="H579" s="55" t="str">
        <x:f>IF(LEN(I579)&lt;15,"短",IF(LEN(I579)&lt;=45,"中","长"))</x:f>
        <x:v>中</x:v>
      </x:c>
      <x:c r="I579" s="56" t="inlineStr">
        <x:is>
          <x:t xml:space="preserve">《消除对妇女一切形式歧视公约》于 1979 年获联合国大会通过。</x:t>
        </x:is>
      </x:c>
      <x:c r="J579" s="56" t="str">
        <x:f>I579</x:f>
        <x:v>《消除对妇女一切形式歧视公约》于 1979 年获联合国大会通过。</x:v>
      </x:c>
      <x:c r="K579" s="55" t="inlineStr">
        <x:is>
          <x:t xml:space="preserve">无需改写</x:t>
        </x:is>
      </x:c>
      <x:c r="L579" s="56" t="inlineStr">
        <x:is>
          <x:t xml:space="preserve">妇女</x:t>
        </x:is>
      </x:c>
      <x:c r="M579" s="56" t="inlineStr">
        <x:is>
          <x:t xml:space="preserve">国际条约正式名称</x:t>
        </x:is>
      </x:c>
      <x:c r="N579" s="56" t="inlineStr">
        <x:is>
          <x:t xml:space="preserve">《消除一切形式歧视公约》于 1979 年获联合国大会通过</x:t>
        </x:is>
      </x:c>
      <x:c r="O579" s="55" t="inlineStr">
        <x:is>
          <x:t xml:space="preserve">易</x:t>
        </x:is>
      </x:c>
      <x:c r="P579" s="55" t="inlineStr">
        <x:is>
          <x:t xml:space="preserve">否</x:t>
        </x:is>
      </x:c>
      <x:c r="Q579" s="56" t="n"/>
      <x:c r="R579" s="57" t="inlineStr">
        <x:is>
          <x:t xml:space="preserve">主集</x:t>
        </x:is>
      </x:c>
      <x:c r="S579" s="57" t="inlineStr">
        <x:is>
          <x:t xml:space="preserve">index</x:t>
        </x:is>
      </x:c>
      <x:c r="T579" s="57" t="inlineStr">
        <x:is>
          <x:t xml:space="preserve"/>
        </x:is>
      </x:c>
    </x:row>
    <x:row r="580" s="37" customFormat="1" ht="29.850000381469727" customHeight="1">
      <x:c r="A580" s="55" t="inlineStr">
        <x:is>
          <x:t xml:space="preserve">NEG-0579</x:t>
        </x:is>
      </x:c>
      <x:c r="B580" s="55" t="inlineStr">
        <x:is>
          <x:t xml:space="preserve">v1</x:t>
        </x:is>
      </x:c>
      <x:c r="C580" s="56" t="inlineStr">
        <x:is>
          <x:t xml:space="preserve">四、专有名词与固定名称</x:t>
        </x:is>
      </x:c>
      <x:c r="D580" s="56" t="inlineStr">
        <x:is>
          <x:t xml:space="preserve">4.2 机构、组织与场所</x:t>
        </x:is>
      </x:c>
      <x:c r="E580" s="56" t="inlineStr">
        <x:is>
          <x:t xml:space="preserve">规范示例（基线）</x:t>
        </x:is>
      </x:c>
      <x:c r="F580" s="56" t="inlineStr">
        <x:is>
          <x:t xml:space="preserve">规范示例句</x:t>
        </x:is>
      </x:c>
      <x:c r="G580" s="55" t="inlineStr">
        <x:is>
          <x:t xml:space="preserve">无</x:t>
        </x:is>
      </x:c>
      <x:c r="H580" s="55" t="str">
        <x:f>IF(LEN(I580)&lt;15,"短",IF(LEN(I580)&lt;=45,"中","长"))</x:f>
        <x:v>中</x:v>
      </x:c>
      <x:c r="I580" s="56" t="inlineStr">
        <x:is>
          <x:t xml:space="preserve">中华全国妇女联合会发布了本年度工作报告。</x:t>
        </x:is>
      </x:c>
      <x:c r="J580" s="56" t="str">
        <x:f>I580</x:f>
        <x:v>中华全国妇女联合会发布了本年度工作报告。</x:v>
      </x:c>
      <x:c r="K580" s="55" t="inlineStr">
        <x:is>
          <x:t xml:space="preserve">无需改写</x:t>
        </x:is>
      </x:c>
      <x:c r="L580" s="56" t="inlineStr">
        <x:is>
          <x:t xml:space="preserve">妇女联合会</x:t>
        </x:is>
      </x:c>
      <x:c r="M580" s="56" t="inlineStr">
        <x:is>
          <x:t xml:space="preserve">机构法定名称</x:t>
        </x:is>
      </x:c>
      <x:c r="N580" s="56" t="inlineStr">
        <x:is>
          <x:t xml:space="preserve">全国联合会发布了本年度工作报告</x:t>
        </x:is>
      </x:c>
      <x:c r="O580" s="55" t="inlineStr">
        <x:is>
          <x:t xml:space="preserve">易</x:t>
        </x:is>
      </x:c>
      <x:c r="P580" s="55" t="inlineStr">
        <x:is>
          <x:t xml:space="preserve">否</x:t>
        </x:is>
      </x:c>
      <x:c r="Q580" s="56" t="n"/>
      <x:c r="R580" s="57" t="inlineStr">
        <x:is>
          <x:t xml:space="preserve">主集</x:t>
        </x:is>
      </x:c>
      <x:c r="S580" s="57" t="inlineStr">
        <x:is>
          <x:t xml:space="preserve">index</x:t>
        </x:is>
      </x:c>
      <x:c r="T580" s="57" t="inlineStr">
        <x:is>
          <x:t xml:space="preserve"/>
        </x:is>
      </x:c>
    </x:row>
    <x:row r="581" s="37" customFormat="1" ht="29.850000381469727" customHeight="1">
      <x:c r="A581" s="55" t="inlineStr">
        <x:is>
          <x:t xml:space="preserve">NEG-0580</x:t>
        </x:is>
      </x:c>
      <x:c r="B581" s="55" t="inlineStr">
        <x:is>
          <x:t xml:space="preserve">v1</x:t>
        </x:is>
      </x:c>
      <x:c r="C581" s="56" t="inlineStr">
        <x:is>
          <x:t xml:space="preserve">四、专有名词与固定名称</x:t>
        </x:is>
      </x:c>
      <x:c r="D581" s="56" t="inlineStr">
        <x:is>
          <x:t xml:space="preserve">4.2 机构、组织与场所</x:t>
        </x:is>
      </x:c>
      <x:c r="E581" s="56" t="inlineStr">
        <x:is>
          <x:t xml:space="preserve">规范示例（基线）</x:t>
        </x:is>
      </x:c>
      <x:c r="F581" s="56" t="inlineStr">
        <x:is>
          <x:t xml:space="preserve">规范示例句</x:t>
        </x:is>
      </x:c>
      <x:c r="G581" s="55" t="inlineStr">
        <x:is>
          <x:t xml:space="preserve">无</x:t>
        </x:is>
      </x:c>
      <x:c r="H581" s="55" t="str">
        <x:f>IF(LEN(I581)&lt;15,"短",IF(LEN(I581)&lt;=45,"中","长"))</x:f>
        <x:v>中</x:v>
      </x:c>
      <x:c r="I581" s="56" t="inlineStr">
        <x:is>
          <x:t xml:space="preserve">中国女排在本届世锦赛中排名第四。</x:t>
        </x:is>
      </x:c>
      <x:c r="J581" s="56" t="str">
        <x:f>I581</x:f>
        <x:v>中国女排在本届世锦赛中排名第四。</x:v>
      </x:c>
      <x:c r="K581" s="55" t="inlineStr">
        <x:is>
          <x:t xml:space="preserve">无需改写</x:t>
        </x:is>
      </x:c>
      <x:c r="L581" s="56" t="inlineStr">
        <x:is>
          <x:t xml:space="preserve">女排</x:t>
        </x:is>
      </x:c>
      <x:c r="M581" s="56" t="inlineStr">
        <x:is>
          <x:t xml:space="preserve">队伍正式名称</x:t>
        </x:is>
      </x:c>
      <x:c r="N581" s="56" t="inlineStr">
        <x:is>
          <x:t xml:space="preserve">中国排球队在本届世锦赛中排名第四</x:t>
        </x:is>
      </x:c>
      <x:c r="O581" s="55" t="inlineStr">
        <x:is>
          <x:t xml:space="preserve">易</x:t>
        </x:is>
      </x:c>
      <x:c r="P581" s="55" t="inlineStr">
        <x:is>
          <x:t xml:space="preserve">否</x:t>
        </x:is>
      </x:c>
      <x:c r="Q581" s="56" t="n"/>
      <x:c r="R581" s="57" t="inlineStr">
        <x:is>
          <x:t xml:space="preserve">主集</x:t>
        </x:is>
      </x:c>
      <x:c r="S581" s="57" t="inlineStr">
        <x:is>
          <x:t xml:space="preserve">index</x:t>
        </x:is>
      </x:c>
      <x:c r="T581" s="57" t="inlineStr">
        <x:is>
          <x:t xml:space="preserve"/>
        </x:is>
      </x:c>
    </x:row>
    <x:row r="582" s="37" customFormat="1" ht="29.850000381469727" customHeight="1">
      <x:c r="A582" s="55" t="inlineStr">
        <x:is>
          <x:t xml:space="preserve">NEG-0581</x:t>
        </x:is>
      </x:c>
      <x:c r="B582" s="55" t="inlineStr">
        <x:is>
          <x:t xml:space="preserve">v1</x:t>
        </x:is>
      </x:c>
      <x:c r="C582" s="56" t="inlineStr">
        <x:is>
          <x:t xml:space="preserve">四、专有名词与固定名称</x:t>
        </x:is>
      </x:c>
      <x:c r="D582" s="56" t="inlineStr">
        <x:is>
          <x:t xml:space="preserve">4.2 机构、组织与场所</x:t>
        </x:is>
      </x:c>
      <x:c r="E582" s="56" t="inlineStr">
        <x:is>
          <x:t xml:space="preserve">规范示例（基线）</x:t>
        </x:is>
      </x:c>
      <x:c r="F582" s="56" t="inlineStr">
        <x:is>
          <x:t xml:space="preserve">规范示例句</x:t>
        </x:is>
      </x:c>
      <x:c r="G582" s="55" t="inlineStr">
        <x:is>
          <x:t xml:space="preserve">无</x:t>
        </x:is>
      </x:c>
      <x:c r="H582" s="55" t="str">
        <x:f>IF(LEN(I582)&lt;15,"短",IF(LEN(I582)&lt;=45,"中","长"))</x:f>
        <x:v>中</x:v>
      </x:c>
      <x:c r="I582" s="56" t="inlineStr">
        <x:is>
          <x:t xml:space="preserve">该院妇产科自本月起开设夜间门诊。</x:t>
        </x:is>
      </x:c>
      <x:c r="J582" s="56" t="str">
        <x:f>I582</x:f>
        <x:v>该院妇产科自本月起开设夜间门诊。</x:v>
      </x:c>
      <x:c r="K582" s="55" t="inlineStr">
        <x:is>
          <x:t xml:space="preserve">无需改写</x:t>
        </x:is>
      </x:c>
      <x:c r="L582" s="56" t="inlineStr">
        <x:is>
          <x:t xml:space="preserve">妇产科</x:t>
        </x:is>
      </x:c>
      <x:c r="M582" s="56" t="inlineStr">
        <x:is>
          <x:t xml:space="preserve">科室法定名称</x:t>
        </x:is>
      </x:c>
      <x:c r="N582" s="56" t="inlineStr">
        <x:is>
          <x:t xml:space="preserve">该院产科自本月起开设夜间门诊</x:t>
        </x:is>
      </x:c>
      <x:c r="O582" s="55" t="inlineStr">
        <x:is>
          <x:t xml:space="preserve">易</x:t>
        </x:is>
      </x:c>
      <x:c r="P582" s="55" t="inlineStr">
        <x:is>
          <x:t xml:space="preserve">否</x:t>
        </x:is>
      </x:c>
      <x:c r="Q582" s="56" t="n"/>
      <x:c r="R582" s="57" t="inlineStr">
        <x:is>
          <x:t xml:space="preserve">主集</x:t>
        </x:is>
      </x:c>
      <x:c r="S582" s="57" t="inlineStr">
        <x:is>
          <x:t xml:space="preserve">index</x:t>
        </x:is>
      </x:c>
      <x:c r="T582" s="57" t="inlineStr">
        <x:is>
          <x:t xml:space="preserve"/>
        </x:is>
      </x:c>
    </x:row>
    <x:row r="583" s="37" customFormat="1" ht="29.850000381469727" customHeight="1">
      <x:c r="A583" s="55" t="inlineStr">
        <x:is>
          <x:t xml:space="preserve">NEG-0582</x:t>
        </x:is>
      </x:c>
      <x:c r="B583" s="55" t="inlineStr">
        <x:is>
          <x:t xml:space="preserve">v1</x:t>
        </x:is>
      </x:c>
      <x:c r="C583" s="56" t="inlineStr">
        <x:is>
          <x:t xml:space="preserve">四、专有名词与固定名称</x:t>
        </x:is>
      </x:c>
      <x:c r="D583" s="56" t="inlineStr">
        <x:is>
          <x:t xml:space="preserve">4.2 机构、组织与场所</x:t>
        </x:is>
      </x:c>
      <x:c r="E583" s="56" t="inlineStr">
        <x:is>
          <x:t xml:space="preserve">规范示例（基线）</x:t>
        </x:is>
      </x:c>
      <x:c r="F583" s="56" t="inlineStr">
        <x:is>
          <x:t xml:space="preserve">规范示例句</x:t>
        </x:is>
      </x:c>
      <x:c r="G583" s="55" t="inlineStr">
        <x:is>
          <x:t xml:space="preserve">无</x:t>
        </x:is>
      </x:c>
      <x:c r="H583" s="55" t="str">
        <x:f>IF(LEN(I583)&lt;15,"短",IF(LEN(I583)&lt;=45,"中","长"))</x:f>
        <x:v>短</x:v>
      </x:c>
      <x:c r="I583" s="56" t="inlineStr">
        <x:is>
          <x:t xml:space="preserve">男科门诊位于门诊楼二层西侧。</x:t>
        </x:is>
      </x:c>
      <x:c r="J583" s="56" t="str">
        <x:f>I583</x:f>
        <x:v>男科门诊位于门诊楼二层西侧。</x:v>
      </x:c>
      <x:c r="K583" s="55" t="inlineStr">
        <x:is>
          <x:t xml:space="preserve">无需改写</x:t>
        </x:is>
      </x:c>
      <x:c r="L583" s="56" t="inlineStr">
        <x:is>
          <x:t xml:space="preserve">男科</x:t>
        </x:is>
      </x:c>
      <x:c r="M583" s="56" t="inlineStr">
        <x:is>
          <x:t xml:space="preserve">科室法定名称</x:t>
        </x:is>
      </x:c>
      <x:c r="N583" s="56" t="inlineStr">
        <x:is>
          <x:t xml:space="preserve">泌尿门诊位于门诊楼二层西侧</x:t>
        </x:is>
      </x:c>
      <x:c r="O583" s="55" t="inlineStr">
        <x:is>
          <x:t xml:space="preserve">易</x:t>
        </x:is>
      </x:c>
      <x:c r="P583" s="55" t="inlineStr">
        <x:is>
          <x:t xml:space="preserve">否</x:t>
        </x:is>
      </x:c>
      <x:c r="Q583" s="56" t="n"/>
      <x:c r="R583" s="57" t="inlineStr">
        <x:is>
          <x:t xml:space="preserve">主集</x:t>
        </x:is>
      </x:c>
      <x:c r="S583" s="57" t="inlineStr">
        <x:is>
          <x:t xml:space="preserve">dev</x:t>
        </x:is>
      </x:c>
      <x:c r="T583" s="57" t="inlineStr">
        <x:is>
          <x:t xml:space="preserve"/>
        </x:is>
      </x:c>
    </x:row>
    <x:row r="584" s="37" customFormat="1" ht="29.850000381469727" customHeight="1">
      <x:c r="A584" s="58" t="inlineStr">
        <x:is>
          <x:t xml:space="preserve">NEG-0583</x:t>
        </x:is>
      </x:c>
      <x:c r="B584" s="58" t="inlineStr">
        <x:is>
          <x:t xml:space="preserve">v1</x:t>
        </x:is>
      </x:c>
      <x:c r="C584" s="59" t="inlineStr">
        <x:is>
          <x:t xml:space="preserve">四、专有名词与固定名称</x:t>
        </x:is>
      </x:c>
      <x:c r="D584" s="59" t="inlineStr">
        <x:is>
          <x:t xml:space="preserve">4.3 奖项、荣誉与称号</x:t>
        </x:is>
      </x:c>
      <x:c r="E584" s="59" t="inlineStr">
        <x:is>
          <x:t xml:space="preserve">规范示例（基线）</x:t>
        </x:is>
      </x:c>
      <x:c r="F584" s="59" t="inlineStr">
        <x:is>
          <x:t xml:space="preserve">规范示例句</x:t>
        </x:is>
      </x:c>
      <x:c r="G584" s="58" t="inlineStr">
        <x:is>
          <x:t xml:space="preserve">无</x:t>
        </x:is>
      </x:c>
      <x:c r="H584" s="58" t="str">
        <x:f>IF(LEN(I584)&lt;15,"短",IF(LEN(I584)&lt;=45,"中","长"))</x:f>
        <x:v>中</x:v>
      </x:c>
      <x:c r="I584" s="59" t="inlineStr">
        <x:is>
          <x:t xml:space="preserve">她获得了本年度全国“三八红旗手”称号。</x:t>
        </x:is>
      </x:c>
      <x:c r="J584" s="59" t="str">
        <x:f>I584</x:f>
        <x:v>她获得了本年度全国“三八红旗手”称号。</x:v>
      </x:c>
      <x:c r="K584" s="58" t="inlineStr">
        <x:is>
          <x:t xml:space="preserve">无需改写</x:t>
        </x:is>
      </x:c>
      <x:c r="L584" s="59" t="inlineStr">
        <x:is>
          <x:t xml:space="preserve">三八红旗手</x:t>
        </x:is>
      </x:c>
      <x:c r="M584" s="59" t="inlineStr">
        <x:is>
          <x:t xml:space="preserve">荣誉称号的法定名称</x:t>
        </x:is>
      </x:c>
      <x:c r="N584" s="59" t="inlineStr">
        <x:is>
          <x:t xml:space="preserve">她获得了本年度全国先进工作者称号</x:t>
        </x:is>
      </x:c>
      <x:c r="O584" s="58" t="inlineStr">
        <x:is>
          <x:t xml:space="preserve">中</x:t>
        </x:is>
      </x:c>
      <x:c r="P584" s="58" t="inlineStr">
        <x:is>
          <x:t xml:space="preserve">是</x:t>
        </x:is>
      </x:c>
      <x:c r="Q584" s="59" t="inlineStr">
        <x:is>
          <x:t xml:space="preserve">该称号是否更名存在不同主张，但转述时不可擅改</x:t>
        </x:is>
      </x:c>
      <x:c r="R584" s="60" t="inlineStr">
        <x:is>
          <x:t xml:space="preserve">隔离·待确认</x:t>
        </x:is>
      </x:c>
      <x:c r="S584" s="60" t="inlineStr">
        <x:is>
          <x:t xml:space="preserve"/>
        </x:is>
      </x:c>
      <x:c r="T584" s="60" t="inlineStr">
        <x:is>
          <x:t xml:space="preserve">触发词不含性别编码——判断可能依赖世界知识而非句内信息</x:t>
        </x:is>
      </x:c>
    </x:row>
    <x:row r="585" s="37" customFormat="1" ht="29.850000381469727" customHeight="1">
      <x:c r="A585" s="55" t="inlineStr">
        <x:is>
          <x:t xml:space="preserve">NEG-0584</x:t>
        </x:is>
      </x:c>
      <x:c r="B585" s="55" t="inlineStr">
        <x:is>
          <x:t xml:space="preserve">v1</x:t>
        </x:is>
      </x:c>
      <x:c r="C585" s="56" t="inlineStr">
        <x:is>
          <x:t xml:space="preserve">四、专有名词与固定名称</x:t>
        </x:is>
      </x:c>
      <x:c r="D585" s="56" t="inlineStr">
        <x:is>
          <x:t xml:space="preserve">4.3 奖项、荣誉与称号</x:t>
        </x:is>
      </x:c>
      <x:c r="E585" s="56" t="inlineStr">
        <x:is>
          <x:t xml:space="preserve">规范示例（基线）</x:t>
        </x:is>
      </x:c>
      <x:c r="F585" s="56" t="inlineStr">
        <x:is>
          <x:t xml:space="preserve">规范示例句</x:t>
        </x:is>
      </x:c>
      <x:c r="G585" s="55" t="inlineStr">
        <x:is>
          <x:t xml:space="preserve">无</x:t>
        </x:is>
      </x:c>
      <x:c r="H585" s="55" t="str">
        <x:f>IF(LEN(I585)&lt;15,"短",IF(LEN(I585)&lt;=45,"中","长"))</x:f>
        <x:v>中</x:v>
      </x:c>
      <x:c r="I585" s="56" t="inlineStr">
        <x:is>
          <x:t xml:space="preserve">影片获得本届电影节最佳女主角提名。</x:t>
        </x:is>
      </x:c>
      <x:c r="J585" s="56" t="str">
        <x:f>I585</x:f>
        <x:v>影片获得本届电影节最佳女主角提名。</x:v>
      </x:c>
      <x:c r="K585" s="55" t="inlineStr">
        <x:is>
          <x:t xml:space="preserve">无需改写</x:t>
        </x:is>
      </x:c>
      <x:c r="L585" s="56" t="inlineStr">
        <x:is>
          <x:t xml:space="preserve">最佳女主角</x:t>
        </x:is>
      </x:c>
      <x:c r="M585" s="56" t="inlineStr">
        <x:is>
          <x:t xml:space="preserve">奖项设置的正式名称</x:t>
        </x:is>
      </x:c>
      <x:c r="N585" s="56" t="inlineStr">
        <x:is>
          <x:t xml:space="preserve">影片获得本届电影节最佳主角提名</x:t>
        </x:is>
      </x:c>
      <x:c r="O585" s="55" t="inlineStr">
        <x:is>
          <x:t xml:space="preserve">易</x:t>
        </x:is>
      </x:c>
      <x:c r="P585" s="55" t="inlineStr">
        <x:is>
          <x:t xml:space="preserve">是</x:t>
        </x:is>
      </x:c>
      <x:c r="Q585" s="56" t="inlineStr">
        <x:is>
          <x:t xml:space="preserve">少数电影节已取消性别分设奖项，但不影响既有奖项名称的引用</x:t>
        </x:is>
      </x:c>
      <x:c r="R585" s="57" t="inlineStr">
        <x:is>
          <x:t xml:space="preserve">主集</x:t>
        </x:is>
      </x:c>
      <x:c r="S585" s="57" t="inlineStr">
        <x:is>
          <x:t xml:space="preserve">test</x:t>
        </x:is>
      </x:c>
      <x:c r="T585" s="57" t="inlineStr">
        <x:is>
          <x:t xml:space="preserve"/>
        </x:is>
      </x:c>
    </x:row>
    <x:row r="586" s="37" customFormat="1" ht="29.850000381469727" customHeight="1">
      <x:c r="A586" s="55" t="inlineStr">
        <x:is>
          <x:t xml:space="preserve">NEG-0585</x:t>
        </x:is>
      </x:c>
      <x:c r="B586" s="55" t="inlineStr">
        <x:is>
          <x:t xml:space="preserve">v1</x:t>
        </x:is>
      </x:c>
      <x:c r="C586" s="56" t="inlineStr">
        <x:is>
          <x:t xml:space="preserve">四、专有名词与固定名称</x:t>
        </x:is>
      </x:c>
      <x:c r="D586" s="56" t="inlineStr">
        <x:is>
          <x:t xml:space="preserve">4.4 节日与纪念日</x:t>
        </x:is>
      </x:c>
      <x:c r="E586" s="56" t="inlineStr">
        <x:is>
          <x:t xml:space="preserve">规范示例（基线）</x:t>
        </x:is>
      </x:c>
      <x:c r="F586" s="56" t="inlineStr">
        <x:is>
          <x:t xml:space="preserve">规范示例句</x:t>
        </x:is>
      </x:c>
      <x:c r="G586" s="55" t="inlineStr">
        <x:is>
          <x:t xml:space="preserve">无</x:t>
        </x:is>
      </x:c>
      <x:c r="H586" s="55" t="str">
        <x:f>IF(LEN(I586)&lt;15,"短",IF(LEN(I586)&lt;=45,"中","长"))</x:f>
        <x:v>中</x:v>
      </x:c>
      <x:c r="I586" s="56" t="inlineStr">
        <x:is>
          <x:t xml:space="preserve">国际妇女节起源于 20 世纪初的劳工运动。</x:t>
        </x:is>
      </x:c>
      <x:c r="J586" s="56" t="str">
        <x:f>I586</x:f>
        <x:v>国际妇女节起源于 20 世纪初的劳工运动。</x:v>
      </x:c>
      <x:c r="K586" s="55" t="inlineStr">
        <x:is>
          <x:t xml:space="preserve">无需改写</x:t>
        </x:is>
      </x:c>
      <x:c r="L586" s="56" t="inlineStr">
        <x:is>
          <x:t xml:space="preserve">国际妇女节</x:t>
        </x:is>
      </x:c>
      <x:c r="M586" s="56" t="inlineStr">
        <x:is>
          <x:t xml:space="preserve">节日正式名称</x:t>
        </x:is>
      </x:c>
      <x:c r="N586" s="56" t="inlineStr">
        <x:is>
          <x:t xml:space="preserve">国际劳动者节起源于 20 世纪初的劳工运动</x:t>
        </x:is>
      </x:c>
      <x:c r="O586" s="55" t="inlineStr">
        <x:is>
          <x:t xml:space="preserve">易</x:t>
        </x:is>
      </x:c>
      <x:c r="P586" s="55" t="inlineStr">
        <x:is>
          <x:t xml:space="preserve">否</x:t>
        </x:is>
      </x:c>
      <x:c r="Q586" s="56" t="n"/>
      <x:c r="R586" s="57" t="inlineStr">
        <x:is>
          <x:t xml:space="preserve">主集</x:t>
        </x:is>
      </x:c>
      <x:c r="S586" s="57" t="inlineStr">
        <x:is>
          <x:t xml:space="preserve">dev</x:t>
        </x:is>
      </x:c>
      <x:c r="T586" s="57" t="inlineStr">
        <x:is>
          <x:t xml:space="preserve"/>
        </x:is>
      </x:c>
    </x:row>
    <x:row r="587" s="37" customFormat="1" ht="29.850000381469727" customHeight="1">
      <x:c r="A587" s="55" t="inlineStr">
        <x:is>
          <x:t xml:space="preserve">NEG-0586</x:t>
        </x:is>
      </x:c>
      <x:c r="B587" s="55" t="inlineStr">
        <x:is>
          <x:t xml:space="preserve">v1</x:t>
        </x:is>
      </x:c>
      <x:c r="C587" s="56" t="inlineStr">
        <x:is>
          <x:t xml:space="preserve">四、专有名词与固定名称</x:t>
        </x:is>
      </x:c>
      <x:c r="D587" s="56" t="inlineStr">
        <x:is>
          <x:t xml:space="preserve">4.4 节日与纪念日</x:t>
        </x:is>
      </x:c>
      <x:c r="E587" s="56" t="inlineStr">
        <x:is>
          <x:t xml:space="preserve">规范示例（基线）</x:t>
        </x:is>
      </x:c>
      <x:c r="F587" s="56" t="inlineStr">
        <x:is>
          <x:t xml:space="preserve">规范示例句</x:t>
        </x:is>
      </x:c>
      <x:c r="G587" s="55" t="inlineStr">
        <x:is>
          <x:t xml:space="preserve">无</x:t>
        </x:is>
      </x:c>
      <x:c r="H587" s="55" t="str">
        <x:f>IF(LEN(I587)&lt;15,"短",IF(LEN(I587)&lt;=45,"中","长"))</x:f>
        <x:v>中</x:v>
      </x:c>
      <x:c r="I587" s="56" t="inlineStr">
        <x:is>
          <x:t xml:space="preserve">11 月 25 日是消除对妇女暴力国际日。</x:t>
        </x:is>
      </x:c>
      <x:c r="J587" s="56" t="str">
        <x:f>I587</x:f>
        <x:v>11 月 25 日是消除对妇女暴力国际日。</x:v>
      </x:c>
      <x:c r="K587" s="55" t="inlineStr">
        <x:is>
          <x:t xml:space="preserve">无需改写</x:t>
        </x:is>
      </x:c>
      <x:c r="L587" s="56" t="inlineStr">
        <x:is>
          <x:t xml:space="preserve">妇女</x:t>
        </x:is>
      </x:c>
      <x:c r="M587" s="56" t="inlineStr">
        <x:is>
          <x:t xml:space="preserve">联合国确定的纪念日名称</x:t>
        </x:is>
      </x:c>
      <x:c r="N587" s="56" t="inlineStr">
        <x:is>
          <x:t xml:space="preserve">11 月 25 日是消除暴力国际日</x:t>
        </x:is>
      </x:c>
      <x:c r="O587" s="55" t="inlineStr">
        <x:is>
          <x:t xml:space="preserve">易</x:t>
        </x:is>
      </x:c>
      <x:c r="P587" s="55" t="inlineStr">
        <x:is>
          <x:t xml:space="preserve">否</x:t>
        </x:is>
      </x:c>
      <x:c r="Q587" s="56" t="n"/>
      <x:c r="R587" s="57" t="inlineStr">
        <x:is>
          <x:t xml:space="preserve">主集</x:t>
        </x:is>
      </x:c>
      <x:c r="S587" s="57" t="inlineStr">
        <x:is>
          <x:t xml:space="preserve">index</x:t>
        </x:is>
      </x:c>
      <x:c r="T587" s="57" t="inlineStr">
        <x:is>
          <x:t xml:space="preserve"/>
        </x:is>
      </x:c>
    </x:row>
    <x:row r="588" s="37" customFormat="1" ht="29.850000381469727" customHeight="1">
      <x:c r="A588" s="55" t="inlineStr">
        <x:is>
          <x:t xml:space="preserve">NEG-0587</x:t>
        </x:is>
      </x:c>
      <x:c r="B588" s="55" t="inlineStr">
        <x:is>
          <x:t xml:space="preserve">v1</x:t>
        </x:is>
      </x:c>
      <x:c r="C588" s="56" t="inlineStr">
        <x:is>
          <x:t xml:space="preserve">四、专有名词与固定名称</x:t>
        </x:is>
      </x:c>
      <x:c r="D588" s="56" t="inlineStr">
        <x:is>
          <x:t xml:space="preserve">4.5 作品名与文化产品</x:t>
        </x:is>
      </x:c>
      <x:c r="E588" s="56" t="inlineStr">
        <x:is>
          <x:t xml:space="preserve">规范示例（基线）</x:t>
        </x:is>
      </x:c>
      <x:c r="F588" s="56" t="inlineStr">
        <x:is>
          <x:t xml:space="preserve">规范示例句</x:t>
        </x:is>
      </x:c>
      <x:c r="G588" s="55" t="inlineStr">
        <x:is>
          <x:t xml:space="preserve">无</x:t>
        </x:is>
      </x:c>
      <x:c r="H588" s="55" t="str">
        <x:f>IF(LEN(I588)&lt;15,"短",IF(LEN(I588)&lt;=45,"中","长"))</x:f>
        <x:v>中</x:v>
      </x:c>
      <x:c r="I588" s="56" t="inlineStr">
        <x:is>
          <x:t xml:space="preserve">波伏娃的《第二性》被视为女性主义理论的奠基之作。</x:t>
        </x:is>
      </x:c>
      <x:c r="J588" s="56" t="str">
        <x:f>I588</x:f>
        <x:v>波伏娃的《第二性》被视为女性主义理论的奠基之作。</x:v>
      </x:c>
      <x:c r="K588" s="55" t="inlineStr">
        <x:is>
          <x:t xml:space="preserve">无需改写</x:t>
        </x:is>
      </x:c>
      <x:c r="L588" s="56" t="inlineStr">
        <x:is>
          <x:t xml:space="preserve">第二性 / 女性主义</x:t>
        </x:is>
      </x:c>
      <x:c r="M588" s="56" t="inlineStr">
        <x:is>
          <x:t xml:space="preserve">书名与学派名称</x:t>
        </x:is>
      </x:c>
      <x:c r="N588" s="56" t="inlineStr">
        <x:is>
          <x:t xml:space="preserve">波伏娃的著作被视为平权理论的奠基之作</x:t>
        </x:is>
      </x:c>
      <x:c r="O588" s="55" t="inlineStr">
        <x:is>
          <x:t xml:space="preserve">易</x:t>
        </x:is>
      </x:c>
      <x:c r="P588" s="55" t="inlineStr">
        <x:is>
          <x:t xml:space="preserve">否</x:t>
        </x:is>
      </x:c>
      <x:c r="Q588" s="56" t="n"/>
      <x:c r="R588" s="57" t="inlineStr">
        <x:is>
          <x:t xml:space="preserve">主集</x:t>
        </x:is>
      </x:c>
      <x:c r="S588" s="57" t="inlineStr">
        <x:is>
          <x:t xml:space="preserve">index</x:t>
        </x:is>
      </x:c>
      <x:c r="T588" s="57" t="inlineStr">
        <x:is>
          <x:t xml:space="preserve"/>
        </x:is>
      </x:c>
    </x:row>
    <x:row r="589" s="37" customFormat="1" ht="29.850000381469727" customHeight="1">
      <x:c r="A589" s="55" t="inlineStr">
        <x:is>
          <x:t xml:space="preserve">NEG-0588</x:t>
        </x:is>
      </x:c>
      <x:c r="B589" s="55" t="inlineStr">
        <x:is>
          <x:t xml:space="preserve">v1</x:t>
        </x:is>
      </x:c>
      <x:c r="C589" s="56" t="inlineStr">
        <x:is>
          <x:t xml:space="preserve">四、专有名词与固定名称</x:t>
        </x:is>
      </x:c>
      <x:c r="D589" s="56" t="inlineStr">
        <x:is>
          <x:t xml:space="preserve">4.5 作品名与文化产品</x:t>
        </x:is>
      </x:c>
      <x:c r="E589" s="56" t="inlineStr">
        <x:is>
          <x:t xml:space="preserve">规范示例（基线）</x:t>
        </x:is>
      </x:c>
      <x:c r="F589" s="56" t="inlineStr">
        <x:is>
          <x:t xml:space="preserve">规范示例句</x:t>
        </x:is>
      </x:c>
      <x:c r="G589" s="55" t="inlineStr">
        <x:is>
          <x:t xml:space="preserve">无</x:t>
        </x:is>
      </x:c>
      <x:c r="H589" s="55" t="str">
        <x:f>IF(LEN(I589)&lt;15,"短",IF(LEN(I589)&lt;=45,"中","长"))</x:f>
        <x:v>中</x:v>
      </x:c>
      <x:c r="I589" s="56" t="inlineStr">
        <x:is>
          <x:t xml:space="preserve">《82 年生的金智英》引发了关于女性处境的广泛讨论。</x:t>
        </x:is>
      </x:c>
      <x:c r="J589" s="56" t="str">
        <x:f>I589</x:f>
        <x:v>《82 年生的金智英》引发了关于女性处境的广泛讨论。</x:v>
      </x:c>
      <x:c r="K589" s="55" t="inlineStr">
        <x:is>
          <x:t xml:space="preserve">无需改写</x:t>
        </x:is>
      </x:c>
      <x:c r="L589" s="56" t="inlineStr">
        <x:is>
          <x:t xml:space="preserve">女性处境</x:t>
        </x:is>
      </x:c>
      <x:c r="M589" s="56" t="inlineStr">
        <x:is>
          <x:t xml:space="preserve">书名及其主题的准确概括</x:t>
        </x:is>
      </x:c>
      <x:c r="N589" s="56" t="inlineStr">
        <x:is>
          <x:t xml:space="preserve">《82 年生的金智英》引发了关于社会处境的广泛讨论</x:t>
        </x:is>
      </x:c>
      <x:c r="O589" s="55" t="inlineStr">
        <x:is>
          <x:t xml:space="preserve">易</x:t>
        </x:is>
      </x:c>
      <x:c r="P589" s="55" t="inlineStr">
        <x:is>
          <x:t xml:space="preserve">否</x:t>
        </x:is>
      </x:c>
      <x:c r="Q589" s="56" t="n"/>
      <x:c r="R589" s="57" t="inlineStr">
        <x:is>
          <x:t xml:space="preserve">主集</x:t>
        </x:is>
      </x:c>
      <x:c r="S589" s="57" t="inlineStr">
        <x:is>
          <x:t xml:space="preserve">index</x:t>
        </x:is>
      </x:c>
      <x:c r="T589" s="57" t="inlineStr">
        <x:is>
          <x:t xml:space="preserve"/>
        </x:is>
      </x:c>
    </x:row>
    <x:row r="590" s="37" customFormat="1" ht="29.850000381469727" customHeight="1">
      <x:c r="A590" s="58" t="inlineStr">
        <x:is>
          <x:t xml:space="preserve">NEG-0589</x:t>
        </x:is>
      </x:c>
      <x:c r="B590" s="58" t="inlineStr">
        <x:is>
          <x:t xml:space="preserve">v1</x:t>
        </x:is>
      </x:c>
      <x:c r="C590" s="59" t="inlineStr">
        <x:is>
          <x:t xml:space="preserve">四、专有名词与固定名称</x:t>
        </x:is>
      </x:c>
      <x:c r="D590" s="59" t="inlineStr">
        <x:is>
          <x:t xml:space="preserve">4.6 历史与制度术语</x:t>
        </x:is>
      </x:c>
      <x:c r="E590" s="59" t="inlineStr">
        <x:is>
          <x:t xml:space="preserve">规范示例（基线）</x:t>
        </x:is>
      </x:c>
      <x:c r="F590" s="59" t="inlineStr">
        <x:is>
          <x:t xml:space="preserve">规范示例句</x:t>
        </x:is>
      </x:c>
      <x:c r="G590" s="58" t="inlineStr">
        <x:is>
          <x:t xml:space="preserve">无</x:t>
        </x:is>
      </x:c>
      <x:c r="H590" s="58" t="str">
        <x:f>IF(LEN(I590)&lt;15,"短",IF(LEN(I590)&lt;=45,"中","长"))</x:f>
        <x:v>中</x:v>
      </x:c>
      <x:c r="I590" s="59" t="inlineStr">
        <x:is>
          <x:t xml:space="preserve">明清时期的贞节牌坊是研究当时性别制度的重要实物史料。</x:t>
        </x:is>
      </x:c>
      <x:c r="J590" s="59" t="str">
        <x:f>I590</x:f>
        <x:v>明清时期的贞节牌坊是研究当时性别制度的重要实物史料。</x:v>
      </x:c>
      <x:c r="K590" s="58" t="inlineStr">
        <x:is>
          <x:t xml:space="preserve">无需改写</x:t>
        </x:is>
      </x:c>
      <x:c r="L590" s="59" t="inlineStr">
        <x:is>
          <x:t xml:space="preserve">贞节牌坊</x:t>
        </x:is>
      </x:c>
      <x:c r="M590" s="59" t="inlineStr">
        <x:is>
          <x:t xml:space="preserve">历史事物名称，且句子本身是批判性研究表述</x:t>
        </x:is>
      </x:c>
      <x:c r="N590" s="59" t="inlineStr">
        <x:is>
          <x:t xml:space="preserve">明清时期的表彰建筑是研究当时社会制度的重要实物史料</x:t>
        </x:is>
      </x:c>
      <x:c r="O590" s="58" t="inlineStr">
        <x:is>
          <x:t xml:space="preserve">中</x:t>
        </x:is>
      </x:c>
      <x:c r="P590" s="58" t="inlineStr">
        <x:is>
          <x:t xml:space="preserve">否</x:t>
        </x:is>
      </x:c>
      <x:c r="Q590" s="59" t="n"/>
      <x:c r="R590" s="60" t="inlineStr">
        <x:is>
          <x:t xml:space="preserve">隔离·待确认</x:t>
        </x:is>
      </x:c>
      <x:c r="S590" s="60" t="inlineStr">
        <x:is>
          <x:t xml:space="preserve"/>
        </x:is>
      </x:c>
      <x:c r="T590" s="60" t="inlineStr">
        <x:is>
          <x:t xml:space="preserve">触发词不含性别编码——判断可能依赖世界知识而非句内信息</x:t>
        </x:is>
      </x:c>
    </x:row>
    <x:row r="591" s="37" customFormat="1" ht="29.850000381469727" customHeight="1">
      <x:c r="A591" s="55" t="inlineStr">
        <x:is>
          <x:t xml:space="preserve">NEG-0590</x:t>
        </x:is>
      </x:c>
      <x:c r="B591" s="55" t="inlineStr">
        <x:is>
          <x:t xml:space="preserve">v1</x:t>
        </x:is>
      </x:c>
      <x:c r="C591" s="56" t="inlineStr">
        <x:is>
          <x:t xml:space="preserve">四、专有名词与固定名称</x:t>
        </x:is>
      </x:c>
      <x:c r="D591" s="56" t="inlineStr">
        <x:is>
          <x:t xml:space="preserve">4.6 历史与制度术语</x:t>
        </x:is>
      </x:c>
      <x:c r="E591" s="56" t="inlineStr">
        <x:is>
          <x:t xml:space="preserve">规范示例（基线）</x:t>
        </x:is>
      </x:c>
      <x:c r="F591" s="56" t="inlineStr">
        <x:is>
          <x:t xml:space="preserve">规范示例句</x:t>
        </x:is>
      </x:c>
      <x:c r="G591" s="55" t="inlineStr">
        <x:is>
          <x:t xml:space="preserve">无</x:t>
        </x:is>
      </x:c>
      <x:c r="H591" s="55" t="str">
        <x:f>IF(LEN(I591)&lt;15,"短",IF(LEN(I591)&lt;=45,"中","长"))</x:f>
        <x:v>中</x:v>
      </x:c>
      <x:c r="I591" s="56" t="inlineStr">
        <x:is>
          <x:t xml:space="preserve">唐代户籍中的“男丁”与“女口”分别对应不同的赋役义务。</x:t>
        </x:is>
      </x:c>
      <x:c r="J591" s="56" t="str">
        <x:f>I591</x:f>
        <x:v>唐代户籍中的“男丁”与“女口”分别对应不同的赋役义务。</x:v>
      </x:c>
      <x:c r="K591" s="55" t="inlineStr">
        <x:is>
          <x:t xml:space="preserve">无需改写</x:t>
        </x:is>
      </x:c>
      <x:c r="L591" s="56" t="inlineStr">
        <x:is>
          <x:t xml:space="preserve">男丁 / 女口</x:t>
        </x:is>
      </x:c>
      <x:c r="M591" s="56" t="inlineStr">
        <x:is>
          <x:t xml:space="preserve">历史制度术语</x:t>
        </x:is>
      </x:c>
      <x:c r="N591" s="56" t="inlineStr">
        <x:is>
          <x:t xml:space="preserve">唐代户籍中的不同人口类别对应不同的赋役义务</x:t>
        </x:is>
      </x:c>
      <x:c r="O591" s="55" t="inlineStr">
        <x:is>
          <x:t xml:space="preserve">易</x:t>
        </x:is>
      </x:c>
      <x:c r="P591" s="55" t="inlineStr">
        <x:is>
          <x:t xml:space="preserve">否</x:t>
        </x:is>
      </x:c>
      <x:c r="Q591" s="56" t="n"/>
      <x:c r="R591" s="57" t="inlineStr">
        <x:is>
          <x:t xml:space="preserve">主集</x:t>
        </x:is>
      </x:c>
      <x:c r="S591" s="57" t="inlineStr">
        <x:is>
          <x:t xml:space="preserve">index</x:t>
        </x:is>
      </x:c>
      <x:c r="T591" s="57" t="inlineStr">
        <x:is>
          <x:t xml:space="preserve"/>
        </x:is>
      </x:c>
    </x:row>
    <x:row r="592" s="37" customFormat="1" ht="29.850000381469727" customHeight="1">
      <x:c r="A592" s="55" t="inlineStr">
        <x:is>
          <x:t xml:space="preserve">NEG-0591</x:t>
        </x:is>
      </x:c>
      <x:c r="B592" s="55" t="inlineStr">
        <x:is>
          <x:t xml:space="preserve">v1</x:t>
        </x:is>
      </x:c>
      <x:c r="C592" s="56" t="inlineStr">
        <x:is>
          <x:t xml:space="preserve">四、专有名词与固定名称</x:t>
        </x:is>
      </x:c>
      <x:c r="D592" s="56" t="inlineStr">
        <x:is>
          <x:t xml:space="preserve">4.6 历史与制度术语</x:t>
        </x:is>
      </x:c>
      <x:c r="E592" s="56" t="inlineStr">
        <x:is>
          <x:t xml:space="preserve">规范示例（基线）</x:t>
        </x:is>
      </x:c>
      <x:c r="F592" s="56" t="inlineStr">
        <x:is>
          <x:t xml:space="preserve">规范示例句</x:t>
        </x:is>
      </x:c>
      <x:c r="G592" s="55" t="inlineStr">
        <x:is>
          <x:t xml:space="preserve">无</x:t>
        </x:is>
      </x:c>
      <x:c r="H592" s="55" t="str">
        <x:f>IF(LEN(I592)&lt;15,"短",IF(LEN(I592)&lt;=45,"中","长"))</x:f>
        <x:v>中</x:v>
      </x:c>
      <x:c r="I592" s="56" t="inlineStr">
        <x:is>
          <x:t xml:space="preserve">童养媳制度在民国时期仍广泛存在于部分农村地区。</x:t>
        </x:is>
      </x:c>
      <x:c r="J592" s="56" t="str">
        <x:f>I592</x:f>
        <x:v>童养媳制度在民国时期仍广泛存在于部分农村地区。</x:v>
      </x:c>
      <x:c r="K592" s="55" t="inlineStr">
        <x:is>
          <x:t xml:space="preserve">无需改写</x:t>
        </x:is>
      </x:c>
      <x:c r="L592" s="56" t="inlineStr">
        <x:is>
          <x:t xml:space="preserve">童养媳</x:t>
        </x:is>
      </x:c>
      <x:c r="M592" s="56" t="inlineStr">
        <x:is>
          <x:t xml:space="preserve">历史制度名称</x:t>
        </x:is>
      </x:c>
      <x:c r="N592" s="56" t="inlineStr">
        <x:is>
          <x:t xml:space="preserve">早婚制度在民国时期仍广泛存在于部分农村地区</x:t>
        </x:is>
      </x:c>
      <x:c r="O592" s="55" t="inlineStr">
        <x:is>
          <x:t xml:space="preserve">易</x:t>
        </x:is>
      </x:c>
      <x:c r="P592" s="55" t="inlineStr">
        <x:is>
          <x:t xml:space="preserve">否</x:t>
        </x:is>
      </x:c>
      <x:c r="Q592" s="56" t="n"/>
      <x:c r="R592" s="57" t="inlineStr">
        <x:is>
          <x:t xml:space="preserve">主集</x:t>
        </x:is>
      </x:c>
      <x:c r="S592" s="57" t="inlineStr">
        <x:is>
          <x:t xml:space="preserve">dev</x:t>
        </x:is>
      </x:c>
      <x:c r="T592" s="57" t="inlineStr">
        <x:is>
          <x:t xml:space="preserve"/>
        </x:is>
      </x:c>
    </x:row>
    <x:row r="593" s="37" customFormat="1" ht="29.850000381469727" customHeight="1">
      <x:c r="A593" s="55" t="inlineStr">
        <x:is>
          <x:t xml:space="preserve">NEG-0592</x:t>
        </x:is>
      </x:c>
      <x:c r="B593" s="55" t="inlineStr">
        <x:is>
          <x:t xml:space="preserve">v1</x:t>
        </x:is>
      </x:c>
      <x:c r="C593" s="56" t="inlineStr">
        <x:is>
          <x:t xml:space="preserve">四、专有名词与固定名称</x:t>
        </x:is>
      </x:c>
      <x:c r="D593" s="56" t="inlineStr">
        <x:is>
          <x:t xml:space="preserve">4.7 学术与批判性概念</x:t>
        </x:is>
      </x:c>
      <x:c r="E593" s="56" t="inlineStr">
        <x:is>
          <x:t xml:space="preserve">规范示例（基线）</x:t>
        </x:is>
      </x:c>
      <x:c r="F593" s="56" t="inlineStr">
        <x:is>
          <x:t xml:space="preserve">规范示例句</x:t>
        </x:is>
      </x:c>
      <x:c r="G593" s="55" t="inlineStr">
        <x:is>
          <x:t xml:space="preserve">无</x:t>
        </x:is>
      </x:c>
      <x:c r="H593" s="55" t="str">
        <x:f>IF(LEN(I593)&lt;15,"短",IF(LEN(I593)&lt;=45,"中","长"))</x:f>
        <x:v>中</x:v>
      </x:c>
      <x:c r="I593" s="56" t="inlineStr">
        <x:is>
          <x:t xml:space="preserve">本文采用“男性凝视”这一概念分析广告文本的构图逻辑。</x:t>
        </x:is>
      </x:c>
      <x:c r="J593" s="56" t="str">
        <x:f>I593</x:f>
        <x:v>本文采用“男性凝视”这一概念分析广告文本的构图逻辑。</x:v>
      </x:c>
      <x:c r="K593" s="55" t="inlineStr">
        <x:is>
          <x:t xml:space="preserve">无需改写</x:t>
        </x:is>
      </x:c>
      <x:c r="L593" s="56" t="inlineStr">
        <x:is>
          <x:t xml:space="preserve">男性凝视</x:t>
        </x:is>
      </x:c>
      <x:c r="M593" s="56" t="inlineStr">
        <x:is>
          <x:t xml:space="preserve">学术术语，是分析工具而非作者立场</x:t>
        </x:is>
      </x:c>
      <x:c r="N593" s="56" t="inlineStr">
        <x:is>
          <x:t xml:space="preserve">本文采用“观看视角”这一概念分析广告文本的构图逻辑</x:t>
        </x:is>
      </x:c>
      <x:c r="O593" s="55" t="inlineStr">
        <x:is>
          <x:t xml:space="preserve">中</x:t>
        </x:is>
      </x:c>
      <x:c r="P593" s="55" t="inlineStr">
        <x:is>
          <x:t xml:space="preserve">否</x:t>
        </x:is>
      </x:c>
      <x:c r="Q593" s="56" t="inlineStr">
        <x:is>
          <x:t xml:space="preserve">批判性术语中的性别词是分析对象</x:t>
        </x:is>
      </x:c>
      <x:c r="R593" s="57" t="inlineStr">
        <x:is>
          <x:t xml:space="preserve">主集</x:t>
        </x:is>
      </x:c>
      <x:c r="S593" s="57" t="inlineStr">
        <x:is>
          <x:t xml:space="preserve">dev</x:t>
        </x:is>
      </x:c>
      <x:c r="T593" s="57" t="inlineStr">
        <x:is>
          <x:t xml:space="preserve"/>
        </x:is>
      </x:c>
    </x:row>
    <x:row r="594" s="37" customFormat="1" ht="29.850000381469727" customHeight="1">
      <x:c r="A594" s="55" t="inlineStr">
        <x:is>
          <x:t xml:space="preserve">NEG-0593</x:t>
        </x:is>
      </x:c>
      <x:c r="B594" s="55" t="inlineStr">
        <x:is>
          <x:t xml:space="preserve">v1</x:t>
        </x:is>
      </x:c>
      <x:c r="C594" s="56" t="inlineStr">
        <x:is>
          <x:t xml:space="preserve">四、专有名词与固定名称</x:t>
        </x:is>
      </x:c>
      <x:c r="D594" s="56" t="inlineStr">
        <x:is>
          <x:t xml:space="preserve">4.7 学术与批判性概念</x:t>
        </x:is>
      </x:c>
      <x:c r="E594" s="56" t="inlineStr">
        <x:is>
          <x:t xml:space="preserve">规范示例（基线）</x:t>
        </x:is>
      </x:c>
      <x:c r="F594" s="56" t="inlineStr">
        <x:is>
          <x:t xml:space="preserve">规范示例句</x:t>
        </x:is>
      </x:c>
      <x:c r="G594" s="55" t="inlineStr">
        <x:is>
          <x:t xml:space="preserve">无</x:t>
        </x:is>
      </x:c>
      <x:c r="H594" s="55" t="str">
        <x:f>IF(LEN(I594)&lt;15,"短",IF(LEN(I594)&lt;=45,"中","长"))</x:f>
        <x:v>中</x:v>
      </x:c>
      <x:c r="I594" s="56" t="inlineStr">
        <x:is>
          <x:t xml:space="preserve">父权制并非指个别男性的支配，而是一套制度性安排。</x:t>
        </x:is>
      </x:c>
      <x:c r="J594" s="56" t="str">
        <x:f>I594</x:f>
        <x:v>父权制并非指个别男性的支配，而是一套制度性安排。</x:v>
      </x:c>
      <x:c r="K594" s="55" t="inlineStr">
        <x:is>
          <x:t xml:space="preserve">无需改写</x:t>
        </x:is>
      </x:c>
      <x:c r="L594" s="56" t="inlineStr">
        <x:is>
          <x:t xml:space="preserve">父权制 / 男性</x:t>
        </x:is>
      </x:c>
      <x:c r="M594" s="56" t="inlineStr">
        <x:is>
          <x:t xml:space="preserve">学术概念及其界定，句子本身在澄清误解</x:t>
        </x:is>
      </x:c>
      <x:c r="N594" s="56" t="inlineStr">
        <x:is>
          <x:t xml:space="preserve">该制度并非指个别人的支配，而是一套制度性安排</x:t>
        </x:is>
      </x:c>
      <x:c r="O594" s="55" t="inlineStr">
        <x:is>
          <x:t xml:space="preserve">中</x:t>
        </x:is>
      </x:c>
      <x:c r="P594" s="55" t="inlineStr">
        <x:is>
          <x:t xml:space="preserve">否</x:t>
        </x:is>
      </x:c>
      <x:c r="Q594" s="56" t="n"/>
      <x:c r="R594" s="57" t="inlineStr">
        <x:is>
          <x:t xml:space="preserve">主集</x:t>
        </x:is>
      </x:c>
      <x:c r="S594" s="57" t="inlineStr">
        <x:is>
          <x:t xml:space="preserve">test</x:t>
        </x:is>
      </x:c>
      <x:c r="T594" s="57" t="inlineStr">
        <x:is>
          <x:t xml:space="preserve"/>
        </x:is>
      </x:c>
    </x:row>
    <x:row r="595" s="37" customFormat="1" ht="29.850000381469727" customHeight="1">
      <x:c r="A595" s="58" t="inlineStr">
        <x:is>
          <x:t xml:space="preserve">NEG-0594</x:t>
        </x:is>
      </x:c>
      <x:c r="B595" s="58" t="inlineStr">
        <x:is>
          <x:t xml:space="preserve">v1</x:t>
        </x:is>
      </x:c>
      <x:c r="C595" s="59" t="inlineStr">
        <x:is>
          <x:t xml:space="preserve">四、专有名词与固定名称</x:t>
        </x:is>
      </x:c>
      <x:c r="D595" s="59" t="inlineStr">
        <x:is>
          <x:t xml:space="preserve">4.7 学术与批判性概念</x:t>
        </x:is>
      </x:c>
      <x:c r="E595" s="59" t="inlineStr">
        <x:is>
          <x:t xml:space="preserve">规范示例（基线）</x:t>
        </x:is>
      </x:c>
      <x:c r="F595" s="59" t="inlineStr">
        <x:is>
          <x:t xml:space="preserve">规范示例句</x:t>
        </x:is>
      </x:c>
      <x:c r="G595" s="58" t="inlineStr">
        <x:is>
          <x:t xml:space="preserve">无</x:t>
        </x:is>
      </x:c>
      <x:c r="H595" s="58" t="str">
        <x:f>IF(LEN(I595)&lt;15,"短",IF(LEN(I595)&lt;=45,"中","长"))</x:f>
        <x:v>中</x:v>
      </x:c>
      <x:c r="I595" s="59" t="inlineStr">
        <x:is>
          <x:t xml:space="preserve">玻璃天花板现象在该行业的晋升数据中依然可见。</x:t>
        </x:is>
      </x:c>
      <x:c r="J595" s="59" t="str">
        <x:f>I595</x:f>
        <x:v>玻璃天花板现象在该行业的晋升数据中依然可见。</x:v>
      </x:c>
      <x:c r="K595" s="58" t="inlineStr">
        <x:is>
          <x:t xml:space="preserve">无需改写</x:t>
        </x:is>
      </x:c>
      <x:c r="L595" s="59" t="inlineStr">
        <x:is>
          <x:t xml:space="preserve">玻璃天花板</x:t>
        </x:is>
      </x:c>
      <x:c r="M595" s="59" t="inlineStr">
        <x:is>
          <x:t xml:space="preserve">学术与政策术语</x:t>
        </x:is>
      </x:c>
      <x:c r="N595" s="59" t="inlineStr">
        <x:is>
          <x:t xml:space="preserve">晋升壁垒现象在该行业的晋升数据中依然可见</x:t>
        </x:is>
      </x:c>
      <x:c r="O595" s="58" t="inlineStr">
        <x:is>
          <x:t xml:space="preserve">易</x:t>
        </x:is>
      </x:c>
      <x:c r="P595" s="58" t="inlineStr">
        <x:is>
          <x:t xml:space="preserve">否</x:t>
        </x:is>
      </x:c>
      <x:c r="Q595" s="59" t="n"/>
      <x:c r="R595" s="60" t="inlineStr">
        <x:is>
          <x:t xml:space="preserve">隔离·待确认</x:t>
        </x:is>
      </x:c>
      <x:c r="S595" s="60" t="inlineStr">
        <x:is>
          <x:t xml:space="preserve"/>
        </x:is>
      </x:c>
      <x:c r="T595" s="60" t="inlineStr">
        <x:is>
          <x:t xml:space="preserve">触发词不含性别编码——判断可能依赖世界知识而非句内信息</x:t>
        </x:is>
      </x:c>
    </x:row>
    <x:row r="596" s="37" customFormat="1" ht="29.850000381469727" customHeight="1">
      <x:c r="A596" s="55" t="inlineStr">
        <x:is>
          <x:t xml:space="preserve">NEG-0595</x:t>
        </x:is>
      </x:c>
      <x:c r="B596" s="55" t="inlineStr">
        <x:is>
          <x:t xml:space="preserve">v1</x:t>
        </x:is>
      </x:c>
      <x:c r="C596" s="56" t="inlineStr">
        <x:is>
          <x:t xml:space="preserve">四、专有名词与固定名称</x:t>
        </x:is>
      </x:c>
      <x:c r="D596" s="56" t="inlineStr">
        <x:is>
          <x:t xml:space="preserve">4.7 学术与批判性概念</x:t>
        </x:is>
      </x:c>
      <x:c r="E596" s="56" t="inlineStr">
        <x:is>
          <x:t xml:space="preserve">规范示例（基线）</x:t>
        </x:is>
      </x:c>
      <x:c r="F596" s="56" t="inlineStr">
        <x:is>
          <x:t xml:space="preserve">规范示例句</x:t>
        </x:is>
      </x:c>
      <x:c r="G596" s="55" t="inlineStr">
        <x:is>
          <x:t xml:space="preserve">无</x:t>
        </x:is>
      </x:c>
      <x:c r="H596" s="55" t="str">
        <x:f>IF(LEN(I596)&lt;15,"短",IF(LEN(I596)&lt;=45,"中","长"))</x:f>
        <x:v>中</x:v>
      </x:c>
      <x:c r="I596" s="56" t="inlineStr">
        <x:is>
          <x:t xml:space="preserve">“第二轮班”指女性在有偿劳动之外承担的无酬家务劳动。</x:t>
        </x:is>
      </x:c>
      <x:c r="J596" s="56" t="str">
        <x:f>I596</x:f>
        <x:v>“第二轮班”指女性在有偿劳动之外承担的无酬家务劳动。</x:v>
      </x:c>
      <x:c r="K596" s="55" t="inlineStr">
        <x:is>
          <x:t xml:space="preserve">无需改写</x:t>
        </x:is>
      </x:c>
      <x:c r="L596" s="56" t="inlineStr">
        <x:is>
          <x:t xml:space="preserve">女性</x:t>
        </x:is>
      </x:c>
      <x:c r="M596" s="56" t="inlineStr">
        <x:is>
          <x:t xml:space="preserve">术语的标准定义，删去性别则定义失效</x:t>
        </x:is>
      </x:c>
      <x:c r="N596" s="56" t="inlineStr">
        <x:is>
          <x:t xml:space="preserve">“第二轮班”指劳动者在有偿劳动之外承担的无酬家务劳动</x:t>
        </x:is>
      </x:c>
      <x:c r="O596" s="55" t="inlineStr">
        <x:is>
          <x:t xml:space="preserve">难</x:t>
        </x:is>
      </x:c>
      <x:c r="P596" s="55" t="inlineStr">
        <x:is>
          <x:t xml:space="preserve">否</x:t>
        </x:is>
      </x:c>
      <x:c r="Q596" s="56" t="inlineStr">
        <x:is>
          <x:t xml:space="preserve">高频误改：定义句中的性别词属于定义内容</x:t>
        </x:is>
      </x:c>
      <x:c r="R596" s="57" t="inlineStr">
        <x:is>
          <x:t xml:space="preserve">主集</x:t>
        </x:is>
      </x:c>
      <x:c r="S596" s="57" t="inlineStr">
        <x:is>
          <x:t xml:space="preserve">test</x:t>
        </x:is>
      </x:c>
      <x:c r="T596" s="57" t="inlineStr">
        <x:is>
          <x:t xml:space="preserve"/>
        </x:is>
      </x:c>
    </x:row>
    <x:row r="597" s="37" customFormat="1" ht="29.850000381469727" customHeight="1">
      <x:c r="A597" s="55" t="inlineStr">
        <x:is>
          <x:t xml:space="preserve">NEG-0596</x:t>
        </x:is>
      </x:c>
      <x:c r="B597" s="55" t="inlineStr">
        <x:is>
          <x:t xml:space="preserve">v1</x:t>
        </x:is>
      </x:c>
      <x:c r="C597" s="56" t="inlineStr">
        <x:is>
          <x:t xml:space="preserve">四、专有名词与固定名称</x:t>
        </x:is>
      </x:c>
      <x:c r="D597" s="56" t="inlineStr">
        <x:is>
          <x:t xml:space="preserve">4.7 学术与批判性概念</x:t>
        </x:is>
      </x:c>
      <x:c r="E597" s="56" t="inlineStr">
        <x:is>
          <x:t xml:space="preserve">规范示例（基线）</x:t>
        </x:is>
      </x:c>
      <x:c r="F597" s="56" t="inlineStr">
        <x:is>
          <x:t xml:space="preserve">规范示例句</x:t>
        </x:is>
      </x:c>
      <x:c r="G597" s="55" t="inlineStr">
        <x:is>
          <x:t xml:space="preserve">无</x:t>
        </x:is>
      </x:c>
      <x:c r="H597" s="55" t="str">
        <x:f>IF(LEN(I597)&lt;15,"短",IF(LEN(I597)&lt;=45,"中","长"))</x:f>
        <x:v>中</x:v>
      </x:c>
      <x:c r="I597" s="56" t="inlineStr">
        <x:is>
          <x:t xml:space="preserve">非二元、顺性别、跨性别是性别认同研究的基本范畴。</x:t>
        </x:is>
      </x:c>
      <x:c r="J597" s="56" t="str">
        <x:f>I597</x:f>
        <x:v>非二元、顺性别、跨性别是性别认同研究的基本范畴。</x:v>
      </x:c>
      <x:c r="K597" s="55" t="inlineStr">
        <x:is>
          <x:t xml:space="preserve">无需改写</x:t>
        </x:is>
      </x:c>
      <x:c r="L597" s="56" t="inlineStr">
        <x:is>
          <x:t xml:space="preserve">非二元 / 顺性别 / 跨性别</x:t>
        </x:is>
      </x:c>
      <x:c r="M597" s="56" t="inlineStr">
        <x:is>
          <x:t xml:space="preserve">学科基本术语</x:t>
        </x:is>
      </x:c>
      <x:c r="N597" s="56" t="inlineStr">
        <x:is>
          <x:t xml:space="preserve">相关概念是身份认同研究的基本范畴</x:t>
        </x:is>
      </x:c>
      <x:c r="O597" s="55" t="inlineStr">
        <x:is>
          <x:t xml:space="preserve">易</x:t>
        </x:is>
      </x:c>
      <x:c r="P597" s="55" t="inlineStr">
        <x:is>
          <x:t xml:space="preserve">否</x:t>
        </x:is>
      </x:c>
      <x:c r="Q597" s="56" t="n"/>
      <x:c r="R597" s="57" t="inlineStr">
        <x:is>
          <x:t xml:space="preserve">主集</x:t>
        </x:is>
      </x:c>
      <x:c r="S597" s="57" t="inlineStr">
        <x:is>
          <x:t xml:space="preserve">index</x:t>
        </x:is>
      </x:c>
      <x:c r="T597" s="57" t="inlineStr">
        <x:is>
          <x:t xml:space="preserve"/>
        </x:is>
      </x:c>
    </x:row>
    <x:row r="598" s="37" customFormat="1" ht="29.850000381469727" customHeight="1">
      <x:c r="A598" s="55" t="inlineStr">
        <x:is>
          <x:t xml:space="preserve">NEG-0597</x:t>
        </x:is>
      </x:c>
      <x:c r="B598" s="55" t="inlineStr">
        <x:is>
          <x:t xml:space="preserve">v1</x:t>
        </x:is>
      </x:c>
      <x:c r="C598" s="56" t="inlineStr">
        <x:is>
          <x:t xml:space="preserve">四、专有名词与固定名称</x:t>
        </x:is>
      </x:c>
      <x:c r="D598" s="56" t="inlineStr">
        <x:is>
          <x:t xml:space="preserve">4.8 品牌、产品与商业名称</x:t>
        </x:is>
      </x:c>
      <x:c r="E598" s="56" t="inlineStr">
        <x:is>
          <x:t xml:space="preserve">规范示例（基线）</x:t>
        </x:is>
      </x:c>
      <x:c r="F598" s="56" t="inlineStr">
        <x:is>
          <x:t xml:space="preserve">规范示例句</x:t>
        </x:is>
      </x:c>
      <x:c r="G598" s="55" t="inlineStr">
        <x:is>
          <x:t xml:space="preserve">无</x:t>
        </x:is>
      </x:c>
      <x:c r="H598" s="55" t="str">
        <x:f>IF(LEN(I598)&lt;15,"短",IF(LEN(I598)&lt;=45,"中","长"))</x:f>
        <x:v>中</x:v>
      </x:c>
      <x:c r="I598" s="56" t="inlineStr">
        <x:is>
          <x:t xml:space="preserve">商场三层为女装区，四层为男装区。</x:t>
        </x:is>
      </x:c>
      <x:c r="J598" s="56" t="str">
        <x:f>I598</x:f>
        <x:v>商场三层为女装区，四层为男装区。</x:v>
      </x:c>
      <x:c r="K598" s="55" t="inlineStr">
        <x:is>
          <x:t xml:space="preserve">无需改写</x:t>
        </x:is>
      </x:c>
      <x:c r="L598" s="56" t="inlineStr">
        <x:is>
          <x:t xml:space="preserve">女装 / 男装</x:t>
        </x:is>
      </x:c>
      <x:c r="M598" s="56" t="inlineStr">
        <x:is>
          <x:t xml:space="preserve">商品分类的既有名称与导购信息</x:t>
        </x:is>
      </x:c>
      <x:c r="N598" s="56" t="inlineStr">
        <x:is>
          <x:t xml:space="preserve">商场三层与四层均为服装区</x:t>
        </x:is>
      </x:c>
      <x:c r="O598" s="55" t="inlineStr">
        <x:is>
          <x:t xml:space="preserve">中</x:t>
        </x:is>
      </x:c>
      <x:c r="P598" s="55" t="inlineStr">
        <x:is>
          <x:t xml:space="preserve">是</x:t>
        </x:is>
      </x:c>
      <x:c r="Q598" s="56" t="inlineStr">
        <x:is>
          <x:t xml:space="preserve">部分品牌已推行无性别分区，但改写既有导视会造成信息错误</x:t>
        </x:is>
      </x:c>
      <x:c r="R598" s="57" t="inlineStr">
        <x:is>
          <x:t xml:space="preserve">主集</x:t>
        </x:is>
      </x:c>
      <x:c r="S598" s="57" t="inlineStr">
        <x:is>
          <x:t xml:space="preserve">index</x:t>
        </x:is>
      </x:c>
      <x:c r="T598" s="57" t="inlineStr">
        <x:is>
          <x:t xml:space="preserve"/>
        </x:is>
      </x:c>
    </x:row>
    <x:row r="599" s="37" customFormat="1" ht="29.850000381469727" customHeight="1">
      <x:c r="A599" s="55" t="inlineStr">
        <x:is>
          <x:t xml:space="preserve">NEG-0598</x:t>
        </x:is>
      </x:c>
      <x:c r="B599" s="55" t="inlineStr">
        <x:is>
          <x:t xml:space="preserve">v1</x:t>
        </x:is>
      </x:c>
      <x:c r="C599" s="56" t="inlineStr">
        <x:is>
          <x:t xml:space="preserve">四、专有名词与固定名称</x:t>
        </x:is>
      </x:c>
      <x:c r="D599" s="56" t="inlineStr">
        <x:is>
          <x:t xml:space="preserve">4.8 品牌、产品与商业名称</x:t>
        </x:is>
      </x:c>
      <x:c r="E599" s="56" t="inlineStr">
        <x:is>
          <x:t xml:space="preserve">规范示例（基线）</x:t>
        </x:is>
      </x:c>
      <x:c r="F599" s="56" t="inlineStr">
        <x:is>
          <x:t xml:space="preserve">规范示例句</x:t>
        </x:is>
      </x:c>
      <x:c r="G599" s="55" t="inlineStr">
        <x:is>
          <x:t xml:space="preserve">无</x:t>
        </x:is>
      </x:c>
      <x:c r="H599" s="55" t="str">
        <x:f>IF(LEN(I599)&lt;15,"短",IF(LEN(I599)&lt;=45,"中","长"))</x:f>
        <x:v>中</x:v>
      </x:c>
      <x:c r="I599" s="56" t="inlineStr">
        <x:is>
          <x:t xml:space="preserve">该系列注册商标为“淑女屋”，宣传物料中不得改动字样。</x:t>
        </x:is>
      </x:c>
      <x:c r="J599" s="56" t="str">
        <x:f>I599</x:f>
        <x:v>该系列注册商标为“淑女屋”，宣传物料中不得改动字样。</x:v>
      </x:c>
      <x:c r="K599" s="55" t="inlineStr">
        <x:is>
          <x:t xml:space="preserve">无需改写</x:t>
        </x:is>
      </x:c>
      <x:c r="L599" s="56" t="inlineStr">
        <x:is>
          <x:t xml:space="preserve">淑女屋</x:t>
        </x:is>
      </x:c>
      <x:c r="M599" s="56" t="inlineStr">
        <x:is>
          <x:t xml:space="preserve">注册商标受法律保护，擅改构成侵权风险</x:t>
        </x:is>
      </x:c>
      <x:c r="N599" s="56" t="inlineStr">
        <x:is>
          <x:t xml:space="preserve">该系列注册商标为“优雅屋”</x:t>
        </x:is>
      </x:c>
      <x:c r="O599" s="55" t="inlineStr">
        <x:is>
          <x:t xml:space="preserve">易</x:t>
        </x:is>
      </x:c>
      <x:c r="P599" s="55" t="inlineStr">
        <x:is>
          <x:t xml:space="preserve">否</x:t>
        </x:is>
      </x:c>
      <x:c r="Q599" s="56" t="n"/>
      <x:c r="R599" s="57" t="inlineStr">
        <x:is>
          <x:t xml:space="preserve">主集</x:t>
        </x:is>
      </x:c>
      <x:c r="S599" s="57" t="inlineStr">
        <x:is>
          <x:t xml:space="preserve">test</x:t>
        </x:is>
      </x:c>
      <x:c r="T599" s="57" t="inlineStr">
        <x:is>
          <x:t xml:space="preserve"/>
        </x:is>
      </x:c>
    </x:row>
    <x:row r="600" s="37" customFormat="1" ht="29.850000381469727" customHeight="1">
      <x:c r="A600" s="55" t="inlineStr">
        <x:is>
          <x:t xml:space="preserve">NEG-0599</x:t>
        </x:is>
      </x:c>
      <x:c r="B600" s="55" t="inlineStr">
        <x:is>
          <x:t xml:space="preserve">v1</x:t>
        </x:is>
      </x:c>
      <x:c r="C600" s="56" t="inlineStr">
        <x:is>
          <x:t xml:space="preserve">五、引用与转述</x:t>
        </x:is>
      </x:c>
      <x:c r="D600" s="56" t="inlineStr">
        <x:is>
          <x:t xml:space="preserve">5.1 直接引语</x:t>
        </x:is>
      </x:c>
      <x:c r="E600" s="56" t="inlineStr">
        <x:is>
          <x:t xml:space="preserve">规范示例（基线）</x:t>
        </x:is>
      </x:c>
      <x:c r="F600" s="56" t="inlineStr">
        <x:is>
          <x:t xml:space="preserve">规范示例句</x:t>
        </x:is>
      </x:c>
      <x:c r="G600" s="55" t="inlineStr">
        <x:is>
          <x:t xml:space="preserve">无</x:t>
        </x:is>
      </x:c>
      <x:c r="H600" s="55" t="str">
        <x:f>IF(LEN(I600)&lt;15,"短",IF(LEN(I600)&lt;=45,"中","长"))</x:f>
        <x:v>中</x:v>
      </x:c>
      <x:c r="I600" s="56" t="inlineStr">
        <x:is>
          <x:t xml:space="preserve">受访者原话是：“这活儿还是得找个男的干。”</x:t>
        </x:is>
      </x:c>
      <x:c r="J600" s="56" t="str">
        <x:f>I600</x:f>
        <x:v>受访者原话是：“这活儿还是得找个男的干。”</x:v>
      </x:c>
      <x:c r="K600" s="55" t="inlineStr">
        <x:is>
          <x:t xml:space="preserve">无需改写</x:t>
        </x:is>
      </x:c>
      <x:c r="L600" s="56" t="inlineStr">
        <x:is>
          <x:t xml:space="preserve">男的</x:t>
        </x:is>
      </x:c>
      <x:c r="M600" s="56" t="inlineStr">
        <x:is>
          <x:t xml:space="preserve">直接引语属证据材料，改写等同篡改</x:t>
        </x:is>
      </x:c>
      <x:c r="N600" s="56" t="inlineStr">
        <x:is>
          <x:t xml:space="preserve">受访者表示这项工作需要专人负责</x:t>
        </x:is>
      </x:c>
      <x:c r="O600" s="55" t="inlineStr">
        <x:is>
          <x:t xml:space="preserve">难</x:t>
        </x:is>
      </x:c>
      <x:c r="P600" s="55" t="inlineStr">
        <x:is>
          <x:t xml:space="preserve">否</x:t>
        </x:is>
      </x:c>
      <x:c r="Q600" s="56" t="inlineStr">
        <x:is>
          <x:t xml:space="preserve">可与“作者自述同一句话”构成最小对立对</x:t>
        </x:is>
      </x:c>
      <x:c r="R600" s="57" t="inlineStr">
        <x:is>
          <x:t xml:space="preserve">主集</x:t>
        </x:is>
      </x:c>
      <x:c r="S600" s="57" t="inlineStr">
        <x:is>
          <x:t xml:space="preserve">test</x:t>
        </x:is>
      </x:c>
      <x:c r="T600" s="57" t="inlineStr">
        <x:is>
          <x:t xml:space="preserve"/>
        </x:is>
      </x:c>
    </x:row>
    <x:row r="601" s="37" customFormat="1" ht="29.850000381469727" customHeight="1">
      <x:c r="A601" s="55" t="inlineStr">
        <x:is>
          <x:t xml:space="preserve">NEG-0600</x:t>
        </x:is>
      </x:c>
      <x:c r="B601" s="55" t="inlineStr">
        <x:is>
          <x:t xml:space="preserve">v1</x:t>
        </x:is>
      </x:c>
      <x:c r="C601" s="56" t="inlineStr">
        <x:is>
          <x:t xml:space="preserve">五、引用与转述</x:t>
        </x:is>
      </x:c>
      <x:c r="D601" s="56" t="inlineStr">
        <x:is>
          <x:t xml:space="preserve">5.1 直接引语</x:t>
        </x:is>
      </x:c>
      <x:c r="E601" s="56" t="inlineStr">
        <x:is>
          <x:t xml:space="preserve">规范示例（基线）</x:t>
        </x:is>
      </x:c>
      <x:c r="F601" s="56" t="inlineStr">
        <x:is>
          <x:t xml:space="preserve">规范示例句</x:t>
        </x:is>
      </x:c>
      <x:c r="G601" s="55" t="inlineStr">
        <x:is>
          <x:t xml:space="preserve">无</x:t>
        </x:is>
      </x:c>
      <x:c r="H601" s="55" t="str">
        <x:f>IF(LEN(I601)&lt;15,"短",IF(LEN(I601)&lt;=45,"中","长"))</x:f>
        <x:v>中</x:v>
      </x:c>
      <x:c r="I601" s="56" t="inlineStr">
        <x:is>
          <x:t xml:space="preserve">他在庭上供述：“我以为她一个女人不敢报警。”</x:t>
        </x:is>
      </x:c>
      <x:c r="J601" s="56" t="str">
        <x:f>I601</x:f>
        <x:v>他在庭上供述：“我以为她一个女人不敢报警。”</x:v>
      </x:c>
      <x:c r="K601" s="55" t="inlineStr">
        <x:is>
          <x:t xml:space="preserve">无需改写</x:t>
        </x:is>
      </x:c>
      <x:c r="L601" s="56" t="inlineStr">
        <x:is>
          <x:t xml:space="preserve">她 / 女人</x:t>
        </x:is>
      </x:c>
      <x:c r="M601" s="56" t="inlineStr">
        <x:is>
          <x:t xml:space="preserve">庭审供述原文，是定罪量刑的事实依据</x:t>
        </x:is>
      </x:c>
      <x:c r="N601" s="56" t="inlineStr">
        <x:is>
          <x:t xml:space="preserve">他在庭上供述称其低估了被害人的应对能力</x:t>
        </x:is>
      </x:c>
      <x:c r="O601" s="55" t="inlineStr">
        <x:is>
          <x:t xml:space="preserve">易</x:t>
        </x:is>
      </x:c>
      <x:c r="P601" s="55" t="inlineStr">
        <x:is>
          <x:t xml:space="preserve">否</x:t>
        </x:is>
      </x:c>
      <x:c r="Q601" s="56" t="n"/>
      <x:c r="R601" s="57" t="inlineStr">
        <x:is>
          <x:t xml:space="preserve">主集</x:t>
        </x:is>
      </x:c>
      <x:c r="S601" s="57" t="inlineStr">
        <x:is>
          <x:t xml:space="preserve">test</x:t>
        </x:is>
      </x:c>
      <x:c r="T601" s="57" t="inlineStr">
        <x:is>
          <x:t xml:space="preserve"/>
        </x:is>
      </x:c>
    </x:row>
    <x:row r="602" s="37" customFormat="1" ht="29.850000381469727" customHeight="1">
      <x:c r="A602" s="55" t="inlineStr">
        <x:is>
          <x:t xml:space="preserve">NEG-0601</x:t>
        </x:is>
      </x:c>
      <x:c r="B602" s="55" t="inlineStr">
        <x:is>
          <x:t xml:space="preserve">v1</x:t>
        </x:is>
      </x:c>
      <x:c r="C602" s="56" t="inlineStr">
        <x:is>
          <x:t xml:space="preserve">五、引用与转述</x:t>
        </x:is>
      </x:c>
      <x:c r="D602" s="56" t="inlineStr">
        <x:is>
          <x:t xml:space="preserve">5.1 直接引语</x:t>
        </x:is>
      </x:c>
      <x:c r="E602" s="56" t="inlineStr">
        <x:is>
          <x:t xml:space="preserve">规范示例（基线）</x:t>
        </x:is>
      </x:c>
      <x:c r="F602" s="56" t="inlineStr">
        <x:is>
          <x:t xml:space="preserve">规范示例句</x:t>
        </x:is>
      </x:c>
      <x:c r="G602" s="55" t="inlineStr">
        <x:is>
          <x:t xml:space="preserve">无</x:t>
        </x:is>
      </x:c>
      <x:c r="H602" s="55" t="str">
        <x:f>IF(LEN(I602)&lt;15,"短",IF(LEN(I602)&lt;=45,"中","长"))</x:f>
        <x:v>中</x:v>
      </x:c>
      <x:c r="I602" s="56" t="inlineStr">
        <x:is>
          <x:t xml:space="preserve">该主播在直播中说：“女生就别学编程了。”平台已对其作出处罚。</x:t>
        </x:is>
      </x:c>
      <x:c r="J602" s="56" t="str">
        <x:f>I602</x:f>
        <x:v>该主播在直播中说：“女生就别学编程了。”平台已对其作出处罚。</x:v>
      </x:c>
      <x:c r="K602" s="55" t="inlineStr">
        <x:is>
          <x:t xml:space="preserve">无需改写</x:t>
        </x:is>
      </x:c>
      <x:c r="L602" s="56" t="inlineStr">
        <x:is>
          <x:t xml:space="preserve">女生</x:t>
        </x:is>
      </x:c>
      <x:c r="M602" s="56" t="inlineStr">
        <x:is>
          <x:t xml:space="preserve">引述违规言论是处罚说明的必要组成</x:t>
        </x:is>
      </x:c>
      <x:c r="N602" s="56" t="inlineStr">
        <x:is>
          <x:t xml:space="preserve">该主播在直播中发表不当言论，平台已对其作出处罚</x:t>
        </x:is>
      </x:c>
      <x:c r="O602" s="55" t="inlineStr">
        <x:is>
          <x:t xml:space="preserve">中</x:t>
        </x:is>
      </x:c>
      <x:c r="P602" s="55" t="inlineStr">
        <x:is>
          <x:t xml:space="preserve">否</x:t>
        </x:is>
      </x:c>
      <x:c r="Q602" s="56" t="n"/>
      <x:c r="R602" s="57" t="inlineStr">
        <x:is>
          <x:t xml:space="preserve">主集</x:t>
        </x:is>
      </x:c>
      <x:c r="S602" s="57" t="inlineStr">
        <x:is>
          <x:t xml:space="preserve">index</x:t>
        </x:is>
      </x:c>
      <x:c r="T602" s="57" t="inlineStr">
        <x:is>
          <x:t xml:space="preserve"/>
        </x:is>
      </x:c>
    </x:row>
    <x:row r="603" s="37" customFormat="1" ht="29.850000381469727" customHeight="1">
      <x:c r="A603" s="55" t="inlineStr">
        <x:is>
          <x:t xml:space="preserve">NEG-0602</x:t>
        </x:is>
      </x:c>
      <x:c r="B603" s="55" t="inlineStr">
        <x:is>
          <x:t xml:space="preserve">v1</x:t>
        </x:is>
      </x:c>
      <x:c r="C603" s="56" t="inlineStr">
        <x:is>
          <x:t xml:space="preserve">五、引用与转述</x:t>
        </x:is>
      </x:c>
      <x:c r="D603" s="56" t="inlineStr">
        <x:is>
          <x:t xml:space="preserve">5.2 文献与史料</x:t>
        </x:is>
      </x:c>
      <x:c r="E603" s="56" t="inlineStr">
        <x:is>
          <x:t xml:space="preserve">规范示例（基线）</x:t>
        </x:is>
      </x:c>
      <x:c r="F603" s="56" t="inlineStr">
        <x:is>
          <x:t xml:space="preserve">规范示例句</x:t>
        </x:is>
      </x:c>
      <x:c r="G603" s="55" t="inlineStr">
        <x:is>
          <x:t xml:space="preserve">无</x:t>
        </x:is>
      </x:c>
      <x:c r="H603" s="55" t="str">
        <x:f>IF(LEN(I603)&lt;15,"短",IF(LEN(I603)&lt;=45,"中","长"))</x:f>
        <x:v>中</x:v>
      </x:c>
      <x:c r="I603" s="56" t="inlineStr">
        <x:is>
          <x:t xml:space="preserve">《论语·阳货》有“唯女子与小人为难养也”之语，历代注家解释纷纭。</x:t>
        </x:is>
      </x:c>
      <x:c r="J603" s="56" t="str">
        <x:f>I603</x:f>
        <x:v>《论语·阳货》有“唯女子与小人为难养也”之语，历代注家解释纷纭。</x:v>
      </x:c>
      <x:c r="K603" s="55" t="inlineStr">
        <x:is>
          <x:t xml:space="preserve">无需改写</x:t>
        </x:is>
      </x:c>
      <x:c r="L603" s="56" t="inlineStr">
        <x:is>
          <x:t xml:space="preserve">女子</x:t>
        </x:is>
      </x:c>
      <x:c r="M603" s="56" t="inlineStr">
        <x:is>
          <x:t xml:space="preserve">经典原文引用，可加注释但不改原文</x:t>
        </x:is>
      </x:c>
      <x:c r="N603" s="56" t="inlineStr">
        <x:is>
          <x:t xml:space="preserve">《论语·阳货》中有一句历来解释纷纭的话</x:t>
        </x:is>
      </x:c>
      <x:c r="O603" s="55" t="inlineStr">
        <x:is>
          <x:t xml:space="preserve">易</x:t>
        </x:is>
      </x:c>
      <x:c r="P603" s="55" t="inlineStr">
        <x:is>
          <x:t xml:space="preserve">否</x:t>
        </x:is>
      </x:c>
      <x:c r="Q603" s="56" t="n"/>
      <x:c r="R603" s="57" t="inlineStr">
        <x:is>
          <x:t xml:space="preserve">主集</x:t>
        </x:is>
      </x:c>
      <x:c r="S603" s="57" t="inlineStr">
        <x:is>
          <x:t xml:space="preserve">dev</x:t>
        </x:is>
      </x:c>
      <x:c r="T603" s="57" t="inlineStr">
        <x:is>
          <x:t xml:space="preserve"/>
        </x:is>
      </x:c>
    </x:row>
    <x:row r="604" s="37" customFormat="1" ht="29.850000381469727" customHeight="1">
      <x:c r="A604" s="55" t="inlineStr">
        <x:is>
          <x:t xml:space="preserve">NEG-0603</x:t>
        </x:is>
      </x:c>
      <x:c r="B604" s="55" t="inlineStr">
        <x:is>
          <x:t xml:space="preserve">v1</x:t>
        </x:is>
      </x:c>
      <x:c r="C604" s="56" t="inlineStr">
        <x:is>
          <x:t xml:space="preserve">五、引用与转述</x:t>
        </x:is>
      </x:c>
      <x:c r="D604" s="56" t="inlineStr">
        <x:is>
          <x:t xml:space="preserve">5.2 文献与史料</x:t>
        </x:is>
      </x:c>
      <x:c r="E604" s="56" t="inlineStr">
        <x:is>
          <x:t xml:space="preserve">规范示例（基线）</x:t>
        </x:is>
      </x:c>
      <x:c r="F604" s="56" t="inlineStr">
        <x:is>
          <x:t xml:space="preserve">规范示例句</x:t>
        </x:is>
      </x:c>
      <x:c r="G604" s="55" t="inlineStr">
        <x:is>
          <x:t xml:space="preserve">无</x:t>
        </x:is>
      </x:c>
      <x:c r="H604" s="55" t="str">
        <x:f>IF(LEN(I604)&lt;15,"短",IF(LEN(I604)&lt;=45,"中","长"))</x:f>
        <x:v>中</x:v>
      </x:c>
      <x:c r="I604" s="56" t="inlineStr">
        <x:is>
          <x:t xml:space="preserve">家书中写道：“儿此去平安，母亲勿念。”</x:t>
        </x:is>
      </x:c>
      <x:c r="J604" s="56" t="str">
        <x:f>I604</x:f>
        <x:v>家书中写道：“儿此去平安，母亲勿念。”</x:v>
      </x:c>
      <x:c r="K604" s="55" t="inlineStr">
        <x:is>
          <x:t xml:space="preserve">无需改写</x:t>
        </x:is>
      </x:c>
      <x:c r="L604" s="56" t="inlineStr">
        <x:is>
          <x:t xml:space="preserve">儿 / 母亲</x:t>
        </x:is>
      </x:c>
      <x:c r="M604" s="56" t="inlineStr">
        <x:is>
          <x:t xml:space="preserve">档案原文</x:t>
        </x:is>
      </x:c>
      <x:c r="N604" s="56" t="inlineStr">
        <x:is>
          <x:t xml:space="preserve">家书中表达了报平安之意</x:t>
        </x:is>
      </x:c>
      <x:c r="O604" s="55" t="inlineStr">
        <x:is>
          <x:t xml:space="preserve">易</x:t>
        </x:is>
      </x:c>
      <x:c r="P604" s="55" t="inlineStr">
        <x:is>
          <x:t xml:space="preserve">否</x:t>
        </x:is>
      </x:c>
      <x:c r="Q604" s="56" t="n"/>
      <x:c r="R604" s="57" t="inlineStr">
        <x:is>
          <x:t xml:space="preserve">主集</x:t>
        </x:is>
      </x:c>
      <x:c r="S604" s="57" t="inlineStr">
        <x:is>
          <x:t xml:space="preserve">test</x:t>
        </x:is>
      </x:c>
      <x:c r="T604" s="57" t="inlineStr">
        <x:is>
          <x:t xml:space="preserve"/>
        </x:is>
      </x:c>
    </x:row>
    <x:row r="605" s="37" customFormat="1" ht="29.850000381469727" customHeight="1">
      <x:c r="A605" s="55" t="inlineStr">
        <x:is>
          <x:t xml:space="preserve">NEG-0604</x:t>
        </x:is>
      </x:c>
      <x:c r="B605" s="55" t="inlineStr">
        <x:is>
          <x:t xml:space="preserve">v1</x:t>
        </x:is>
      </x:c>
      <x:c r="C605" s="56" t="inlineStr">
        <x:is>
          <x:t xml:space="preserve">五、引用与转述</x:t>
        </x:is>
      </x:c>
      <x:c r="D605" s="56" t="inlineStr">
        <x:is>
          <x:t xml:space="preserve">5.3 法律与官方文书原件</x:t>
        </x:is>
      </x:c>
      <x:c r="E605" s="56" t="inlineStr">
        <x:is>
          <x:t xml:space="preserve">规范示例（基线）</x:t>
        </x:is>
      </x:c>
      <x:c r="F605" s="56" t="inlineStr">
        <x:is>
          <x:t xml:space="preserve">规范示例句</x:t>
        </x:is>
      </x:c>
      <x:c r="G605" s="55" t="inlineStr">
        <x:is>
          <x:t xml:space="preserve">无</x:t>
        </x:is>
      </x:c>
      <x:c r="H605" s="55" t="str">
        <x:f>IF(LEN(I605)&lt;15,"短",IF(LEN(I605)&lt;=45,"中","长"))</x:f>
        <x:v>中</x:v>
      </x:c>
      <x:c r="I605" s="56" t="inlineStr">
        <x:is>
          <x:t xml:space="preserve">判决书载明：“被告人系女性，怀孕期间不适用逮捕强制措施。”</x:t>
        </x:is>
      </x:c>
      <x:c r="J605" s="56" t="str">
        <x:f>I605</x:f>
        <x:v>判决书载明：“被告人系女性，怀孕期间不适用逮捕强制措施。”</x:v>
      </x:c>
      <x:c r="K605" s="55" t="inlineStr">
        <x:is>
          <x:t xml:space="preserve">无需改写</x:t>
        </x:is>
      </x:c>
      <x:c r="L605" s="56" t="inlineStr">
        <x:is>
          <x:t xml:space="preserve">女性 / 怀孕</x:t>
        </x:is>
      </x:c>
      <x:c r="M605" s="56" t="inlineStr">
        <x:is>
          <x:t xml:space="preserve">裁判文书原文，且性别与妊娠是适用该条款的前提</x:t>
        </x:is>
      </x:c>
      <x:c r="N605" s="56" t="inlineStr">
        <x:is>
          <x:t xml:space="preserve">判决书载明被告人不适用逮捕强制措施</x:t>
        </x:is>
      </x:c>
      <x:c r="O605" s="55" t="inlineStr">
        <x:is>
          <x:t xml:space="preserve">易</x:t>
        </x:is>
      </x:c>
      <x:c r="P605" s="55" t="inlineStr">
        <x:is>
          <x:t xml:space="preserve">否</x:t>
        </x:is>
      </x:c>
      <x:c r="Q605" s="56" t="n"/>
      <x:c r="R605" s="57" t="inlineStr">
        <x:is>
          <x:t xml:space="preserve">主集</x:t>
        </x:is>
      </x:c>
      <x:c r="S605" s="57" t="inlineStr">
        <x:is>
          <x:t xml:space="preserve">dev</x:t>
        </x:is>
      </x:c>
      <x:c r="T605" s="57" t="inlineStr">
        <x:is>
          <x:t xml:space="preserve"/>
        </x:is>
      </x:c>
    </x:row>
    <x:row r="606" s="37" customFormat="1" ht="29.850000381469727" customHeight="1">
      <x:c r="A606" s="55" t="inlineStr">
        <x:is>
          <x:t xml:space="preserve">NEG-0605</x:t>
        </x:is>
      </x:c>
      <x:c r="B606" s="55" t="inlineStr">
        <x:is>
          <x:t xml:space="preserve">v1</x:t>
        </x:is>
      </x:c>
      <x:c r="C606" s="56" t="inlineStr">
        <x:is>
          <x:t xml:space="preserve">五、引用与转述</x:t>
        </x:is>
      </x:c>
      <x:c r="D606" s="56" t="inlineStr">
        <x:is>
          <x:t xml:space="preserve">5.4 研究与调查材料</x:t>
        </x:is>
      </x:c>
      <x:c r="E606" s="56" t="inlineStr">
        <x:is>
          <x:t xml:space="preserve">规范示例（基线）</x:t>
        </x:is>
      </x:c>
      <x:c r="F606" s="56" t="inlineStr">
        <x:is>
          <x:t xml:space="preserve">规范示例句</x:t>
        </x:is>
      </x:c>
      <x:c r="G606" s="55" t="inlineStr">
        <x:is>
          <x:t xml:space="preserve">无</x:t>
        </x:is>
      </x:c>
      <x:c r="H606" s="55" t="str">
        <x:f>IF(LEN(I606)&lt;15,"短",IF(LEN(I606)&lt;=45,"中","长"))</x:f>
        <x:v>中</x:v>
      </x:c>
      <x:c r="I606" s="56" t="inlineStr">
        <x:is>
          <x:t xml:space="preserve">问卷第 3 题选项为：①男 ②女 ③其他 ④不愿透露。</x:t>
        </x:is>
      </x:c>
      <x:c r="J606" s="56" t="str">
        <x:f>I606</x:f>
        <x:v>问卷第 3 题选项为：①男 ②女 ③其他 ④不愿透露。</x:v>
      </x:c>
      <x:c r="K606" s="55" t="inlineStr">
        <x:is>
          <x:t xml:space="preserve">无需改写</x:t>
        </x:is>
      </x:c>
      <x:c r="L606" s="56" t="inlineStr">
        <x:is>
          <x:t xml:space="preserve">男 / 女</x:t>
        </x:is>
      </x:c>
      <x:c r="M606" s="56" t="inlineStr">
        <x:is>
          <x:t xml:space="preserve">问卷题目原样呈现是方法学披露要求</x:t>
        </x:is>
      </x:c>
      <x:c r="N606" s="56" t="inlineStr">
        <x:is>
          <x:t xml:space="preserve">问卷第 3 题询问受访者的性别认同</x:t>
        </x:is>
      </x:c>
      <x:c r="O606" s="55" t="inlineStr">
        <x:is>
          <x:t xml:space="preserve">中</x:t>
        </x:is>
      </x:c>
      <x:c r="P606" s="55" t="inlineStr">
        <x:is>
          <x:t xml:space="preserve">否</x:t>
        </x:is>
      </x:c>
      <x:c r="Q606" s="56" t="n"/>
      <x:c r="R606" s="57" t="inlineStr">
        <x:is>
          <x:t xml:space="preserve">主集</x:t>
        </x:is>
      </x:c>
      <x:c r="S606" s="57" t="inlineStr">
        <x:is>
          <x:t xml:space="preserve">dev</x:t>
        </x:is>
      </x:c>
      <x:c r="T606" s="57" t="inlineStr">
        <x:is>
          <x:t xml:space="preserve"/>
        </x:is>
      </x:c>
    </x:row>
    <x:row r="607" s="37" customFormat="1" ht="29.850000381469727" customHeight="1">
      <x:c r="A607" s="55" t="inlineStr">
        <x:is>
          <x:t xml:space="preserve">NEG-0606</x:t>
        </x:is>
      </x:c>
      <x:c r="B607" s="55" t="inlineStr">
        <x:is>
          <x:t xml:space="preserve">v1</x:t>
        </x:is>
      </x:c>
      <x:c r="C607" s="56" t="inlineStr">
        <x:is>
          <x:t xml:space="preserve">五、引用与转述</x:t>
        </x:is>
      </x:c>
      <x:c r="D607" s="56" t="inlineStr">
        <x:is>
          <x:t xml:space="preserve">5.4 研究与调查材料</x:t>
        </x:is>
      </x:c>
      <x:c r="E607" s="56" t="inlineStr">
        <x:is>
          <x:t xml:space="preserve">规范示例（基线）</x:t>
        </x:is>
      </x:c>
      <x:c r="F607" s="56" t="inlineStr">
        <x:is>
          <x:t xml:space="preserve">规范示例句</x:t>
        </x:is>
      </x:c>
      <x:c r="G607" s="55" t="inlineStr">
        <x:is>
          <x:t xml:space="preserve">无</x:t>
        </x:is>
      </x:c>
      <x:c r="H607" s="55" t="str">
        <x:f>IF(LEN(I607)&lt;15,"短",IF(LEN(I607)&lt;=45,"中","长"))</x:f>
        <x:v>中</x:v>
      </x:c>
      <x:c r="I607" s="56" t="inlineStr">
        <x:is>
          <x:t xml:space="preserve">该量表包含“我认为男性应当承担家庭主要经济责任”等条目。</x:t>
        </x:is>
      </x:c>
      <x:c r="J607" s="56" t="str">
        <x:f>I607</x:f>
        <x:v>该量表包含“我认为男性应当承担家庭主要经济责任”等条目。</x:v>
      </x:c>
      <x:c r="K607" s="55" t="inlineStr">
        <x:is>
          <x:t xml:space="preserve">无需改写</x:t>
        </x:is>
      </x:c>
      <x:c r="L607" s="56" t="inlineStr">
        <x:is>
          <x:t xml:space="preserve">男性</x:t>
        </x:is>
      </x:c>
      <x:c r="M607" s="56" t="inlineStr">
        <x:is>
          <x:t xml:space="preserve">量表条目原文，改写将使测量失效</x:t>
        </x:is>
      </x:c>
      <x:c r="N607" s="56" t="inlineStr">
        <x:is>
          <x:t xml:space="preserve">该量表包含关于家庭经济责任分工的条目</x:t>
        </x:is>
      </x:c>
      <x:c r="O607" s="55" t="inlineStr">
        <x:is>
          <x:t xml:space="preserve">中</x:t>
        </x:is>
      </x:c>
      <x:c r="P607" s="55" t="inlineStr">
        <x:is>
          <x:t xml:space="preserve">否</x:t>
        </x:is>
      </x:c>
      <x:c r="Q607" s="56" t="n"/>
      <x:c r="R607" s="57" t="inlineStr">
        <x:is>
          <x:t xml:space="preserve">主集</x:t>
        </x:is>
      </x:c>
      <x:c r="S607" s="57" t="inlineStr">
        <x:is>
          <x:t xml:space="preserve">test</x:t>
        </x:is>
      </x:c>
      <x:c r="T607" s="57" t="inlineStr">
        <x:is>
          <x:t xml:space="preserve"/>
        </x:is>
      </x:c>
    </x:row>
    <x:row r="608" s="37" customFormat="1" ht="29.850000381469727" customHeight="1">
      <x:c r="A608" s="58" t="inlineStr">
        <x:is>
          <x:t xml:space="preserve">NEG-0607</x:t>
        </x:is>
      </x:c>
      <x:c r="B608" s="58" t="inlineStr">
        <x:is>
          <x:t xml:space="preserve">v1</x:t>
        </x:is>
      </x:c>
      <x:c r="C608" s="59" t="inlineStr">
        <x:is>
          <x:t xml:space="preserve">五、引用与转述</x:t>
        </x:is>
      </x:c>
      <x:c r="D608" s="59" t="inlineStr">
        <x:is>
          <x:t xml:space="preserve">5.4 研究与调查材料</x:t>
        </x:is>
      </x:c>
      <x:c r="E608" s="59" t="inlineStr">
        <x:is>
          <x:t xml:space="preserve">规范示例（基线）</x:t>
        </x:is>
      </x:c>
      <x:c r="F608" s="59" t="inlineStr">
        <x:is>
          <x:t xml:space="preserve">规范示例句</x:t>
        </x:is>
      </x:c>
      <x:c r="G608" s="58" t="inlineStr">
        <x:is>
          <x:t xml:space="preserve">无</x:t>
        </x:is>
      </x:c>
      <x:c r="H608" s="58" t="str">
        <x:f>IF(LEN(I608)&lt;15,"短",IF(LEN(I608)&lt;=45,"中","长"))</x:f>
        <x:v>中</x:v>
      </x:c>
      <x:c r="I608" s="59" t="inlineStr">
        <x:is>
          <x:t xml:space="preserve">原始数据集字段名为 gender_male_flag，导入时保持不变。</x:t>
        </x:is>
      </x:c>
      <x:c r="J608" s="59" t="str">
        <x:f>I608</x:f>
        <x:v>原始数据集字段名为 gender_male_flag，导入时保持不变。</x:v>
      </x:c>
      <x:c r="K608" s="58" t="inlineStr">
        <x:is>
          <x:t xml:space="preserve">无需改写</x:t>
        </x:is>
      </x:c>
      <x:c r="L608" s="59" t="inlineStr">
        <x:is>
          <x:t xml:space="preserve">gender_male_flag</x:t>
        </x:is>
      </x:c>
      <x:c r="M608" s="59" t="inlineStr">
        <x:is>
          <x:t xml:space="preserve">字段名属技术标识符，改动会破坏数据管线</x:t>
        </x:is>
      </x:c>
      <x:c r="N608" s="59" t="inlineStr">
        <x:is>
          <x:t xml:space="preserve">原始数据集字段名为 gender_flag，导入时保持不变</x:t>
        </x:is>
      </x:c>
      <x:c r="O608" s="58" t="inlineStr">
        <x:is>
          <x:t xml:space="preserve">易</x:t>
        </x:is>
      </x:c>
      <x:c r="P608" s="58" t="inlineStr">
        <x:is>
          <x:t xml:space="preserve">否</x:t>
        </x:is>
      </x:c>
      <x:c r="Q608" s="59" t="n"/>
      <x:c r="R608" s="60" t="inlineStr">
        <x:is>
          <x:t xml:space="preserve">隔离·待确认</x:t>
        </x:is>
      </x:c>
      <x:c r="S608" s="60" t="inlineStr">
        <x:is>
          <x:t xml:space="preserve"/>
        </x:is>
      </x:c>
      <x:c r="T608" s="60" t="inlineStr">
        <x:is>
          <x:t xml:space="preserve">触发词不含性别编码——判断可能依赖世界知识而非句内信息</x:t>
        </x:is>
      </x:c>
    </x:row>
    <x:row r="609" s="37" customFormat="1" ht="29.850000381469727" customHeight="1">
      <x:c r="A609" s="55" t="inlineStr">
        <x:is>
          <x:t xml:space="preserve">NEG-0608</x:t>
        </x:is>
      </x:c>
      <x:c r="B609" s="55" t="inlineStr">
        <x:is>
          <x:t xml:space="preserve">v1</x:t>
        </x:is>
      </x:c>
      <x:c r="C609" s="56" t="inlineStr">
        <x:is>
          <x:t xml:space="preserve">五、引用与转述</x:t>
        </x:is>
      </x:c>
      <x:c r="D609" s="56" t="inlineStr">
        <x:is>
          <x:t xml:space="preserve">5.5 批判性转述与举例</x:t>
        </x:is>
      </x:c>
      <x:c r="E609" s="56" t="inlineStr">
        <x:is>
          <x:t xml:space="preserve">规范示例（基线）</x:t>
        </x:is>
      </x:c>
      <x:c r="F609" s="56" t="inlineStr">
        <x:is>
          <x:t xml:space="preserve">规范示例句</x:t>
        </x:is>
      </x:c>
      <x:c r="G609" s="55" t="inlineStr">
        <x:is>
          <x:t xml:space="preserve">无</x:t>
        </x:is>
      </x:c>
      <x:c r="H609" s="55" t="str">
        <x:f>IF(LEN(I609)&lt;15,"短",IF(LEN(I609)&lt;=45,"中","长"))</x:f>
        <x:v>中</x:v>
      </x:c>
      <x:c r="I609" s="56" t="inlineStr">
        <x:is>
          <x:t xml:space="preserve">社会上长期存在“女生学不好理科”的偏见。</x:t>
        </x:is>
      </x:c>
      <x:c r="J609" s="56" t="str">
        <x:f>I609</x:f>
        <x:v>社会上长期存在“女生学不好理科”的偏见。</x:v>
      </x:c>
      <x:c r="K609" s="55" t="inlineStr">
        <x:is>
          <x:t xml:space="preserve">无需改写</x:t>
        </x:is>
      </x:c>
      <x:c r="L609" s="56" t="inlineStr">
        <x:is>
          <x:t xml:space="preserve">女生</x:t>
        </x:is>
      </x:c>
      <x:c r="M609" s="56" t="inlineStr">
        <x:is>
          <x:t xml:space="preserve">转述并批判某一偏见，非持有该偏见</x:t>
        </x:is>
      </x:c>
      <x:c r="N609" s="56" t="inlineStr">
        <x:is>
          <x:t xml:space="preserve">社会上长期存在关于学科能力的偏见</x:t>
        </x:is>
      </x:c>
      <x:c r="O609" s="55" t="inlineStr">
        <x:is>
          <x:t xml:space="preserve">难</x:t>
        </x:is>
      </x:c>
      <x:c r="P609" s="55" t="inlineStr">
        <x:is>
          <x:t xml:space="preserve">否</x:t>
        </x:is>
      </x:c>
      <x:c r="Q609" s="56" t="inlineStr">
        <x:is>
          <x:t xml:space="preserve">高频误改：批判性转述被误判为刻板印象</x:t>
        </x:is>
      </x:c>
      <x:c r="R609" s="57" t="inlineStr">
        <x:is>
          <x:t xml:space="preserve">主集</x:t>
        </x:is>
      </x:c>
      <x:c r="S609" s="57" t="inlineStr">
        <x:is>
          <x:t xml:space="preserve">index</x:t>
        </x:is>
      </x:c>
      <x:c r="T609" s="57" t="inlineStr">
        <x:is>
          <x:t xml:space="preserve"/>
        </x:is>
      </x:c>
    </x:row>
    <x:row r="610" s="37" customFormat="1" ht="29.850000381469727" customHeight="1">
      <x:c r="A610" s="55" t="inlineStr">
        <x:is>
          <x:t xml:space="preserve">NEG-0609</x:t>
        </x:is>
      </x:c>
      <x:c r="B610" s="55" t="inlineStr">
        <x:is>
          <x:t xml:space="preserve">v1</x:t>
        </x:is>
      </x:c>
      <x:c r="C610" s="56" t="inlineStr">
        <x:is>
          <x:t xml:space="preserve">五、引用与转述</x:t>
        </x:is>
      </x:c>
      <x:c r="D610" s="56" t="inlineStr">
        <x:is>
          <x:t xml:space="preserve">5.5 批判性转述与举例</x:t>
        </x:is>
      </x:c>
      <x:c r="E610" s="56" t="inlineStr">
        <x:is>
          <x:t xml:space="preserve">规范示例（基线）</x:t>
        </x:is>
      </x:c>
      <x:c r="F610" s="56" t="inlineStr">
        <x:is>
          <x:t xml:space="preserve">规范示例句</x:t>
        </x:is>
      </x:c>
      <x:c r="G610" s="55" t="inlineStr">
        <x:is>
          <x:t xml:space="preserve">无</x:t>
        </x:is>
      </x:c>
      <x:c r="H610" s="55" t="str">
        <x:f>IF(LEN(I610)&lt;15,"短",IF(LEN(I610)&lt;=45,"中","长"))</x:f>
        <x:v>中</x:v>
      </x:c>
      <x:c r="I610" s="56" t="inlineStr">
        <x:is>
          <x:t xml:space="preserve">该招聘广告写有“限男性”，涉嫌构成就业性别歧视。</x:t>
        </x:is>
      </x:c>
      <x:c r="J610" s="56" t="str">
        <x:f>I610</x:f>
        <x:v>该招聘广告写有“限男性”，涉嫌构成就业性别歧视。</x:v>
      </x:c>
      <x:c r="K610" s="55" t="inlineStr">
        <x:is>
          <x:t xml:space="preserve">无需改写</x:t>
        </x:is>
      </x:c>
      <x:c r="L610" s="56" t="inlineStr">
        <x:is>
          <x:t xml:space="preserve">限男性</x:t>
        </x:is>
      </x:c>
      <x:c r="M610" s="56" t="inlineStr">
        <x:is>
          <x:t xml:space="preserve">举证式引用，删去则指控无依据</x:t>
        </x:is>
      </x:c>
      <x:c r="N610" s="56" t="inlineStr">
        <x:is>
          <x:t xml:space="preserve">该招聘广告设置了不当限制，涉嫌构成就业歧视</x:t>
        </x:is>
      </x:c>
      <x:c r="O610" s="55" t="inlineStr">
        <x:is>
          <x:t xml:space="preserve">难</x:t>
        </x:is>
      </x:c>
      <x:c r="P610" s="55" t="inlineStr">
        <x:is>
          <x:t xml:space="preserve">否</x:t>
        </x:is>
      </x:c>
      <x:c r="Q610" s="56" t="n"/>
      <x:c r="R610" s="57" t="inlineStr">
        <x:is>
          <x:t xml:space="preserve">主集</x:t>
        </x:is>
      </x:c>
      <x:c r="S610" s="57" t="inlineStr">
        <x:is>
          <x:t xml:space="preserve">index</x:t>
        </x:is>
      </x:c>
      <x:c r="T610" s="57" t="inlineStr">
        <x:is>
          <x:t xml:space="preserve"/>
        </x:is>
      </x:c>
    </x:row>
    <x:row r="611" s="37" customFormat="1" ht="29.850000381469727" customHeight="1">
      <x:c r="A611" s="55" t="inlineStr">
        <x:is>
          <x:t xml:space="preserve">NEG-0610</x:t>
        </x:is>
      </x:c>
      <x:c r="B611" s="55" t="inlineStr">
        <x:is>
          <x:t xml:space="preserve">v1</x:t>
        </x:is>
      </x:c>
      <x:c r="C611" s="56" t="inlineStr">
        <x:is>
          <x:t xml:space="preserve">五、引用与转述</x:t>
        </x:is>
      </x:c>
      <x:c r="D611" s="56" t="inlineStr">
        <x:is>
          <x:t xml:space="preserve">5.5 批判性转述与举例</x:t>
        </x:is>
      </x:c>
      <x:c r="E611" s="56" t="inlineStr">
        <x:is>
          <x:t xml:space="preserve">规范示例（基线）</x:t>
        </x:is>
      </x:c>
      <x:c r="F611" s="56" t="inlineStr">
        <x:is>
          <x:t xml:space="preserve">规范示例句</x:t>
        </x:is>
      </x:c>
      <x:c r="G611" s="55" t="inlineStr">
        <x:is>
          <x:t xml:space="preserve">无</x:t>
        </x:is>
      </x:c>
      <x:c r="H611" s="55" t="str">
        <x:f>IF(LEN(I611)&lt;15,"短",IF(LEN(I611)&lt;=45,"中","长"))</x:f>
        <x:v>中</x:v>
      </x:c>
      <x:c r="I611" s="56" t="inlineStr">
        <x:is>
          <x:t xml:space="preserve">培训教材列出的错误示例为：“每位工程师都应对他的代码负责。”</x:t>
        </x:is>
      </x:c>
      <x:c r="J611" s="56" t="str">
        <x:f>I611</x:f>
        <x:v>培训教材列出的错误示例为：“每位工程师都应对他的代码负责。”</x:v>
      </x:c>
      <x:c r="K611" s="55" t="inlineStr">
        <x:is>
          <x:t xml:space="preserve">无需改写</x:t>
        </x:is>
      </x:c>
      <x:c r="L611" s="56" t="inlineStr">
        <x:is>
          <x:t xml:space="preserve">他</x:t>
        </x:is>
      </x:c>
      <x:c r="M611" s="56" t="inlineStr">
        <x:is>
          <x:t xml:space="preserve">反面例句是教学材料本身，改写即取消教学功能</x:t>
        </x:is>
      </x:c>
      <x:c r="N611" s="56" t="inlineStr">
        <x:is>
          <x:t xml:space="preserve">培训教材列出的错误示例为：“每位工程师都应对自己的代码负责。”</x:t>
        </x:is>
      </x:c>
      <x:c r="O611" s="55" t="inlineStr">
        <x:is>
          <x:t xml:space="preserve">难</x:t>
        </x:is>
      </x:c>
      <x:c r="P611" s="55" t="inlineStr">
        <x:is>
          <x:t xml:space="preserve">否</x:t>
        </x:is>
      </x:c>
      <x:c r="Q611" s="56" t="inlineStr">
        <x:is>
          <x:t xml:space="preserve">最具迷惑性的样本：正确答案恰是不改动错误示例</x:t>
        </x:is>
      </x:c>
      <x:c r="R611" s="57" t="inlineStr">
        <x:is>
          <x:t xml:space="preserve">主集</x:t>
        </x:is>
      </x:c>
      <x:c r="S611" s="57" t="inlineStr">
        <x:is>
          <x:t xml:space="preserve">dev</x:t>
        </x:is>
      </x:c>
      <x:c r="T611" s="57" t="inlineStr">
        <x:is>
          <x:t xml:space="preserve"/>
        </x:is>
      </x:c>
    </x:row>
    <x:row r="612" s="37" customFormat="1" ht="29.850000381469727" customHeight="1">
      <x:c r="A612" s="58" t="inlineStr">
        <x:is>
          <x:t xml:space="preserve">NEG-0611</x:t>
        </x:is>
      </x:c>
      <x:c r="B612" s="58" t="inlineStr">
        <x:is>
          <x:t xml:space="preserve">v1</x:t>
        </x:is>
      </x:c>
      <x:c r="C612" s="59" t="inlineStr">
        <x:is>
          <x:t xml:space="preserve">五、引用与转述</x:t>
        </x:is>
      </x:c>
      <x:c r="D612" s="59" t="inlineStr">
        <x:is>
          <x:t xml:space="preserve">5.6 二手转述与新闻报道</x:t>
        </x:is>
      </x:c>
      <x:c r="E612" s="59" t="inlineStr">
        <x:is>
          <x:t xml:space="preserve">规范示例（基线）</x:t>
        </x:is>
      </x:c>
      <x:c r="F612" s="59" t="inlineStr">
        <x:is>
          <x:t xml:space="preserve">规范示例句</x:t>
        </x:is>
      </x:c>
      <x:c r="G612" s="58" t="inlineStr">
        <x:is>
          <x:t xml:space="preserve">无</x:t>
        </x:is>
      </x:c>
      <x:c r="H612" s="58" t="str">
        <x:f>IF(LEN(I612)&lt;15,"短",IF(LEN(I612)&lt;=45,"中","长"))</x:f>
        <x:v>中</x:v>
      </x:c>
      <x:c r="I612" s="59" t="inlineStr">
        <x:is>
          <x:t xml:space="preserve">报道称，当事人在会上被要求“回去生孩子”，随后提起劳动仲裁。</x:t>
        </x:is>
      </x:c>
      <x:c r="J612" s="59" t="str">
        <x:f>I612</x:f>
        <x:v>报道称，当事人在会上被要求“回去生孩子”，随后提起劳动仲裁。</x:v>
      </x:c>
      <x:c r="K612" s="58" t="inlineStr">
        <x:is>
          <x:t xml:space="preserve">无需改写</x:t>
        </x:is>
      </x:c>
      <x:c r="L612" s="59" t="inlineStr">
        <x:is>
          <x:t xml:space="preserve">生孩子</x:t>
        </x:is>
      </x:c>
      <x:c r="M612" s="59" t="inlineStr">
        <x:is>
          <x:t xml:space="preserve">新闻报道中的核心事实引述</x:t>
        </x:is>
      </x:c>
      <x:c r="N612" s="59" t="inlineStr">
        <x:is>
          <x:t xml:space="preserve">报道称当事人在会上受到不当对待，随后提起劳动仲裁</x:t>
        </x:is>
      </x:c>
      <x:c r="O612" s="58" t="inlineStr">
        <x:is>
          <x:t xml:space="preserve">中</x:t>
        </x:is>
      </x:c>
      <x:c r="P612" s="58" t="inlineStr">
        <x:is>
          <x:t xml:space="preserve">否</x:t>
        </x:is>
      </x:c>
      <x:c r="Q612" s="59" t="n"/>
      <x:c r="R612" s="60" t="inlineStr">
        <x:is>
          <x:t xml:space="preserve">隔离·待确认</x:t>
        </x:is>
      </x:c>
      <x:c r="S612" s="60" t="inlineStr">
        <x:is>
          <x:t xml:space="preserve"/>
        </x:is>
      </x:c>
      <x:c r="T612" s="60" t="inlineStr">
        <x:is>
          <x:t xml:space="preserve">触发词不含性别编码——判断可能依赖世界知识而非句内信息</x:t>
        </x:is>
      </x:c>
    </x:row>
    <x:row r="613" s="37" customFormat="1" ht="29.850000381469727" customHeight="1">
      <x:c r="A613" s="55" t="inlineStr">
        <x:is>
          <x:t xml:space="preserve">NEG-0612</x:t>
        </x:is>
      </x:c>
      <x:c r="B613" s="55" t="inlineStr">
        <x:is>
          <x:t xml:space="preserve">v1</x:t>
        </x:is>
      </x:c>
      <x:c r="C613" s="56" t="inlineStr">
        <x:is>
          <x:t xml:space="preserve">六、自我认同与自称</x:t>
        </x:is>
      </x:c>
      <x:c r="D613" s="56" t="inlineStr">
        <x:is>
          <x:t xml:space="preserve">6.1 自我描述的性别标签</x:t>
        </x:is>
      </x:c>
      <x:c r="E613" s="56" t="inlineStr">
        <x:is>
          <x:t xml:space="preserve">规范示例（基线）</x:t>
        </x:is>
      </x:c>
      <x:c r="F613" s="56" t="inlineStr">
        <x:is>
          <x:t xml:space="preserve">规范示例句</x:t>
        </x:is>
      </x:c>
      <x:c r="G613" s="55" t="inlineStr">
        <x:is>
          <x:t xml:space="preserve">无</x:t>
        </x:is>
      </x:c>
      <x:c r="H613" s="55" t="str">
        <x:f>IF(LEN(I613)&lt;15,"短",IF(LEN(I613)&lt;=45,"中","长"))</x:f>
        <x:v>中</x:v>
      </x:c>
      <x:c r="I613" s="56" t="inlineStr">
        <x:is>
          <x:t xml:space="preserve">她在演讲开场说：“我是一名女性工程师。”</x:t>
        </x:is>
      </x:c>
      <x:c r="J613" s="56" t="str">
        <x:f>I613</x:f>
        <x:v>她在演讲开场说：“我是一名女性工程师。”</x:v>
      </x:c>
      <x:c r="K613" s="55" t="inlineStr">
        <x:is>
          <x:t xml:space="preserve">无需改写</x:t>
        </x:is>
      </x:c>
      <x:c r="L613" s="56" t="inlineStr">
        <x:is>
          <x:t xml:space="preserve">女性工程师</x:t>
        </x:is>
      </x:c>
      <x:c r="M613" s="56" t="inlineStr">
        <x:is>
          <x:t xml:space="preserve">当事人主动强调的自我定位，通常承载表达意图</x:t>
        </x:is>
      </x:c>
      <x:c r="N613" s="56" t="inlineStr">
        <x:is>
          <x:t xml:space="preserve">她在演讲开场说：“我是一名工程师。”</x:t>
        </x:is>
      </x:c>
      <x:c r="O613" s="55" t="inlineStr">
        <x:is>
          <x:t xml:space="preserve">难</x:t>
        </x:is>
      </x:c>
      <x:c r="P613" s="55" t="inlineStr">
        <x:is>
          <x:t xml:space="preserve">否</x:t>
        </x:is>
      </x:c>
      <x:c r="Q613" s="56" t="inlineStr">
        <x:is>
          <x:t xml:space="preserve">与他人加注“女工程师”构成最小对立对</x:t>
        </x:is>
      </x:c>
      <x:c r="R613" s="57" t="inlineStr">
        <x:is>
          <x:t xml:space="preserve">主集</x:t>
        </x:is>
      </x:c>
      <x:c r="S613" s="57" t="inlineStr">
        <x:is>
          <x:t xml:space="preserve">dev</x:t>
        </x:is>
      </x:c>
      <x:c r="T613" s="57" t="inlineStr">
        <x:is>
          <x:t xml:space="preserve"/>
        </x:is>
      </x:c>
    </x:row>
    <x:row r="614" s="37" customFormat="1" ht="29.850000381469727" customHeight="1">
      <x:c r="A614" s="55" t="inlineStr">
        <x:is>
          <x:t xml:space="preserve">NEG-0613</x:t>
        </x:is>
      </x:c>
      <x:c r="B614" s="55" t="inlineStr">
        <x:is>
          <x:t xml:space="preserve">v1</x:t>
        </x:is>
      </x:c>
      <x:c r="C614" s="56" t="inlineStr">
        <x:is>
          <x:t xml:space="preserve">六、自我认同与自称</x:t>
        </x:is>
      </x:c>
      <x:c r="D614" s="56" t="inlineStr">
        <x:is>
          <x:t xml:space="preserve">6.1 自我描述的性别标签</x:t>
        </x:is>
      </x:c>
      <x:c r="E614" s="56" t="inlineStr">
        <x:is>
          <x:t xml:space="preserve">规范示例（基线）</x:t>
        </x:is>
      </x:c>
      <x:c r="F614" s="56" t="inlineStr">
        <x:is>
          <x:t xml:space="preserve">规范示例句</x:t>
        </x:is>
      </x:c>
      <x:c r="G614" s="55" t="inlineStr">
        <x:is>
          <x:t xml:space="preserve">无</x:t>
        </x:is>
      </x:c>
      <x:c r="H614" s="55" t="str">
        <x:f>IF(LEN(I614)&lt;15,"短",IF(LEN(I614)&lt;=45,"中","长"))</x:f>
        <x:v>短</x:v>
      </x:c>
      <x:c r="I614" s="56" t="inlineStr">
        <x:is>
          <x:t xml:space="preserve">我自称女汉子，这没什么不好。</x:t>
        </x:is>
      </x:c>
      <x:c r="J614" s="56" t="str">
        <x:f>I614</x:f>
        <x:v>我自称女汉子，这没什么不好。</x:v>
      </x:c>
      <x:c r="K614" s="55" t="inlineStr">
        <x:is>
          <x:t xml:space="preserve">无需改写</x:t>
        </x:is>
      </x:c>
      <x:c r="L614" s="56" t="inlineStr">
        <x:is>
          <x:t xml:space="preserve">女汉子</x:t>
        </x:is>
      </x:c>
      <x:c r="M614" s="56" t="inlineStr">
        <x:is>
          <x:t xml:space="preserve">自称属自我认同范畴，第三方改写构成新的规训</x:t>
        </x:is>
      </x:c>
      <x:c r="N614" s="56" t="inlineStr">
        <x:is>
          <x:t xml:space="preserve">我自称性格独立，这没什么不好</x:t>
        </x:is>
      </x:c>
      <x:c r="O614" s="55" t="inlineStr">
        <x:is>
          <x:t xml:space="preserve">难</x:t>
        </x:is>
      </x:c>
      <x:c r="P614" s="55" t="inlineStr">
        <x:is>
          <x:t xml:space="preserve">否</x:t>
        </x:is>
      </x:c>
      <x:c r="Q614" s="56" t="n"/>
      <x:c r="R614" s="57" t="inlineStr">
        <x:is>
          <x:t xml:space="preserve">主集</x:t>
        </x:is>
      </x:c>
      <x:c r="S614" s="57" t="inlineStr">
        <x:is>
          <x:t xml:space="preserve">index</x:t>
        </x:is>
      </x:c>
      <x:c r="T614" s="57" t="inlineStr">
        <x:is>
          <x:t xml:space="preserve"/>
        </x:is>
      </x:c>
    </x:row>
    <x:row r="615" s="37" customFormat="1" ht="29.850000381469727" customHeight="1">
      <x:c r="A615" s="55" t="inlineStr">
        <x:is>
          <x:t xml:space="preserve">NEG-0614</x:t>
        </x:is>
      </x:c>
      <x:c r="B615" s="55" t="inlineStr">
        <x:is>
          <x:t xml:space="preserve">v1</x:t>
        </x:is>
      </x:c>
      <x:c r="C615" s="56" t="inlineStr">
        <x:is>
          <x:t xml:space="preserve">六、自我认同与自称</x:t>
        </x:is>
      </x:c>
      <x:c r="D615" s="56" t="inlineStr">
        <x:is>
          <x:t xml:space="preserve">6.1 自我描述的性别标签</x:t>
        </x:is>
      </x:c>
      <x:c r="E615" s="56" t="inlineStr">
        <x:is>
          <x:t xml:space="preserve">规范示例（基线）</x:t>
        </x:is>
      </x:c>
      <x:c r="F615" s="56" t="inlineStr">
        <x:is>
          <x:t xml:space="preserve">规范示例句</x:t>
        </x:is>
      </x:c>
      <x:c r="G615" s="55" t="inlineStr">
        <x:is>
          <x:t xml:space="preserve">无</x:t>
        </x:is>
      </x:c>
      <x:c r="H615" s="55" t="str">
        <x:f>IF(LEN(I615)&lt;15,"短",IF(LEN(I615)&lt;=45,"中","长"))</x:f>
        <x:v>中</x:v>
      </x:c>
      <x:c r="I615" s="56" t="inlineStr">
        <x:is>
          <x:t xml:space="preserve">他在博客里写：“作为一个男护士，我经常被问同一个问题。”</x:t>
        </x:is>
      </x:c>
      <x:c r="J615" s="56" t="str">
        <x:f>I615</x:f>
        <x:v>他在博客里写：“作为一个男护士，我经常被问同一个问题。”</x:v>
      </x:c>
      <x:c r="K615" s="55" t="inlineStr">
        <x:is>
          <x:t xml:space="preserve">无需改写</x:t>
        </x:is>
      </x:c>
      <x:c r="L615" s="56" t="inlineStr">
        <x:is>
          <x:t xml:space="preserve">男护士</x:t>
        </x:is>
      </x:c>
      <x:c r="M615" s="56" t="inlineStr">
        <x:is>
          <x:t xml:space="preserve">当事人以此身份展开叙述，是文章立论起点</x:t>
        </x:is>
      </x:c>
      <x:c r="N615" s="56" t="inlineStr">
        <x:is>
          <x:t xml:space="preserve">他在博客里写：“作为一名护士，我经常被问同一个问题。”</x:t>
        </x:is>
      </x:c>
      <x:c r="O615" s="55" t="inlineStr">
        <x:is>
          <x:t xml:space="preserve">难</x:t>
        </x:is>
      </x:c>
      <x:c r="P615" s="55" t="inlineStr">
        <x:is>
          <x:t xml:space="preserve">否</x:t>
        </x:is>
      </x:c>
      <x:c r="Q615" s="56" t="n"/>
      <x:c r="R615" s="57" t="inlineStr">
        <x:is>
          <x:t xml:space="preserve">主集</x:t>
        </x:is>
      </x:c>
      <x:c r="S615" s="57" t="inlineStr">
        <x:is>
          <x:t xml:space="preserve">index</x:t>
        </x:is>
      </x:c>
      <x:c r="T615" s="57" t="inlineStr">
        <x:is>
          <x:t xml:space="preserve"/>
        </x:is>
      </x:c>
    </x:row>
    <x:row r="616" s="37" customFormat="1" ht="29.850000381469727" customHeight="1">
      <x:c r="A616" s="55" t="inlineStr">
        <x:is>
          <x:t xml:space="preserve">NEG-0615</x:t>
        </x:is>
      </x:c>
      <x:c r="B616" s="55" t="inlineStr">
        <x:is>
          <x:t xml:space="preserve">v1</x:t>
        </x:is>
      </x:c>
      <x:c r="C616" s="56" t="inlineStr">
        <x:is>
          <x:t xml:space="preserve">六、自我认同与自称</x:t>
        </x:is>
      </x:c>
      <x:c r="D616" s="56" t="inlineStr">
        <x:is>
          <x:t xml:space="preserve">6.1 自我描述的性别标签</x:t>
        </x:is>
      </x:c>
      <x:c r="E616" s="56" t="inlineStr">
        <x:is>
          <x:t xml:space="preserve">规范示例（基线）</x:t>
        </x:is>
      </x:c>
      <x:c r="F616" s="56" t="inlineStr">
        <x:is>
          <x:t xml:space="preserve">规范示例句</x:t>
        </x:is>
      </x:c>
      <x:c r="G616" s="55" t="inlineStr">
        <x:is>
          <x:t xml:space="preserve">无</x:t>
        </x:is>
      </x:c>
      <x:c r="H616" s="55" t="str">
        <x:f>IF(LEN(I616)&lt;15,"短",IF(LEN(I616)&lt;=45,"中","长"))</x:f>
        <x:v>中</x:v>
      </x:c>
      <x:c r="I616" s="56" t="inlineStr">
        <x:is>
          <x:t xml:space="preserve">她把自己的公众号命名为“全职妈妈观察日记”。</x:t>
        </x:is>
      </x:c>
      <x:c r="J616" s="56" t="str">
        <x:f>I616</x:f>
        <x:v>她把自己的公众号命名为“全职妈妈观察日记”。</x:v>
      </x:c>
      <x:c r="K616" s="55" t="inlineStr">
        <x:is>
          <x:t xml:space="preserve">无需改写</x:t>
        </x:is>
      </x:c>
      <x:c r="L616" s="56" t="inlineStr">
        <x:is>
          <x:t xml:space="preserve">全职妈妈</x:t>
        </x:is>
      </x:c>
      <x:c r="M616" s="56" t="inlineStr">
        <x:is>
          <x:t xml:space="preserve">自选名号</x:t>
        </x:is>
      </x:c>
      <x:c r="N616" s="56" t="inlineStr">
        <x:is>
          <x:t xml:space="preserve">她把自己的公众号命名为“全职家长观察日记”</x:t>
        </x:is>
      </x:c>
      <x:c r="O616" s="55" t="inlineStr">
        <x:is>
          <x:t xml:space="preserve">中</x:t>
        </x:is>
      </x:c>
      <x:c r="P616" s="55" t="inlineStr">
        <x:is>
          <x:t xml:space="preserve">否</x:t>
        </x:is>
      </x:c>
      <x:c r="Q616" s="56" t="n"/>
      <x:c r="R616" s="57" t="inlineStr">
        <x:is>
          <x:t xml:space="preserve">主集</x:t>
        </x:is>
      </x:c>
      <x:c r="S616" s="57" t="inlineStr">
        <x:is>
          <x:t xml:space="preserve">index</x:t>
        </x:is>
      </x:c>
      <x:c r="T616" s="57" t="inlineStr">
        <x:is>
          <x:t xml:space="preserve"/>
        </x:is>
      </x:c>
    </x:row>
    <x:row r="617" s="37" customFormat="1" ht="29.850000381469727" customHeight="1">
      <x:c r="A617" s="55" t="inlineStr">
        <x:is>
          <x:t xml:space="preserve">NEG-0616</x:t>
        </x:is>
      </x:c>
      <x:c r="B617" s="55" t="inlineStr">
        <x:is>
          <x:t xml:space="preserve">v1</x:t>
        </x:is>
      </x:c>
      <x:c r="C617" s="56" t="inlineStr">
        <x:is>
          <x:t xml:space="preserve">六、自我认同与自称</x:t>
        </x:is>
      </x:c>
      <x:c r="D617" s="56" t="inlineStr">
        <x:is>
          <x:t xml:space="preserve">6.2 主动声明的性别与代词</x:t>
        </x:is>
      </x:c>
      <x:c r="E617" s="56" t="inlineStr">
        <x:is>
          <x:t xml:space="preserve">规范示例（基线）</x:t>
        </x:is>
      </x:c>
      <x:c r="F617" s="56" t="inlineStr">
        <x:is>
          <x:t xml:space="preserve">规范示例句</x:t>
        </x:is>
      </x:c>
      <x:c r="G617" s="55" t="inlineStr">
        <x:is>
          <x:t xml:space="preserve">无</x:t>
        </x:is>
      </x:c>
      <x:c r="H617" s="55" t="str">
        <x:f>IF(LEN(I617)&lt;15,"短",IF(LEN(I617)&lt;=45,"中","长"))</x:f>
        <x:v>中</x:v>
      </x:c>
      <x:c r="I617" s="56" t="inlineStr">
        <x:is>
          <x:t xml:space="preserve">他在邮件签名中注明了代词：他／他的。</x:t>
        </x:is>
      </x:c>
      <x:c r="J617" s="56" t="str">
        <x:f>I617</x:f>
        <x:v>他在邮件签名中注明了代词：他／他的。</x:v>
      </x:c>
      <x:c r="K617" s="55" t="inlineStr">
        <x:is>
          <x:t xml:space="preserve">无需改写</x:t>
        </x:is>
      </x:c>
      <x:c r="L617" s="56" t="inlineStr">
        <x:is>
          <x:t xml:space="preserve">他／他的</x:t>
        </x:is>
      </x:c>
      <x:c r="M617" s="56" t="inlineStr">
        <x:is>
          <x:t xml:space="preserve">本人声明的代词偏好，按其声明使用即为包容</x:t>
        </x:is>
      </x:c>
      <x:c r="N617" s="56" t="inlineStr">
        <x:is>
          <x:t xml:space="preserve">他在邮件签名中注明了代词：TA／TA的</x:t>
        </x:is>
      </x:c>
      <x:c r="O617" s="55" t="inlineStr">
        <x:is>
          <x:t xml:space="preserve">难</x:t>
        </x:is>
      </x:c>
      <x:c r="P617" s="55" t="inlineStr">
        <x:is>
          <x:t xml:space="preserve">否</x:t>
        </x:is>
      </x:c>
      <x:c r="Q617" s="56" t="n"/>
      <x:c r="R617" s="57" t="inlineStr">
        <x:is>
          <x:t xml:space="preserve">主集</x:t>
        </x:is>
      </x:c>
      <x:c r="S617" s="57" t="inlineStr">
        <x:is>
          <x:t xml:space="preserve">dev</x:t>
        </x:is>
      </x:c>
      <x:c r="T617" s="57" t="inlineStr">
        <x:is>
          <x:t xml:space="preserve"/>
        </x:is>
      </x:c>
    </x:row>
    <x:row r="618" s="37" customFormat="1" ht="29.850000381469727" customHeight="1">
      <x:c r="A618" s="58" t="inlineStr">
        <x:is>
          <x:t xml:space="preserve">NEG-0617</x:t>
        </x:is>
      </x:c>
      <x:c r="B618" s="58" t="inlineStr">
        <x:is>
          <x:t xml:space="preserve">v1</x:t>
        </x:is>
      </x:c>
      <x:c r="C618" s="59" t="inlineStr">
        <x:is>
          <x:t xml:space="preserve">六、自我认同与自称</x:t>
        </x:is>
      </x:c>
      <x:c r="D618" s="59" t="inlineStr">
        <x:is>
          <x:t xml:space="preserve">6.2 主动声明的性别与代词</x:t>
        </x:is>
      </x:c>
      <x:c r="E618" s="59" t="inlineStr">
        <x:is>
          <x:t xml:space="preserve">规范示例（基线）</x:t>
        </x:is>
      </x:c>
      <x:c r="F618" s="59" t="inlineStr">
        <x:is>
          <x:t xml:space="preserve">规范示例句</x:t>
        </x:is>
      </x:c>
      <x:c r="G618" s="58" t="inlineStr">
        <x:is>
          <x:t xml:space="preserve">无</x:t>
        </x:is>
      </x:c>
      <x:c r="H618" s="58" t="str">
        <x:f>IF(LEN(I618)&lt;15,"短",IF(LEN(I618)&lt;=45,"中","长"))</x:f>
        <x:v>中</x:v>
      </x:c>
      <x:c r="I618" s="59" t="inlineStr">
        <x:is>
          <x:t xml:space="preserve">她的社交资料写着“非二元，代词 TA”，同事均按此称呼。</x:t>
        </x:is>
      </x:c>
      <x:c r="J618" s="59" t="str">
        <x:f>I618</x:f>
        <x:v>她的社交资料写着“非二元，代词 TA”，同事均按此称呼。</x:v>
      </x:c>
      <x:c r="K618" s="58" t="inlineStr">
        <x:is>
          <x:t xml:space="preserve">无需改写</x:t>
        </x:is>
      </x:c>
      <x:c r="L618" s="59" t="inlineStr">
        <x:is>
          <x:t xml:space="preserve">非二元 / TA</x:t>
        </x:is>
      </x:c>
      <x:c r="M618" s="59" t="inlineStr">
        <x:is>
          <x:t xml:space="preserve">尊重本人认同</x:t>
        </x:is>
      </x:c>
      <x:c r="N618" s="59" t="inlineStr">
        <x:is>
          <x:t xml:space="preserve">她的社交资料写着相关信息，同事均按此称呼</x:t>
        </x:is>
      </x:c>
      <x:c r="O618" s="58" t="inlineStr">
        <x:is>
          <x:t xml:space="preserve">中</x:t>
        </x:is>
      </x:c>
      <x:c r="P618" s="58" t="inlineStr">
        <x:is>
          <x:t xml:space="preserve">否</x:t>
        </x:is>
      </x:c>
      <x:c r="Q618" s="59" t="n"/>
      <x:c r="R618" s="60" t="inlineStr">
        <x:is>
          <x:t xml:space="preserve">隔离·待确认</x:t>
        </x:is>
      </x:c>
      <x:c r="S618" s="60" t="inlineStr">
        <x:is>
          <x:t xml:space="preserve"/>
        </x:is>
      </x:c>
      <x:c r="T618" s="60" t="inlineStr">
        <x:is>
          <x:t xml:space="preserve">触发词不含性别编码——判断可能依赖世界知识而非句内信息</x:t>
        </x:is>
      </x:c>
    </x:row>
    <x:row r="619" s="37" customFormat="1" ht="29.850000381469727" customHeight="1">
      <x:c r="A619" s="58" t="inlineStr">
        <x:is>
          <x:t xml:space="preserve">NEG-0618</x:t>
        </x:is>
      </x:c>
      <x:c r="B619" s="58" t="inlineStr">
        <x:is>
          <x:t xml:space="preserve">v1</x:t>
        </x:is>
      </x:c>
      <x:c r="C619" s="59" t="inlineStr">
        <x:is>
          <x:t xml:space="preserve">六、自我认同与自称</x:t>
        </x:is>
      </x:c>
      <x:c r="D619" s="59" t="inlineStr">
        <x:is>
          <x:t xml:space="preserve">6.2 主动声明的性别与代词</x:t>
        </x:is>
      </x:c>
      <x:c r="E619" s="59" t="inlineStr">
        <x:is>
          <x:t xml:space="preserve">规范示例（基线）</x:t>
        </x:is>
      </x:c>
      <x:c r="F619" s="59" t="inlineStr">
        <x:is>
          <x:t xml:space="preserve">规范示例句</x:t>
        </x:is>
      </x:c>
      <x:c r="G619" s="58" t="inlineStr">
        <x:is>
          <x:t xml:space="preserve">无</x:t>
        </x:is>
      </x:c>
      <x:c r="H619" s="58" t="str">
        <x:f>IF(LEN(I619)&lt;15,"短",IF(LEN(I619)&lt;=45,"中","长"))</x:f>
        <x:v>中</x:v>
      </x:c>
      <x:c r="I619" s="59" t="inlineStr">
        <x:is>
          <x:t xml:space="preserve">他更名后使用现用名，机构记录中不再保留其曾用名。</x:t>
        </x:is>
      </x:c>
      <x:c r="J619" s="59" t="str">
        <x:f>I619</x:f>
        <x:v>他更名后使用现用名，机构记录中不再保留其曾用名。</x:v>
      </x:c>
      <x:c r="K619" s="58" t="inlineStr">
        <x:is>
          <x:t xml:space="preserve">无需改写</x:t>
        </x:is>
      </x:c>
      <x:c r="L619" s="59" t="inlineStr">
        <x:is>
          <x:t xml:space="preserve">更名 / 曾用名</x:t>
        </x:is>
      </x:c>
      <x:c r="M619" s="59" t="inlineStr">
        <x:is>
          <x:t xml:space="preserve">不使用跨性别者的曾用名（deadname）本身即是包容做法</x:t>
        </x:is>
      </x:c>
      <x:c r="N619" s="59" t="inlineStr">
        <x:is>
          <x:t xml:space="preserve">他更名后使用现用名，机构记录中保留其曾用名以备查</x:t>
        </x:is>
      </x:c>
      <x:c r="O619" s="58" t="inlineStr">
        <x:is>
          <x:t xml:space="preserve">易</x:t>
        </x:is>
      </x:c>
      <x:c r="P619" s="58" t="inlineStr">
        <x:is>
          <x:t xml:space="preserve">否</x:t>
        </x:is>
      </x:c>
      <x:c r="Q619" s="59" t="n"/>
      <x:c r="R619" s="60" t="inlineStr">
        <x:is>
          <x:t xml:space="preserve">隔离·待确认</x:t>
        </x:is>
      </x:c>
      <x:c r="S619" s="60" t="inlineStr">
        <x:is>
          <x:t xml:space="preserve"/>
        </x:is>
      </x:c>
      <x:c r="T619" s="60" t="inlineStr">
        <x:is>
          <x:t xml:space="preserve">触发词不含性别编码——判断可能依赖世界知识而非句内信息</x:t>
        </x:is>
      </x:c>
    </x:row>
    <x:row r="620" s="37" customFormat="1" ht="29.850000381469727" customHeight="1">
      <x:c r="A620" s="55" t="inlineStr">
        <x:is>
          <x:t xml:space="preserve">NEG-0619</x:t>
        </x:is>
      </x:c>
      <x:c r="B620" s="55" t="inlineStr">
        <x:is>
          <x:t xml:space="preserve">v1</x:t>
        </x:is>
      </x:c>
      <x:c r="C620" s="56" t="inlineStr">
        <x:is>
          <x:t xml:space="preserve">六、自我认同与自称</x:t>
        </x:is>
      </x:c>
      <x:c r="D620" s="56" t="inlineStr">
        <x:is>
          <x:t xml:space="preserve">6.3 社群内部用语</x:t>
        </x:is>
      </x:c>
      <x:c r="E620" s="56" t="inlineStr">
        <x:is>
          <x:t xml:space="preserve">规范示例（基线）</x:t>
        </x:is>
      </x:c>
      <x:c r="F620" s="56" t="inlineStr">
        <x:is>
          <x:t xml:space="preserve">规范示例句</x:t>
        </x:is>
      </x:c>
      <x:c r="G620" s="55" t="inlineStr">
        <x:is>
          <x:t xml:space="preserve">无</x:t>
        </x:is>
      </x:c>
      <x:c r="H620" s="55" t="str">
        <x:f>IF(LEN(I620)&lt;15,"短",IF(LEN(I620)&lt;=45,"中","长"))</x:f>
        <x:v>中</x:v>
      </x:c>
      <x:c r="I620" s="56" t="inlineStr">
        <x:is>
          <x:t xml:space="preserve">我们这个圈子里彼此都叫“姐妹”，不分男女。</x:t>
        </x:is>
      </x:c>
      <x:c r="J620" s="56" t="str">
        <x:f>I620</x:f>
        <x:v>我们这个圈子里彼此都叫“姐妹”，不分男女。</x:v>
      </x:c>
      <x:c r="K620" s="55" t="inlineStr">
        <x:is>
          <x:t xml:space="preserve">无需改写</x:t>
        </x:is>
      </x:c>
      <x:c r="L620" s="56" t="inlineStr">
        <x:is>
          <x:t xml:space="preserve">姐妹</x:t>
        </x:is>
      </x:c>
      <x:c r="M620" s="56" t="inlineStr">
        <x:is>
          <x:t xml:space="preserve">社群内部自称，具有重新挪用的性质</x:t>
        </x:is>
      </x:c>
      <x:c r="N620" s="56" t="inlineStr">
        <x:is>
          <x:t xml:space="preserve">我们这个圈子里彼此都叫“伙伴”，不分男女</x:t>
        </x:is>
      </x:c>
      <x:c r="O620" s="55" t="inlineStr">
        <x:is>
          <x:t xml:space="preserve">难</x:t>
        </x:is>
      </x:c>
      <x:c r="P620" s="55" t="inlineStr">
        <x:is>
          <x:t xml:space="preserve">是</x:t>
        </x:is>
      </x:c>
      <x:c r="Q620" s="56" t="inlineStr">
        <x:is>
          <x:t xml:space="preserve">社群内可用与社群外可用的边界存在争议</x:t>
        </x:is>
      </x:c>
      <x:c r="R620" s="57" t="inlineStr">
        <x:is>
          <x:t xml:space="preserve">主集</x:t>
        </x:is>
      </x:c>
      <x:c r="S620" s="57" t="inlineStr">
        <x:is>
          <x:t xml:space="preserve">index</x:t>
        </x:is>
      </x:c>
      <x:c r="T620" s="57" t="inlineStr">
        <x:is>
          <x:t xml:space="preserve"/>
        </x:is>
      </x:c>
    </x:row>
    <x:row r="621" s="37" customFormat="1" ht="29.850000381469727" customHeight="1">
      <x:c r="A621" s="55" t="inlineStr">
        <x:is>
          <x:t xml:space="preserve">NEG-0620</x:t>
        </x:is>
      </x:c>
      <x:c r="B621" s="55" t="inlineStr">
        <x:is>
          <x:t xml:space="preserve">v1</x:t>
        </x:is>
      </x:c>
      <x:c r="C621" s="56" t="inlineStr">
        <x:is>
          <x:t xml:space="preserve">六、自我认同与自称</x:t>
        </x:is>
      </x:c>
      <x:c r="D621" s="56" t="inlineStr">
        <x:is>
          <x:t xml:space="preserve">6.4 职业与身份的自我定位</x:t>
        </x:is>
      </x:c>
      <x:c r="E621" s="56" t="inlineStr">
        <x:is>
          <x:t xml:space="preserve">规范示例（基线）</x:t>
        </x:is>
      </x:c>
      <x:c r="F621" s="56" t="inlineStr">
        <x:is>
          <x:t xml:space="preserve">规范示例句</x:t>
        </x:is>
      </x:c>
      <x:c r="G621" s="55" t="inlineStr">
        <x:is>
          <x:t xml:space="preserve">无</x:t>
        </x:is>
      </x:c>
      <x:c r="H621" s="55" t="str">
        <x:f>IF(LEN(I621)&lt;15,"短",IF(LEN(I621)&lt;=45,"中","长"))</x:f>
        <x:v>中</x:v>
      </x:c>
      <x:c r="I621" s="56" t="inlineStr">
        <x:is>
          <x:t xml:space="preserve">受访者说：“我就是个直男，审美确实一般。”</x:t>
        </x:is>
      </x:c>
      <x:c r="J621" s="56" t="str">
        <x:f>I621</x:f>
        <x:v>受访者说：“我就是个直男，审美确实一般。”</x:v>
      </x:c>
      <x:c r="K621" s="55" t="inlineStr">
        <x:is>
          <x:t xml:space="preserve">无需改写</x:t>
        </x:is>
      </x:c>
      <x:c r="L621" s="56" t="inlineStr">
        <x:is>
          <x:t xml:space="preserve">直男</x:t>
        </x:is>
      </x:c>
      <x:c r="M621" s="56" t="inlineStr">
        <x:is>
          <x:t xml:space="preserve">自嘲式自称</x:t>
        </x:is>
      </x:c>
      <x:c r="N621" s="56" t="inlineStr">
        <x:is>
          <x:t xml:space="preserve">受访者说：“我审美确实一般。”</x:t>
        </x:is>
      </x:c>
      <x:c r="O621" s="55" t="inlineStr">
        <x:is>
          <x:t xml:space="preserve">中</x:t>
        </x:is>
      </x:c>
      <x:c r="P621" s="55" t="inlineStr">
        <x:is>
          <x:t xml:space="preserve">否</x:t>
        </x:is>
      </x:c>
      <x:c r="Q621" s="56" t="n"/>
      <x:c r="R621" s="57" t="inlineStr">
        <x:is>
          <x:t xml:space="preserve">主集</x:t>
        </x:is>
      </x:c>
      <x:c r="S621" s="57" t="inlineStr">
        <x:is>
          <x:t xml:space="preserve">test</x:t>
        </x:is>
      </x:c>
      <x:c r="T621" s="57" t="inlineStr">
        <x:is>
          <x:t xml:space="preserve"/>
        </x:is>
      </x:c>
    </x:row>
    <x:row r="622" s="37" customFormat="1" ht="29.850000381469727" customHeight="1">
      <x:c r="A622" s="55" t="inlineStr">
        <x:is>
          <x:t xml:space="preserve">NEG-0621</x:t>
        </x:is>
      </x:c>
      <x:c r="B622" s="55" t="inlineStr">
        <x:is>
          <x:t xml:space="preserve">v1</x:t>
        </x:is>
      </x:c>
      <x:c r="C622" s="56" t="inlineStr">
        <x:is>
          <x:t xml:space="preserve">六、自我认同与自称</x:t>
        </x:is>
      </x:c>
      <x:c r="D622" s="56" t="inlineStr">
        <x:is>
          <x:t xml:space="preserve">6.5 艺名、网名、角色名</x:t>
        </x:is>
      </x:c>
      <x:c r="E622" s="56" t="inlineStr">
        <x:is>
          <x:t xml:space="preserve">规范示例（基线）</x:t>
        </x:is>
      </x:c>
      <x:c r="F622" s="56" t="inlineStr">
        <x:is>
          <x:t xml:space="preserve">规范示例句</x:t>
        </x:is>
      </x:c>
      <x:c r="G622" s="55" t="inlineStr">
        <x:is>
          <x:t xml:space="preserve">无</x:t>
        </x:is>
      </x:c>
      <x:c r="H622" s="55" t="str">
        <x:f>IF(LEN(I622)&lt;15,"短",IF(LEN(I622)&lt;=45,"中","长"))</x:f>
        <x:v>中</x:v>
      </x:c>
      <x:c r="I622" s="56" t="inlineStr">
        <x:is>
          <x:t xml:space="preserve">该作者的笔名为“素心女子”，署名沿用至今。</x:t>
        </x:is>
      </x:c>
      <x:c r="J622" s="56" t="str">
        <x:f>I622</x:f>
        <x:v>该作者的笔名为“素心女子”，署名沿用至今。</x:v>
      </x:c>
      <x:c r="K622" s="55" t="inlineStr">
        <x:is>
          <x:t xml:space="preserve">无需改写</x:t>
        </x:is>
      </x:c>
      <x:c r="L622" s="56" t="inlineStr">
        <x:is>
          <x:t xml:space="preserve">素心女子</x:t>
        </x:is>
      </x:c>
      <x:c r="M622" s="56" t="inlineStr">
        <x:is>
          <x:t xml:space="preserve">自选笔名</x:t>
        </x:is>
      </x:c>
      <x:c r="N622" s="56" t="inlineStr">
        <x:is>
          <x:t xml:space="preserve">该作者的笔名为“素心”，署名沿用至今</x:t>
        </x:is>
      </x:c>
      <x:c r="O622" s="55" t="inlineStr">
        <x:is>
          <x:t xml:space="preserve">易</x:t>
        </x:is>
      </x:c>
      <x:c r="P622" s="55" t="inlineStr">
        <x:is>
          <x:t xml:space="preserve">否</x:t>
        </x:is>
      </x:c>
      <x:c r="Q622" s="56" t="n"/>
      <x:c r="R622" s="57" t="inlineStr">
        <x:is>
          <x:t xml:space="preserve">主集</x:t>
        </x:is>
      </x:c>
      <x:c r="S622" s="57" t="inlineStr">
        <x:is>
          <x:t xml:space="preserve">dev</x:t>
        </x:is>
      </x:c>
      <x:c r="T622" s="57" t="inlineStr">
        <x:is>
          <x:t xml:space="preserve"/>
        </x:is>
      </x:c>
    </x:row>
    <x:row r="623" s="37" customFormat="1" ht="29.850000381469727" customHeight="1">
      <x:c r="A623" s="61" t="inlineStr">
        <x:is>
          <x:t xml:space="preserve">NEG-0622</x:t>
        </x:is>
      </x:c>
      <x:c r="B623" s="61" t="inlineStr">
        <x:is>
          <x:t xml:space="preserve">v1</x:t>
        </x:is>
      </x:c>
      <x:c r="C623" s="62" t="inlineStr">
        <x:is>
          <x:t xml:space="preserve">七、创作与修辞需要</x:t>
        </x:is>
      </x:c>
      <x:c r="D623" s="62" t="inlineStr">
        <x:is>
          <x:t xml:space="preserve">7.1 人物塑造</x:t>
        </x:is>
      </x:c>
      <x:c r="E623" s="62" t="inlineStr">
        <x:is>
          <x:t xml:space="preserve">规范示例（基线）</x:t>
        </x:is>
      </x:c>
      <x:c r="F623" s="62" t="inlineStr">
        <x:is>
          <x:t xml:space="preserve">规范示例句</x:t>
        </x:is>
      </x:c>
      <x:c r="G623" s="61" t="inlineStr">
        <x:is>
          <x:t xml:space="preserve">无</x:t>
        </x:is>
      </x:c>
      <x:c r="H623" s="61" t="str">
        <x:f>IF(LEN(I623)&lt;15,"短",IF(LEN(I623)&lt;=45,"中","长"))</x:f>
        <x:v>中</x:v>
      </x:c>
      <x:c r="I623" s="62" t="inlineStr">
        <x:is>
          <x:t xml:space="preserve">剧中账房先生冷笑道：“女人家懂什么生意。”</x:t>
        </x:is>
      </x:c>
      <x:c r="J623" s="62" t="str">
        <x:f>I623</x:f>
        <x:v>剧中账房先生冷笑道：“女人家懂什么生意。”</x:v>
      </x:c>
      <x:c r="K623" s="61" t="inlineStr">
        <x:is>
          <x:t xml:space="preserve">无需改写</x:t>
        </x:is>
      </x:c>
      <x:c r="L623" s="62" t="inlineStr">
        <x:is>
          <x:t xml:space="preserve">女人家</x:t>
        </x:is>
      </x:c>
      <x:c r="M623" s="62" t="inlineStr">
        <x:is>
          <x:t xml:space="preserve">反面角色台词是人物塑造手段，作者不等于角色</x:t>
        </x:is>
      </x:c>
      <x:c r="N623" s="62" t="inlineStr">
        <x:is>
          <x:t xml:space="preserve">剧中账房先生冷笑道：“你懂什么生意。”</x:t>
        </x:is>
      </x:c>
      <x:c r="O623" s="61" t="inlineStr">
        <x:is>
          <x:t xml:space="preserve">难</x:t>
        </x:is>
      </x:c>
      <x:c r="P623" s="61" t="inlineStr">
        <x:is>
          <x:t xml:space="preserve">否</x:t>
        </x:is>
      </x:c>
      <x:c r="Q623" s="62" t="n"/>
      <x:c r="R623" s="63" t="inlineStr">
        <x:is>
          <x:t xml:space="preserve">剔除</x:t>
        </x:is>
      </x:c>
      <x:c r="S623" s="63" t="inlineStr">
        <x:is>
          <x:t xml:space="preserve"/>
        </x:is>
      </x:c>
      <x:c r="T623" s="63" t="inlineStr">
        <x:is>
          <x:t xml:space="preserve">类别名有误导性：判据实为「引用/提及」，暂不纳入</x:t>
        </x:is>
      </x:c>
    </x:row>
    <x:row r="624" s="37" customFormat="1" ht="29.850000381469727" customHeight="1">
      <x:c r="A624" s="61" t="inlineStr">
        <x:is>
          <x:t xml:space="preserve">NEG-0623</x:t>
        </x:is>
      </x:c>
      <x:c r="B624" s="61" t="inlineStr">
        <x:is>
          <x:t xml:space="preserve">v1</x:t>
        </x:is>
      </x:c>
      <x:c r="C624" s="62" t="inlineStr">
        <x:is>
          <x:t xml:space="preserve">七、创作与修辞需要</x:t>
        </x:is>
      </x:c>
      <x:c r="D624" s="62" t="inlineStr">
        <x:is>
          <x:t xml:space="preserve">7.1 人物塑造</x:t>
        </x:is>
      </x:c>
      <x:c r="E624" s="62" t="inlineStr">
        <x:is>
          <x:t xml:space="preserve">规范示例（基线）</x:t>
        </x:is>
      </x:c>
      <x:c r="F624" s="62" t="inlineStr">
        <x:is>
          <x:t xml:space="preserve">规范示例句</x:t>
        </x:is>
      </x:c>
      <x:c r="G624" s="61" t="inlineStr">
        <x:is>
          <x:t xml:space="preserve">无</x:t>
        </x:is>
      </x:c>
      <x:c r="H624" s="61" t="str">
        <x:f>IF(LEN(I624)&lt;15,"短",IF(LEN(I624)&lt;=45,"中","长"))</x:f>
        <x:v>中</x:v>
      </x:c>
      <x:c r="I624" s="62" t="inlineStr">
        <x:is>
          <x:t xml:space="preserve">父亲摔下筷子：“姑娘家读那么多书有什么用。”这句用于展现父女冲突。</x:t>
        </x:is>
      </x:c>
      <x:c r="J624" s="62" t="str">
        <x:f>I624</x:f>
        <x:v>父亲摔下筷子：“姑娘家读那么多书有什么用。”这句用于展现父女冲突。</x:v>
      </x:c>
      <x:c r="K624" s="61" t="inlineStr">
        <x:is>
          <x:t xml:space="preserve">无需改写</x:t>
        </x:is>
      </x:c>
      <x:c r="L624" s="62" t="inlineStr">
        <x:is>
          <x:t xml:space="preserve">姑娘家</x:t>
        </x:is>
      </x:c>
      <x:c r="M624" s="62" t="inlineStr">
        <x:is>
          <x:t xml:space="preserve">台词承担情节冲突功能</x:t>
        </x:is>
      </x:c>
      <x:c r="N624" s="62" t="inlineStr">
        <x:is>
          <x:t xml:space="preserve">父亲摔下筷子：“读那么多书有什么用。”</x:t>
        </x:is>
      </x:c>
      <x:c r="O624" s="61" t="inlineStr">
        <x:is>
          <x:t xml:space="preserve">难</x:t>
        </x:is>
      </x:c>
      <x:c r="P624" s="61" t="inlineStr">
        <x:is>
          <x:t xml:space="preserve">否</x:t>
        </x:is>
      </x:c>
      <x:c r="Q624" s="62" t="n"/>
      <x:c r="R624" s="63" t="inlineStr">
        <x:is>
          <x:t xml:space="preserve">剔除</x:t>
        </x:is>
      </x:c>
      <x:c r="S624" s="63" t="inlineStr">
        <x:is>
          <x:t xml:space="preserve"/>
        </x:is>
      </x:c>
      <x:c r="T624" s="63" t="inlineStr">
        <x:is>
          <x:t xml:space="preserve">类别名有误导性：判据实为「引用/提及」，暂不纳入</x:t>
        </x:is>
      </x:c>
    </x:row>
    <x:row r="625" s="37" customFormat="1" ht="29.850000381469727" customHeight="1">
      <x:c r="A625" s="61" t="inlineStr">
        <x:is>
          <x:t xml:space="preserve">NEG-0624</x:t>
        </x:is>
      </x:c>
      <x:c r="B625" s="61" t="inlineStr">
        <x:is>
          <x:t xml:space="preserve">v1</x:t>
        </x:is>
      </x:c>
      <x:c r="C625" s="62" t="inlineStr">
        <x:is>
          <x:t xml:space="preserve">七、创作与修辞需要</x:t>
        </x:is>
      </x:c>
      <x:c r="D625" s="62" t="inlineStr">
        <x:is>
          <x:t xml:space="preserve">7.2 情节与主题必需</x:t>
        </x:is>
      </x:c>
      <x:c r="E625" s="62" t="inlineStr">
        <x:is>
          <x:t xml:space="preserve">规范示例（基线）</x:t>
        </x:is>
      </x:c>
      <x:c r="F625" s="62" t="inlineStr">
        <x:is>
          <x:t xml:space="preserve">规范示例句</x:t>
        </x:is>
      </x:c>
      <x:c r="G625" s="61" t="inlineStr">
        <x:is>
          <x:t xml:space="preserve">无</x:t>
        </x:is>
      </x:c>
      <x:c r="H625" s="61" t="str">
        <x:f>IF(LEN(I625)&lt;15,"短",IF(LEN(I625)&lt;=45,"中","长"))</x:f>
        <x:v>中</x:v>
      </x:c>
      <x:c r="I625" s="62" t="inlineStr">
        <x:is>
          <x:t xml:space="preserve">小说以女子女扮男装赴考为主线展开。</x:t>
        </x:is>
      </x:c>
      <x:c r="J625" s="62" t="str">
        <x:f>I625</x:f>
        <x:v>小说以女子女扮男装赴考为主线展开。</x:v>
      </x:c>
      <x:c r="K625" s="61" t="inlineStr">
        <x:is>
          <x:t xml:space="preserve">无需改写</x:t>
        </x:is>
      </x:c>
      <x:c r="L625" s="62" t="inlineStr">
        <x:is>
          <x:t xml:space="preserve">女扮男装</x:t>
        </x:is>
      </x:c>
      <x:c r="M625" s="62" t="inlineStr">
        <x:is>
          <x:t xml:space="preserve">性别错位即情节内核</x:t>
        </x:is>
      </x:c>
      <x:c r="N625" s="62" t="inlineStr">
        <x:is>
          <x:t xml:space="preserve">小说以主人公乔装赴考为主线展开</x:t>
        </x:is>
      </x:c>
      <x:c r="O625" s="61" t="inlineStr">
        <x:is>
          <x:t xml:space="preserve">中</x:t>
        </x:is>
      </x:c>
      <x:c r="P625" s="61" t="inlineStr">
        <x:is>
          <x:t xml:space="preserve">否</x:t>
        </x:is>
      </x:c>
      <x:c r="Q625" s="62" t="n"/>
      <x:c r="R625" s="63" t="inlineStr">
        <x:is>
          <x:t xml:space="preserve">剔除</x:t>
        </x:is>
      </x:c>
      <x:c r="S625" s="63" t="inlineStr">
        <x:is>
          <x:t xml:space="preserve"/>
        </x:is>
      </x:c>
      <x:c r="T625" s="63" t="inlineStr">
        <x:is>
          <x:t xml:space="preserve">类别名有误导性：判据实为「引用/提及」，暂不纳入</x:t>
        </x:is>
      </x:c>
    </x:row>
    <x:row r="626" s="37" customFormat="1" ht="29.850000381469727" customHeight="1">
      <x:c r="A626" s="61" t="inlineStr">
        <x:is>
          <x:t xml:space="preserve">NEG-0625</x:t>
        </x:is>
      </x:c>
      <x:c r="B626" s="61" t="inlineStr">
        <x:is>
          <x:t xml:space="preserve">v1</x:t>
        </x:is>
      </x:c>
      <x:c r="C626" s="62" t="inlineStr">
        <x:is>
          <x:t xml:space="preserve">七、创作与修辞需要</x:t>
        </x:is>
      </x:c>
      <x:c r="D626" s="62" t="inlineStr">
        <x:is>
          <x:t xml:space="preserve">7.2 情节与主题必需</x:t>
        </x:is>
      </x:c>
      <x:c r="E626" s="62" t="inlineStr">
        <x:is>
          <x:t xml:space="preserve">规范示例（基线）</x:t>
        </x:is>
      </x:c>
      <x:c r="F626" s="62" t="inlineStr">
        <x:is>
          <x:t xml:space="preserve">规范示例句</x:t>
        </x:is>
      </x:c>
      <x:c r="G626" s="61" t="inlineStr">
        <x:is>
          <x:t xml:space="preserve">无</x:t>
        </x:is>
      </x:c>
      <x:c r="H626" s="61" t="str">
        <x:f>IF(LEN(I626)&lt;15,"短",IF(LEN(I626)&lt;=45,"中","长"))</x:f>
        <x:v>中</x:v>
      </x:c>
      <x:c r="I626" s="62" t="inlineStr">
        <x:is>
          <x:t xml:space="preserve">这部影片探讨的正是母女两代人之间的沉默与和解。</x:t>
        </x:is>
      </x:c>
      <x:c r="J626" s="62" t="str">
        <x:f>I626</x:f>
        <x:v>这部影片探讨的正是母女两代人之间的沉默与和解。</x:v>
      </x:c>
      <x:c r="K626" s="61" t="inlineStr">
        <x:is>
          <x:t xml:space="preserve">无需改写</x:t>
        </x:is>
      </x:c>
      <x:c r="L626" s="62" t="inlineStr">
        <x:is>
          <x:t xml:space="preserve">母女</x:t>
        </x:is>
      </x:c>
      <x:c r="M626" s="62" t="inlineStr">
        <x:is>
          <x:t xml:space="preserve">人物关系是作品主题</x:t>
        </x:is>
      </x:c>
      <x:c r="N626" s="62" t="inlineStr">
        <x:is>
          <x:t xml:space="preserve">这部影片探讨的正是两代人之间的沉默与和解</x:t>
        </x:is>
      </x:c>
      <x:c r="O626" s="61" t="inlineStr">
        <x:is>
          <x:t xml:space="preserve">中</x:t>
        </x:is>
      </x:c>
      <x:c r="P626" s="61" t="inlineStr">
        <x:is>
          <x:t xml:space="preserve">否</x:t>
        </x:is>
      </x:c>
      <x:c r="Q626" s="62" t="n"/>
      <x:c r="R626" s="63" t="inlineStr">
        <x:is>
          <x:t xml:space="preserve">剔除</x:t>
        </x:is>
      </x:c>
      <x:c r="S626" s="63" t="inlineStr">
        <x:is>
          <x:t xml:space="preserve"/>
        </x:is>
      </x:c>
      <x:c r="T626" s="63" t="inlineStr">
        <x:is>
          <x:t xml:space="preserve">类别名有误导性：判据实为「引用/提及」，暂不纳入</x:t>
        </x:is>
      </x:c>
    </x:row>
    <x:row r="627" s="37" customFormat="1" ht="29.850000381469727" customHeight="1">
      <x:c r="A627" s="61" t="inlineStr">
        <x:is>
          <x:t xml:space="preserve">NEG-0626</x:t>
        </x:is>
      </x:c>
      <x:c r="B627" s="61" t="inlineStr">
        <x:is>
          <x:t xml:space="preserve">v1</x:t>
        </x:is>
      </x:c>
      <x:c r="C627" s="62" t="inlineStr">
        <x:is>
          <x:t xml:space="preserve">七、创作与修辞需要</x:t>
        </x:is>
      </x:c>
      <x:c r="D627" s="62" t="inlineStr">
        <x:is>
          <x:t xml:space="preserve">7.3 时代与地域还原</x:t>
        </x:is>
      </x:c>
      <x:c r="E627" s="62" t="inlineStr">
        <x:is>
          <x:t xml:space="preserve">规范示例（基线）</x:t>
        </x:is>
      </x:c>
      <x:c r="F627" s="62" t="inlineStr">
        <x:is>
          <x:t xml:space="preserve">规范示例句</x:t>
        </x:is>
      </x:c>
      <x:c r="G627" s="61" t="inlineStr">
        <x:is>
          <x:t xml:space="preserve">无</x:t>
        </x:is>
      </x:c>
      <x:c r="H627" s="61" t="str">
        <x:f>IF(LEN(I627)&lt;15,"短",IF(LEN(I627)&lt;=45,"中","长"))</x:f>
        <x:v>中</x:v>
      </x:c>
      <x:c r="I627" s="62" t="inlineStr">
        <x:is>
          <x:t xml:space="preserve">年代剧中掌柜招呼女客：“这位太太，里边请。”</x:t>
        </x:is>
      </x:c>
      <x:c r="J627" s="62" t="str">
        <x:f>I627</x:f>
        <x:v>年代剧中掌柜招呼女客：“这位太太，里边请。”</x:v>
      </x:c>
      <x:c r="K627" s="61" t="inlineStr">
        <x:is>
          <x:t xml:space="preserve">无需改写</x:t>
        </x:is>
      </x:c>
      <x:c r="L627" s="62" t="inlineStr">
        <x:is>
          <x:t xml:space="preserve">太太</x:t>
        </x:is>
      </x:c>
      <x:c r="M627" s="62" t="inlineStr">
        <x:is>
          <x:t xml:space="preserve">年代语言还原</x:t>
        </x:is>
      </x:c>
      <x:c r="N627" s="62" t="inlineStr">
        <x:is>
          <x:t xml:space="preserve">年代剧中掌柜招呼客人：“这位女士，里边请。”</x:t>
        </x:is>
      </x:c>
      <x:c r="O627" s="61" t="inlineStr">
        <x:is>
          <x:t xml:space="preserve">中</x:t>
        </x:is>
      </x:c>
      <x:c r="P627" s="61" t="inlineStr">
        <x:is>
          <x:t xml:space="preserve">否</x:t>
        </x:is>
      </x:c>
      <x:c r="Q627" s="62" t="n"/>
      <x:c r="R627" s="63" t="inlineStr">
        <x:is>
          <x:t xml:space="preserve">剔除</x:t>
        </x:is>
      </x:c>
      <x:c r="S627" s="63" t="inlineStr">
        <x:is>
          <x:t xml:space="preserve"/>
        </x:is>
      </x:c>
      <x:c r="T627" s="63" t="inlineStr">
        <x:is>
          <x:t xml:space="preserve">类别名有误导性：判据实为「引用/提及」，暂不纳入</x:t>
        </x:is>
      </x:c>
    </x:row>
    <x:row r="628" s="37" customFormat="1" ht="29.850000381469727" customHeight="1">
      <x:c r="A628" s="61" t="inlineStr">
        <x:is>
          <x:t xml:space="preserve">NEG-0627</x:t>
        </x:is>
      </x:c>
      <x:c r="B628" s="61" t="inlineStr">
        <x:is>
          <x:t xml:space="preserve">v1</x:t>
        </x:is>
      </x:c>
      <x:c r="C628" s="62" t="inlineStr">
        <x:is>
          <x:t xml:space="preserve">七、创作与修辞需要</x:t>
        </x:is>
      </x:c>
      <x:c r="D628" s="62" t="inlineStr">
        <x:is>
          <x:t xml:space="preserve">7.3 时代与地域还原</x:t>
        </x:is>
      </x:c>
      <x:c r="E628" s="62" t="inlineStr">
        <x:is>
          <x:t xml:space="preserve">规范示例（基线）</x:t>
        </x:is>
      </x:c>
      <x:c r="F628" s="62" t="inlineStr">
        <x:is>
          <x:t xml:space="preserve">规范示例句</x:t>
        </x:is>
      </x:c>
      <x:c r="G628" s="61" t="inlineStr">
        <x:is>
          <x:t xml:space="preserve">无</x:t>
        </x:is>
      </x:c>
      <x:c r="H628" s="61" t="str">
        <x:f>IF(LEN(I628)&lt;15,"短",IF(LEN(I628)&lt;=45,"中","长"))</x:f>
        <x:v>中</x:v>
      </x:c>
      <x:c r="I628" s="62" t="inlineStr">
        <x:is>
          <x:t xml:space="preserve">译文保留了原文中名词的阴性词尾标注，以体现法语的语法性属。</x:t>
        </x:is>
      </x:c>
      <x:c r="J628" s="62" t="str">
        <x:f>I628</x:f>
        <x:v>译文保留了原文中名词的阴性词尾标注，以体现法语的语法性属。</x:v>
      </x:c>
      <x:c r="K628" s="61" t="inlineStr">
        <x:is>
          <x:t xml:space="preserve">无需改写</x:t>
        </x:is>
      </x:c>
      <x:c r="L628" s="62" t="inlineStr">
        <x:is>
          <x:t xml:space="preserve">阴性</x:t>
        </x:is>
      </x:c>
      <x:c r="M628" s="62" t="inlineStr">
        <x:is>
          <x:t xml:space="preserve">语法性属是翻译研究的讨论对象</x:t>
        </x:is>
      </x:c>
      <x:c r="N628" s="62" t="inlineStr">
        <x:is>
          <x:t xml:space="preserve">译文统一采用中性表述</x:t>
        </x:is>
      </x:c>
      <x:c r="O628" s="61" t="inlineStr">
        <x:is>
          <x:t xml:space="preserve">易</x:t>
        </x:is>
      </x:c>
      <x:c r="P628" s="61" t="inlineStr">
        <x:is>
          <x:t xml:space="preserve">否</x:t>
        </x:is>
      </x:c>
      <x:c r="Q628" s="62" t="n"/>
      <x:c r="R628" s="63" t="inlineStr">
        <x:is>
          <x:t xml:space="preserve">剔除</x:t>
        </x:is>
      </x:c>
      <x:c r="S628" s="63" t="inlineStr">
        <x:is>
          <x:t xml:space="preserve"/>
        </x:is>
      </x:c>
      <x:c r="T628" s="63" t="inlineStr">
        <x:is>
          <x:t xml:space="preserve">类别名有误导性：判据实为「引用/提及」，暂不纳入</x:t>
        </x:is>
      </x:c>
    </x:row>
    <x:row r="629" s="37" customFormat="1" ht="29.850000381469727" customHeight="1">
      <x:c r="A629" s="61" t="inlineStr">
        <x:is>
          <x:t xml:space="preserve">NEG-0628</x:t>
        </x:is>
      </x:c>
      <x:c r="B629" s="61" t="inlineStr">
        <x:is>
          <x:t xml:space="preserve">v1</x:t>
        </x:is>
      </x:c>
      <x:c r="C629" s="62" t="inlineStr">
        <x:is>
          <x:t xml:space="preserve">七、创作与修辞需要</x:t>
        </x:is>
      </x:c>
      <x:c r="D629" s="62" t="inlineStr">
        <x:is>
          <x:t xml:space="preserve">7.4 反讽、戏仿与批判</x:t>
        </x:is>
      </x:c>
      <x:c r="E629" s="62" t="inlineStr">
        <x:is>
          <x:t xml:space="preserve">规范示例（基线）</x:t>
        </x:is>
      </x:c>
      <x:c r="F629" s="62" t="inlineStr">
        <x:is>
          <x:t xml:space="preserve">规范示例句</x:t>
        </x:is>
      </x:c>
      <x:c r="G629" s="61" t="inlineStr">
        <x:is>
          <x:t xml:space="preserve">无</x:t>
        </x:is>
      </x:c>
      <x:c r="H629" s="61" t="str">
        <x:f>IF(LEN(I629)&lt;15,"短",IF(LEN(I629)&lt;=45,"中","长"))</x:f>
        <x:v>中</x:v>
      </x:c>
      <x:c r="I629" s="62" t="inlineStr">
        <x:is>
          <x:t xml:space="preserve">广告刻意堆砌“男主外、女主内”的画面，结尾反转以制造讽刺效果。</x:t>
        </x:is>
      </x:c>
      <x:c r="J629" s="62" t="str">
        <x:f>I629</x:f>
        <x:v>广告刻意堆砌“男主外、女主内”的画面，结尾反转以制造讽刺效果。</x:v>
      </x:c>
      <x:c r="K629" s="61" t="inlineStr">
        <x:is>
          <x:t xml:space="preserve">无需改写</x:t>
        </x:is>
      </x:c>
      <x:c r="L629" s="62" t="inlineStr">
        <x:is>
          <x:t xml:space="preserve">男主外女主内</x:t>
        </x:is>
      </x:c>
      <x:c r="M629" s="62" t="inlineStr">
        <x:is>
          <x:t xml:space="preserve">形式上复制刻板印象，功能上拆解它</x:t>
        </x:is>
      </x:c>
      <x:c r="N629" s="62" t="inlineStr">
        <x:is>
          <x:t xml:space="preserve">广告刻意堆砌家庭分工画面，结尾反转以制造讽刺效果</x:t>
        </x:is>
      </x:c>
      <x:c r="O629" s="61" t="inlineStr">
        <x:is>
          <x:t xml:space="preserve">难</x:t>
        </x:is>
      </x:c>
      <x:c r="P629" s="61" t="inlineStr">
        <x:is>
          <x:t xml:space="preserve">否</x:t>
        </x:is>
      </x:c>
      <x:c r="Q629" s="62" t="n"/>
      <x:c r="R629" s="63" t="inlineStr">
        <x:is>
          <x:t xml:space="preserve">剔除</x:t>
        </x:is>
      </x:c>
      <x:c r="S629" s="63" t="inlineStr">
        <x:is>
          <x:t xml:space="preserve"/>
        </x:is>
      </x:c>
      <x:c r="T629" s="63" t="inlineStr">
        <x:is>
          <x:t xml:space="preserve">类别名有误导性：判据实为「引用/提及」，暂不纳入</x:t>
        </x:is>
      </x:c>
    </x:row>
    <x:row r="630" s="37" customFormat="1" ht="29.850000381469727" customHeight="1">
      <x:c r="A630" s="61" t="inlineStr">
        <x:is>
          <x:t xml:space="preserve">NEG-0629</x:t>
        </x:is>
      </x:c>
      <x:c r="B630" s="61" t="inlineStr">
        <x:is>
          <x:t xml:space="preserve">v1</x:t>
        </x:is>
      </x:c>
      <x:c r="C630" s="62" t="inlineStr">
        <x:is>
          <x:t xml:space="preserve">七、创作与修辞需要</x:t>
        </x:is>
      </x:c>
      <x:c r="D630" s="62" t="inlineStr">
        <x:is>
          <x:t xml:space="preserve">7.5 形式与格律约束</x:t>
        </x:is>
      </x:c>
      <x:c r="E630" s="62" t="inlineStr">
        <x:is>
          <x:t xml:space="preserve">规范示例（基线）</x:t>
        </x:is>
      </x:c>
      <x:c r="F630" s="62" t="inlineStr">
        <x:is>
          <x:t xml:space="preserve">规范示例句</x:t>
        </x:is>
      </x:c>
      <x:c r="G630" s="61" t="inlineStr">
        <x:is>
          <x:t xml:space="preserve">无</x:t>
        </x:is>
      </x:c>
      <x:c r="H630" s="61" t="str">
        <x:f>IF(LEN(I630)&lt;15,"短",IF(LEN(I630)&lt;=45,"中","长"))</x:f>
        <x:v>中</x:v>
      </x:c>
      <x:c r="I630" s="62" t="inlineStr">
        <x:is>
          <x:t xml:space="preserve">对联上句为“夫勤耕”，下句为“妇善织”，属工对。</x:t>
        </x:is>
      </x:c>
      <x:c r="J630" s="62" t="str">
        <x:f>I630</x:f>
        <x:v>对联上句为“夫勤耕”，下句为“妇善织”，属工对。</x:v>
      </x:c>
      <x:c r="K630" s="61" t="inlineStr">
        <x:is>
          <x:t xml:space="preserve">无需改写</x:t>
        </x:is>
      </x:c>
      <x:c r="L630" s="62" t="inlineStr">
        <x:is>
          <x:t xml:space="preserve">夫 / 妇</x:t>
        </x:is>
      </x:c>
      <x:c r="M630" s="62" t="inlineStr">
        <x:is>
          <x:t xml:space="preserve">对仗的工整依赖词性与语义的对应</x:t>
        </x:is>
      </x:c>
      <x:c r="N630" s="62" t="inlineStr">
        <x:is>
          <x:t xml:space="preserve">对联上句为“晨勤耕”，下句为“夜善织”</x:t>
        </x:is>
      </x:c>
      <x:c r="O630" s="61" t="inlineStr">
        <x:is>
          <x:t xml:space="preserve">难</x:t>
        </x:is>
      </x:c>
      <x:c r="P630" s="61" t="inlineStr">
        <x:is>
          <x:t xml:space="preserve">否</x:t>
        </x:is>
      </x:c>
      <x:c r="Q630" s="62" t="n"/>
      <x:c r="R630" s="63" t="inlineStr">
        <x:is>
          <x:t xml:space="preserve">剔除</x:t>
        </x:is>
      </x:c>
      <x:c r="S630" s="63" t="inlineStr">
        <x:is>
          <x:t xml:space="preserve"/>
        </x:is>
      </x:c>
      <x:c r="T630" s="63" t="inlineStr">
        <x:is>
          <x:t xml:space="preserve">类别名有误导性：判据实为「引用/提及」，暂不纳入</x:t>
        </x:is>
      </x:c>
    </x:row>
    <x:row r="631" s="37" customFormat="1" ht="29.850000381469727" customHeight="1">
      <x:c r="A631" s="61" t="inlineStr">
        <x:is>
          <x:t xml:space="preserve">NEG-0630</x:t>
        </x:is>
      </x:c>
      <x:c r="B631" s="61" t="inlineStr">
        <x:is>
          <x:t xml:space="preserve">v1</x:t>
        </x:is>
      </x:c>
      <x:c r="C631" s="62" t="inlineStr">
        <x:is>
          <x:t xml:space="preserve">七、创作与修辞需要</x:t>
        </x:is>
      </x:c>
      <x:c r="D631" s="62" t="inlineStr">
        <x:is>
          <x:t xml:space="preserve">7.5 形式与格律约束</x:t>
        </x:is>
      </x:c>
      <x:c r="E631" s="62" t="inlineStr">
        <x:is>
          <x:t xml:space="preserve">规范示例（基线）</x:t>
        </x:is>
      </x:c>
      <x:c r="F631" s="62" t="inlineStr">
        <x:is>
          <x:t xml:space="preserve">规范示例句</x:t>
        </x:is>
      </x:c>
      <x:c r="G631" s="61" t="inlineStr">
        <x:is>
          <x:t xml:space="preserve">无</x:t>
        </x:is>
      </x:c>
      <x:c r="H631" s="61" t="str">
        <x:f>IF(LEN(I631)&lt;15,"短",IF(LEN(I631)&lt;=45,"中","长"))</x:f>
        <x:v>中</x:v>
      </x:c>
      <x:c r="I631" s="62" t="inlineStr">
        <x:is>
          <x:t xml:space="preserve">副歌末字为“她”，与前句押 a 韵，替换会破坏韵脚。</x:t>
        </x:is>
      </x:c>
      <x:c r="J631" s="62" t="str">
        <x:f>I631</x:f>
        <x:v>副歌末字为“她”，与前句押 a 韵，替换会破坏韵脚。</x:v>
      </x:c>
      <x:c r="K631" s="61" t="inlineStr">
        <x:is>
          <x:t xml:space="preserve">无需改写</x:t>
        </x:is>
      </x:c>
      <x:c r="L631" s="62" t="inlineStr">
        <x:is>
          <x:t xml:space="preserve">她</x:t>
        </x:is>
      </x:c>
      <x:c r="M631" s="62" t="inlineStr">
        <x:is>
          <x:t xml:space="preserve">韵律约束</x:t>
        </x:is>
      </x:c>
      <x:c r="N631" s="62" t="inlineStr">
        <x:is>
          <x:t xml:space="preserve">副歌末字为“TA”，与前句押韵</x:t>
        </x:is>
      </x:c>
      <x:c r="O631" s="61" t="inlineStr">
        <x:is>
          <x:t xml:space="preserve">中</x:t>
        </x:is>
      </x:c>
      <x:c r="P631" s="61" t="inlineStr">
        <x:is>
          <x:t xml:space="preserve">否</x:t>
        </x:is>
      </x:c>
      <x:c r="Q631" s="62" t="n"/>
      <x:c r="R631" s="63" t="inlineStr">
        <x:is>
          <x:t xml:space="preserve">剔除</x:t>
        </x:is>
      </x:c>
      <x:c r="S631" s="63" t="inlineStr">
        <x:is>
          <x:t xml:space="preserve"/>
        </x:is>
      </x:c>
      <x:c r="T631" s="63" t="inlineStr">
        <x:is>
          <x:t xml:space="preserve">类别名有误导性：判据实为「引用/提及」，暂不纳入</x:t>
        </x:is>
      </x:c>
    </x:row>
    <x:row r="632" s="37" customFormat="1" ht="29.850000381469727" customHeight="1">
      <x:c r="A632" s="61" t="inlineStr">
        <x:is>
          <x:t xml:space="preserve">NEG-0631</x:t>
        </x:is>
      </x:c>
      <x:c r="B632" s="61" t="inlineStr">
        <x:is>
          <x:t xml:space="preserve">v1</x:t>
        </x:is>
      </x:c>
      <x:c r="C632" s="62" t="inlineStr">
        <x:is>
          <x:t xml:space="preserve">七、创作与修辞需要</x:t>
        </x:is>
      </x:c>
      <x:c r="D632" s="62" t="inlineStr">
        <x:is>
          <x:t xml:space="preserve">7.6 意象与典故</x:t>
        </x:is>
      </x:c>
      <x:c r="E632" s="62" t="inlineStr">
        <x:is>
          <x:t xml:space="preserve">规范示例（基线）</x:t>
        </x:is>
      </x:c>
      <x:c r="F632" s="62" t="inlineStr">
        <x:is>
          <x:t xml:space="preserve">规范示例句</x:t>
        </x:is>
      </x:c>
      <x:c r="G632" s="61" t="inlineStr">
        <x:is>
          <x:t xml:space="preserve">无</x:t>
        </x:is>
      </x:c>
      <x:c r="H632" s="61" t="str">
        <x:f>IF(LEN(I632)&lt;15,"短",IF(LEN(I632)&lt;=45,"中","长"))</x:f>
        <x:v>中</x:v>
      </x:c>
      <x:c r="I632" s="62" t="inlineStr">
        <x:is>
          <x:t xml:space="preserve">这首民谣唱的是牛郎织女七夕相会的传说。</x:t>
        </x:is>
      </x:c>
      <x:c r="J632" s="62" t="str">
        <x:f>I632</x:f>
        <x:v>这首民谣唱的是牛郎织女七夕相会的传说。</x:v>
      </x:c>
      <x:c r="K632" s="61" t="inlineStr">
        <x:is>
          <x:t xml:space="preserve">无需改写</x:t>
        </x:is>
      </x:c>
      <x:c r="L632" s="62" t="inlineStr">
        <x:is>
          <x:t xml:space="preserve">牛郎织女</x:t>
        </x:is>
      </x:c>
      <x:c r="M632" s="62" t="inlineStr">
        <x:is>
          <x:t xml:space="preserve">神话典故名称</x:t>
        </x:is>
      </x:c>
      <x:c r="N632" s="62" t="inlineStr">
        <x:is>
          <x:t xml:space="preserve">这首民谣唱的是一对恋人七夕相会的传说</x:t>
        </x:is>
      </x:c>
      <x:c r="O632" s="61" t="inlineStr">
        <x:is>
          <x:t xml:space="preserve">易</x:t>
        </x:is>
      </x:c>
      <x:c r="P632" s="61" t="inlineStr">
        <x:is>
          <x:t xml:space="preserve">否</x:t>
        </x:is>
      </x:c>
      <x:c r="Q632" s="62" t="n"/>
      <x:c r="R632" s="63" t="inlineStr">
        <x:is>
          <x:t xml:space="preserve">剔除</x:t>
        </x:is>
      </x:c>
      <x:c r="S632" s="63" t="inlineStr">
        <x:is>
          <x:t xml:space="preserve"/>
        </x:is>
      </x:c>
      <x:c r="T632" s="63" t="inlineStr">
        <x:is>
          <x:t xml:space="preserve">类别名有误导性：判据实为「引用/提及」，暂不纳入</x:t>
        </x:is>
      </x:c>
    </x:row>
    <x:row r="633" s="37" customFormat="1" ht="29.850000381469727" customHeight="1">
      <x:c r="A633" s="61" t="inlineStr">
        <x:is>
          <x:t xml:space="preserve">NEG-0632</x:t>
        </x:is>
      </x:c>
      <x:c r="B633" s="61" t="inlineStr">
        <x:is>
          <x:t xml:space="preserve">v1</x:t>
        </x:is>
      </x:c>
      <x:c r="C633" s="62" t="inlineStr">
        <x:is>
          <x:t xml:space="preserve">七、创作与修辞需要</x:t>
        </x:is>
      </x:c>
      <x:c r="D633" s="62" t="inlineStr">
        <x:is>
          <x:t xml:space="preserve">7.6 意象与典故</x:t>
        </x:is>
      </x:c>
      <x:c r="E633" s="62" t="inlineStr">
        <x:is>
          <x:t xml:space="preserve">规范示例（基线）</x:t>
        </x:is>
      </x:c>
      <x:c r="F633" s="62" t="inlineStr">
        <x:is>
          <x:t xml:space="preserve">规范示例句</x:t>
        </x:is>
      </x:c>
      <x:c r="G633" s="61" t="inlineStr">
        <x:is>
          <x:t xml:space="preserve">无</x:t>
        </x:is>
      </x:c>
      <x:c r="H633" s="61" t="str">
        <x:f>IF(LEN(I633)&lt;15,"短",IF(LEN(I633)&lt;=45,"中","长"))</x:f>
        <x:v>中</x:v>
      </x:c>
      <x:c r="I633" s="62" t="inlineStr">
        <x:is>
          <x:t xml:space="preserve">文中以“举案齐眉”形容二人相敬如宾。</x:t>
        </x:is>
      </x:c>
      <x:c r="J633" s="62" t="str">
        <x:f>I633</x:f>
        <x:v>文中以“举案齐眉”形容二人相敬如宾。</x:v>
      </x:c>
      <x:c r="K633" s="61" t="inlineStr">
        <x:is>
          <x:t xml:space="preserve">无需改写</x:t>
        </x:is>
      </x:c>
      <x:c r="L633" s="62" t="inlineStr">
        <x:is>
          <x:t xml:space="preserve">举案齐眉</x:t>
        </x:is>
      </x:c>
      <x:c r="M633" s="62" t="inlineStr">
        <x:is>
          <x:t xml:space="preserve">成语典故的文学化用</x:t>
        </x:is>
      </x:c>
      <x:c r="N633" s="62" t="inlineStr">
        <x:is>
          <x:t xml:space="preserve">文中以“相互尊重”形容二人关系</x:t>
        </x:is>
      </x:c>
      <x:c r="O633" s="61" t="inlineStr">
        <x:is>
          <x:t xml:space="preserve">易</x:t>
        </x:is>
      </x:c>
      <x:c r="P633" s="61" t="inlineStr">
        <x:is>
          <x:t xml:space="preserve">否</x:t>
        </x:is>
      </x:c>
      <x:c r="Q633" s="62" t="n"/>
      <x:c r="R633" s="63" t="inlineStr">
        <x:is>
          <x:t xml:space="preserve">剔除</x:t>
        </x:is>
      </x:c>
      <x:c r="S633" s="63" t="inlineStr">
        <x:is>
          <x:t xml:space="preserve"/>
        </x:is>
      </x:c>
      <x:c r="T633" s="63" t="inlineStr">
        <x:is>
          <x:t xml:space="preserve">类别名有误导性：判据实为「引用/提及」，暂不纳入</x:t>
        </x:is>
      </x:c>
    </x:row>
    <x:row r="634" s="37" customFormat="1" ht="29.850000381469727" customHeight="1">
      <x:c r="A634" s="55" t="inlineStr">
        <x:is>
          <x:t xml:space="preserve">NEG-0633</x:t>
        </x:is>
      </x:c>
      <x:c r="B634" s="55" t="inlineStr">
        <x:is>
          <x:t xml:space="preserve">v1</x:t>
        </x:is>
      </x:c>
      <x:c r="C634" s="56" t="inlineStr">
        <x:is>
          <x:t xml:space="preserve">八、语言本体层面的历史残留</x:t>
        </x:is>
      </x:c>
      <x:c r="D634" s="56" t="inlineStr">
        <x:is>
          <x:t xml:space="preserve">8.1 字形理据</x:t>
        </x:is>
      </x:c>
      <x:c r="E634" s="56" t="inlineStr">
        <x:is>
          <x:t xml:space="preserve">规范示例（基线）</x:t>
        </x:is>
      </x:c>
      <x:c r="F634" s="56" t="inlineStr">
        <x:is>
          <x:t xml:space="preserve">规范示例句</x:t>
        </x:is>
      </x:c>
      <x:c r="G634" s="55" t="inlineStr">
        <x:is>
          <x:t xml:space="preserve">无</x:t>
        </x:is>
      </x:c>
      <x:c r="H634" s="55" t="str">
        <x:f>IF(LEN(I634)&lt;15,"短",IF(LEN(I634)&lt;=45,"中","长"))</x:f>
        <x:v>中</x:v>
      </x:c>
      <x:c r="I634" s="56" t="inlineStr">
        <x:is>
          <x:t xml:space="preserve">“他”字从人从也，其人字旁属构字理据，不表达性别主张。</x:t>
        </x:is>
      </x:c>
      <x:c r="J634" s="56" t="str">
        <x:f>I634</x:f>
        <x:v>“他”字从人从也，其人字旁属构字理据，不表达性别主张。</x:v>
      </x:c>
      <x:c r="K634" s="55" t="inlineStr">
        <x:is>
          <x:t xml:space="preserve">无需改写</x:t>
        </x:is>
      </x:c>
      <x:c r="L634" s="56" t="inlineStr">
        <x:is>
          <x:t xml:space="preserve">他 / 人字旁</x:t>
        </x:is>
      </x:c>
      <x:c r="M634" s="56" t="inlineStr">
        <x:is>
          <x:t xml:space="preserve">文字学陈述，句子本身即在澄清这一点</x:t>
        </x:is>
      </x:c>
      <x:c r="N634" s="56" t="inlineStr">
        <x:is>
          <x:t xml:space="preserve">“他”字的构形不宜作为讨论对象</x:t>
        </x:is>
      </x:c>
      <x:c r="O634" s="55" t="inlineStr">
        <x:is>
          <x:t xml:space="preserve">中</x:t>
        </x:is>
      </x:c>
      <x:c r="P634" s="55" t="inlineStr">
        <x:is>
          <x:t xml:space="preserve">否</x:t>
        </x:is>
      </x:c>
      <x:c r="Q634" s="56" t="n"/>
      <x:c r="R634" s="57" t="inlineStr">
        <x:is>
          <x:t xml:space="preserve">主集</x:t>
        </x:is>
      </x:c>
      <x:c r="S634" s="57" t="inlineStr">
        <x:is>
          <x:t xml:space="preserve">index</x:t>
        </x:is>
      </x:c>
      <x:c r="T634" s="57" t="inlineStr">
        <x:is>
          <x:t xml:space="preserve"/>
        </x:is>
      </x:c>
    </x:row>
    <x:row r="635" s="37" customFormat="1" ht="29.850000381469727" customHeight="1">
      <x:c r="A635" s="55" t="inlineStr">
        <x:is>
          <x:t xml:space="preserve">NEG-0634</x:t>
        </x:is>
      </x:c>
      <x:c r="B635" s="55" t="inlineStr">
        <x:is>
          <x:t xml:space="preserve">v1</x:t>
        </x:is>
      </x:c>
      <x:c r="C635" s="56" t="inlineStr">
        <x:is>
          <x:t xml:space="preserve">八、语言本体层面的历史残留</x:t>
        </x:is>
      </x:c>
      <x:c r="D635" s="56" t="inlineStr">
        <x:is>
          <x:t xml:space="preserve">8.1 字形理据</x:t>
        </x:is>
      </x:c>
      <x:c r="E635" s="56" t="inlineStr">
        <x:is>
          <x:t xml:space="preserve">规范示例（基线）</x:t>
        </x:is>
      </x:c>
      <x:c r="F635" s="56" t="inlineStr">
        <x:is>
          <x:t xml:space="preserve">规范示例句</x:t>
        </x:is>
      </x:c>
      <x:c r="G635" s="55" t="inlineStr">
        <x:is>
          <x:t xml:space="preserve">无</x:t>
        </x:is>
      </x:c>
      <x:c r="H635" s="55" t="str">
        <x:f>IF(LEN(I635)&lt;15,"短",IF(LEN(I635)&lt;=45,"中","长"))</x:f>
        <x:v>中</x:v>
      </x:c>
      <x:c r="I635" s="56" t="inlineStr">
        <x:is>
          <x:t xml:space="preserve">“好”“始”“如”等字虽从女旁，但语义与性别无关。</x:t>
        </x:is>
      </x:c>
      <x:c r="J635" s="56" t="str">
        <x:f>I635</x:f>
        <x:v>“好”“始”“如”等字虽从女旁，但语义与性别无关。</x:v>
      </x:c>
      <x:c r="K635" s="55" t="inlineStr">
        <x:is>
          <x:t xml:space="preserve">无需改写</x:t>
        </x:is>
      </x:c>
      <x:c r="L635" s="56" t="inlineStr">
        <x:is>
          <x:t xml:space="preserve">女旁</x:t>
        </x:is>
      </x:c>
      <x:c r="M635" s="56" t="inlineStr">
        <x:is>
          <x:t xml:space="preserve">文字学事实</x:t>
        </x:is>
      </x:c>
      <x:c r="N635" s="56" t="inlineStr">
        <x:is>
          <x:t xml:space="preserve">部分汉字的部首与语义无关</x:t>
        </x:is>
      </x:c>
      <x:c r="O635" s="55" t="inlineStr">
        <x:is>
          <x:t xml:space="preserve">易</x:t>
        </x:is>
      </x:c>
      <x:c r="P635" s="55" t="inlineStr">
        <x:is>
          <x:t xml:space="preserve">否</x:t>
        </x:is>
      </x:c>
      <x:c r="Q635" s="56" t="n"/>
      <x:c r="R635" s="57" t="inlineStr">
        <x:is>
          <x:t xml:space="preserve">主集</x:t>
        </x:is>
      </x:c>
      <x:c r="S635" s="57" t="inlineStr">
        <x:is>
          <x:t xml:space="preserve">dev</x:t>
        </x:is>
      </x:c>
      <x:c r="T635" s="57" t="inlineStr">
        <x:is>
          <x:t xml:space="preserve"/>
        </x:is>
      </x:c>
    </x:row>
    <x:row r="636" s="37" customFormat="1" ht="44" customHeight="1">
      <x:c r="A636" s="55" t="inlineStr">
        <x:is>
          <x:t xml:space="preserve">NEG-0635</x:t>
        </x:is>
      </x:c>
      <x:c r="B636" s="55" t="inlineStr">
        <x:is>
          <x:t xml:space="preserve">v1</x:t>
        </x:is>
      </x:c>
      <x:c r="C636" s="56" t="inlineStr">
        <x:is>
          <x:t xml:space="preserve">八、语言本体层面的历史残留</x:t>
        </x:is>
      </x:c>
      <x:c r="D636" s="56" t="inlineStr">
        <x:is>
          <x:t xml:space="preserve">8.2 敬语传统的中性化用法</x:t>
        </x:is>
      </x:c>
      <x:c r="E636" s="56" t="inlineStr">
        <x:is>
          <x:t xml:space="preserve">规范示例（基线）</x:t>
        </x:is>
      </x:c>
      <x:c r="F636" s="56" t="inlineStr">
        <x:is>
          <x:t xml:space="preserve">规范示例句</x:t>
        </x:is>
      </x:c>
      <x:c r="G636" s="55" t="inlineStr">
        <x:is>
          <x:t xml:space="preserve">无</x:t>
        </x:is>
      </x:c>
      <x:c r="H636" s="55" t="str">
        <x:f>IF(LEN(I636)&lt;15,"短",IF(LEN(I636)&lt;=45,"中","长"))</x:f>
        <x:v>中</x:v>
      </x:c>
      <x:c r="I636" s="56" t="inlineStr">
        <x:is>
          <x:t xml:space="preserve">杨绛先生所译《堂吉诃德》流传甚广。</x:t>
        </x:is>
      </x:c>
      <x:c r="J636" s="56" t="str">
        <x:f>I636</x:f>
        <x:v>杨绛先生所译《堂吉诃德》流传甚广。</x:v>
      </x:c>
      <x:c r="K636" s="55" t="inlineStr">
        <x:is>
          <x:t xml:space="preserve">无需改写</x:t>
        </x:is>
      </x:c>
      <x:c r="L636" s="56" t="inlineStr">
        <x:is>
          <x:t xml:space="preserve">先生</x:t>
        </x:is>
      </x:c>
      <x:c r="M636" s="56" t="inlineStr">
        <x:is>
          <x:t xml:space="preserve">“先生”用于尊称学者，是敬语传统而非性别误称</x:t>
        </x:is>
      </x:c>
      <x:c r="N636" s="56" t="inlineStr">
        <x:is>
          <x:t xml:space="preserve">杨绛女士所译《堂吉诃德》流传甚广</x:t>
        </x:is>
      </x:c>
      <x:c r="O636" s="55" t="inlineStr">
        <x:is>
          <x:t xml:space="preserve">难</x:t>
        </x:is>
      </x:c>
      <x:c r="P636" s="55" t="inlineStr">
        <x:is>
          <x:t xml:space="preserve">是</x:t>
        </x:is>
      </x:c>
      <x:c r="Q636" s="56" t="inlineStr">
        <x:is>
          <x:t xml:space="preserve">该用法在青年读者中已渐生歧义，部分出版规范建议改用“女士”</x:t>
        </x:is>
      </x:c>
      <x:c r="R636" s="57" t="inlineStr">
        <x:is>
          <x:t xml:space="preserve">主集</x:t>
        </x:is>
      </x:c>
      <x:c r="S636" s="57" t="inlineStr">
        <x:is>
          <x:t xml:space="preserve">index</x:t>
        </x:is>
      </x:c>
      <x:c r="T636" s="57" t="inlineStr">
        <x:is>
          <x:t xml:space="preserve"/>
        </x:is>
      </x:c>
    </x:row>
    <x:row r="637" s="37" customFormat="1" ht="29.850000381469727" customHeight="1">
      <x:c r="A637" s="55" t="inlineStr">
        <x:is>
          <x:t xml:space="preserve">NEG-0636</x:t>
        </x:is>
      </x:c>
      <x:c r="B637" s="55" t="inlineStr">
        <x:is>
          <x:t xml:space="preserve">v1</x:t>
        </x:is>
      </x:c>
      <x:c r="C637" s="56" t="inlineStr">
        <x:is>
          <x:t xml:space="preserve">八、语言本体层面的历史残留</x:t>
        </x:is>
      </x:c>
      <x:c r="D637" s="56" t="inlineStr">
        <x:is>
          <x:t xml:space="preserve">8.2 敬语传统的中性化用法</x:t>
        </x:is>
      </x:c>
      <x:c r="E637" s="56" t="inlineStr">
        <x:is>
          <x:t xml:space="preserve">规范示例（基线）</x:t>
        </x:is>
      </x:c>
      <x:c r="F637" s="56" t="inlineStr">
        <x:is>
          <x:t xml:space="preserve">规范示例句</x:t>
        </x:is>
      </x:c>
      <x:c r="G637" s="55" t="inlineStr">
        <x:is>
          <x:t xml:space="preserve">无</x:t>
        </x:is>
      </x:c>
      <x:c r="H637" s="55" t="str">
        <x:f>IF(LEN(I637)&lt;15,"短",IF(LEN(I637)&lt;=45,"中","长"))</x:f>
        <x:v>中</x:v>
      </x:c>
      <x:c r="I637" s="56" t="inlineStr">
        <x:is>
          <x:t xml:space="preserve">叶嘉莹先生长期从事古典诗词研究与教学。</x:t>
        </x:is>
      </x:c>
      <x:c r="J637" s="56" t="str">
        <x:f>I637</x:f>
        <x:v>叶嘉莹先生长期从事古典诗词研究与教学。</x:v>
      </x:c>
      <x:c r="K637" s="55" t="inlineStr">
        <x:is>
          <x:t xml:space="preserve">无需改写</x:t>
        </x:is>
      </x:c>
      <x:c r="L637" s="56" t="inlineStr">
        <x:is>
          <x:t xml:space="preserve">先生</x:t>
        </x:is>
      </x:c>
      <x:c r="M637" s="56" t="inlineStr">
        <x:is>
          <x:t xml:space="preserve">同上，且为当事人生前通行称谓</x:t>
        </x:is>
      </x:c>
      <x:c r="N637" s="56" t="inlineStr">
        <x:is>
          <x:t xml:space="preserve">叶嘉莹教授长期从事古典诗词研究与教学</x:t>
        </x:is>
      </x:c>
      <x:c r="O637" s="55" t="inlineStr">
        <x:is>
          <x:t xml:space="preserve">难</x:t>
        </x:is>
      </x:c>
      <x:c r="P637" s="55" t="inlineStr">
        <x:is>
          <x:t xml:space="preserve">是</x:t>
        </x:is>
      </x:c>
      <x:c r="Q637" s="56" t="n"/>
      <x:c r="R637" s="57" t="inlineStr">
        <x:is>
          <x:t xml:space="preserve">主集</x:t>
        </x:is>
      </x:c>
      <x:c r="S637" s="57" t="inlineStr">
        <x:is>
          <x:t xml:space="preserve">dev</x:t>
        </x:is>
      </x:c>
      <x:c r="T637" s="57" t="inlineStr">
        <x:is>
          <x:t xml:space="preserve"/>
        </x:is>
      </x:c>
    </x:row>
    <x:row r="638" s="37" customFormat="1" ht="29.850000381469727" customHeight="1">
      <x:c r="A638" s="55" t="inlineStr">
        <x:is>
          <x:t xml:space="preserve">NEG-0637</x:t>
        </x:is>
      </x:c>
      <x:c r="B638" s="55" t="inlineStr">
        <x:is>
          <x:t xml:space="preserve">v1</x:t>
        </x:is>
      </x:c>
      <x:c r="C638" s="56" t="inlineStr">
        <x:is>
          <x:t xml:space="preserve">八、语言本体层面的历史残留</x:t>
        </x:is>
      </x:c>
      <x:c r="D638" s="56" t="inlineStr">
        <x:is>
          <x:t xml:space="preserve">8.2 敬语传统的中性化用法</x:t>
        </x:is>
      </x:c>
      <x:c r="E638" s="56" t="inlineStr">
        <x:is>
          <x:t xml:space="preserve">规范示例（基线）</x:t>
        </x:is>
      </x:c>
      <x:c r="F638" s="56" t="inlineStr">
        <x:is>
          <x:t xml:space="preserve">规范示例句</x:t>
        </x:is>
      </x:c>
      <x:c r="G638" s="55" t="inlineStr">
        <x:is>
          <x:t xml:space="preserve">无</x:t>
        </x:is>
      </x:c>
      <x:c r="H638" s="55" t="str">
        <x:f>IF(LEN(I638)&lt;15,"短",IF(LEN(I638)&lt;=45,"中","长"))</x:f>
        <x:v>中</x:v>
      </x:c>
      <x:c r="I638" s="56" t="inlineStr">
        <x:is>
          <x:t xml:space="preserve">这位老师姓周，学生们都称他周先生。</x:t>
        </x:is>
      </x:c>
      <x:c r="J638" s="56" t="str">
        <x:f>I638</x:f>
        <x:v>这位老师姓周，学生们都称他周先生。</x:v>
      </x:c>
      <x:c r="K638" s="55" t="inlineStr">
        <x:is>
          <x:t xml:space="preserve">无需改写</x:t>
        </x:is>
      </x:c>
      <x:c r="L638" s="56" t="inlineStr">
        <x:is>
          <x:t xml:space="preserve">先生</x:t>
        </x:is>
      </x:c>
      <x:c r="M638" s="56" t="inlineStr">
        <x:is>
          <x:t xml:space="preserve">方言区中“先生”指教师，已高度中性化</x:t>
        </x:is>
      </x:c>
      <x:c r="N638" s="56" t="inlineStr">
        <x:is>
          <x:t xml:space="preserve">这位老师姓周，学生们都称他周老师</x:t>
        </x:is>
      </x:c>
      <x:c r="O638" s="55" t="inlineStr">
        <x:is>
          <x:t xml:space="preserve">中</x:t>
        </x:is>
      </x:c>
      <x:c r="P638" s="55" t="inlineStr">
        <x:is>
          <x:t xml:space="preserve">否</x:t>
        </x:is>
      </x:c>
      <x:c r="Q638" s="56" t="n"/>
      <x:c r="R638" s="57" t="inlineStr">
        <x:is>
          <x:t xml:space="preserve">主集</x:t>
        </x:is>
      </x:c>
      <x:c r="S638" s="57" t="inlineStr">
        <x:is>
          <x:t xml:space="preserve">dev</x:t>
        </x:is>
      </x:c>
      <x:c r="T638" s="57" t="inlineStr">
        <x:is>
          <x:t xml:space="preserve"/>
        </x:is>
      </x:c>
    </x:row>
    <x:row r="639" s="37" customFormat="1" ht="29.850000381469727" customHeight="1">
      <x:c r="A639" s="55" t="inlineStr">
        <x:is>
          <x:t xml:space="preserve">NEG-0638</x:t>
        </x:is>
      </x:c>
      <x:c r="B639" s="55" t="inlineStr">
        <x:is>
          <x:t xml:space="preserve">v1</x:t>
        </x:is>
      </x:c>
      <x:c r="C639" s="56" t="inlineStr">
        <x:is>
          <x:t xml:space="preserve">八、语言本体层面的历史残留</x:t>
        </x:is>
      </x:c>
      <x:c r="D639" s="56" t="inlineStr">
        <x:is>
          <x:t xml:space="preserve">8.3 已中性化的复合词</x:t>
        </x:is>
      </x:c>
      <x:c r="E639" s="56" t="inlineStr">
        <x:is>
          <x:t xml:space="preserve">规范示例（基线）</x:t>
        </x:is>
      </x:c>
      <x:c r="F639" s="56" t="inlineStr">
        <x:is>
          <x:t xml:space="preserve">规范示例句</x:t>
        </x:is>
      </x:c>
      <x:c r="G639" s="55" t="inlineStr">
        <x:is>
          <x:t xml:space="preserve">无</x:t>
        </x:is>
      </x:c>
      <x:c r="H639" s="55" t="str">
        <x:f>IF(LEN(I639)&lt;15,"短",IF(LEN(I639)&lt;=45,"中","长"))</x:f>
        <x:v>中</x:v>
      </x:c>
      <x:c r="I639" s="56" t="inlineStr">
        <x:is>
          <x:t xml:space="preserve">会上向父老乡亲通报了工程进展。</x:t>
        </x:is>
      </x:c>
      <x:c r="J639" s="56" t="str">
        <x:f>I639</x:f>
        <x:v>会上向父老乡亲通报了工程进展。</x:v>
      </x:c>
      <x:c r="K639" s="55" t="inlineStr">
        <x:is>
          <x:t xml:space="preserve">无需改写</x:t>
        </x:is>
      </x:c>
      <x:c r="L639" s="56" t="inlineStr">
        <x:is>
          <x:t xml:space="preserve">父老乡亲</x:t>
        </x:is>
      </x:c>
      <x:c r="M639" s="56" t="inlineStr">
        <x:is>
          <x:t xml:space="preserve">固定惯用语，整体泛指当地居民</x:t>
        </x:is>
      </x:c>
      <x:c r="N639" s="56" t="inlineStr">
        <x:is>
          <x:t xml:space="preserve">会上向当地居民通报了工程进展</x:t>
        </x:is>
      </x:c>
      <x:c r="O639" s="55" t="inlineStr">
        <x:is>
          <x:t xml:space="preserve">中</x:t>
        </x:is>
      </x:c>
      <x:c r="P639" s="55" t="inlineStr">
        <x:is>
          <x:t xml:space="preserve">是</x:t>
        </x:is>
      </x:c>
      <x:c r="Q639" s="56" t="inlineStr">
        <x:is>
          <x:t xml:space="preserve">惯用语是否需要中性化，各规范取舍不同</x:t>
        </x:is>
      </x:c>
      <x:c r="R639" s="57" t="inlineStr">
        <x:is>
          <x:t xml:space="preserve">主集</x:t>
        </x:is>
      </x:c>
      <x:c r="S639" s="57" t="inlineStr">
        <x:is>
          <x:t xml:space="preserve">index</x:t>
        </x:is>
      </x:c>
      <x:c r="T639" s="57" t="inlineStr">
        <x:is>
          <x:t xml:space="preserve"/>
        </x:is>
      </x:c>
    </x:row>
    <x:row r="640" s="37" customFormat="1" ht="29.850000381469727" customHeight="1">
      <x:c r="A640" s="55" t="inlineStr">
        <x:is>
          <x:t xml:space="preserve">NEG-0639</x:t>
        </x:is>
      </x:c>
      <x:c r="B640" s="55" t="inlineStr">
        <x:is>
          <x:t xml:space="preserve">v1</x:t>
        </x:is>
      </x:c>
      <x:c r="C640" s="56" t="inlineStr">
        <x:is>
          <x:t xml:space="preserve">八、语言本体层面的历史残留</x:t>
        </x:is>
      </x:c>
      <x:c r="D640" s="56" t="inlineStr">
        <x:is>
          <x:t xml:space="preserve">8.3 已中性化的复合词</x:t>
        </x:is>
      </x:c>
      <x:c r="E640" s="56" t="inlineStr">
        <x:is>
          <x:t xml:space="preserve">规范示例（基线）</x:t>
        </x:is>
      </x:c>
      <x:c r="F640" s="56" t="inlineStr">
        <x:is>
          <x:t xml:space="preserve">规范示例句</x:t>
        </x:is>
      </x:c>
      <x:c r="G640" s="55" t="inlineStr">
        <x:is>
          <x:t xml:space="preserve">无</x:t>
        </x:is>
      </x:c>
      <x:c r="H640" s="55" t="str">
        <x:f>IF(LEN(I640)&lt;15,"短",IF(LEN(I640)&lt;=45,"中","长"))</x:f>
        <x:v>中</x:v>
      </x:c>
      <x:c r="I640" s="56" t="inlineStr">
        <x:is>
          <x:t xml:space="preserve">颁奖时全场男女老少一同起立鼓掌。</x:t>
        </x:is>
      </x:c>
      <x:c r="J640" s="56" t="str">
        <x:f>I640</x:f>
        <x:v>颁奖时全场男女老少一同起立鼓掌。</x:v>
      </x:c>
      <x:c r="K640" s="55" t="inlineStr">
        <x:is>
          <x:t xml:space="preserve">无需改写</x:t>
        </x:is>
      </x:c>
      <x:c r="L640" s="56" t="inlineStr">
        <x:is>
          <x:t xml:space="preserve">男女老少</x:t>
        </x:is>
      </x:c>
      <x:c r="M640" s="56" t="inlineStr">
        <x:is>
          <x:t xml:space="preserve">四字格整体泛指全体在场者，非强制二元分类</x:t>
        </x:is>
      </x:c>
      <x:c r="N640" s="56" t="inlineStr">
        <x:is>
          <x:t xml:space="preserve">颁奖时全场观众一同起立鼓掌</x:t>
        </x:is>
      </x:c>
      <x:c r="O640" s="55" t="inlineStr">
        <x:is>
          <x:t xml:space="preserve">中</x:t>
        </x:is>
      </x:c>
      <x:c r="P640" s="55" t="inlineStr">
        <x:is>
          <x:t xml:space="preserve">是</x:t>
        </x:is>
      </x:c>
      <x:c r="Q640" s="56" t="n"/>
      <x:c r="R640" s="57" t="inlineStr">
        <x:is>
          <x:t xml:space="preserve">主集</x:t>
        </x:is>
      </x:c>
      <x:c r="S640" s="57" t="inlineStr">
        <x:is>
          <x:t xml:space="preserve">test</x:t>
        </x:is>
      </x:c>
      <x:c r="T640" s="57" t="inlineStr">
        <x:is>
          <x:t xml:space="preserve"/>
        </x:is>
      </x:c>
    </x:row>
    <x:row r="641" s="37" customFormat="1" ht="29.850000381469727" customHeight="1">
      <x:c r="A641" s="55" t="inlineStr">
        <x:is>
          <x:t xml:space="preserve">NEG-0640</x:t>
        </x:is>
      </x:c>
      <x:c r="B641" s="55" t="inlineStr">
        <x:is>
          <x:t xml:space="preserve">v1</x:t>
        </x:is>
      </x:c>
      <x:c r="C641" s="56" t="inlineStr">
        <x:is>
          <x:t xml:space="preserve">八、语言本体层面的历史残留</x:t>
        </x:is>
      </x:c>
      <x:c r="D641" s="56" t="inlineStr">
        <x:is>
          <x:t xml:space="preserve">8.4 语法性词汇</x:t>
        </x:is>
      </x:c>
      <x:c r="E641" s="56" t="inlineStr">
        <x:is>
          <x:t xml:space="preserve">规范示例（基线）</x:t>
        </x:is>
      </x:c>
      <x:c r="F641" s="56" t="inlineStr">
        <x:is>
          <x:t xml:space="preserve">规范示例句</x:t>
        </x:is>
      </x:c>
      <x:c r="G641" s="55" t="inlineStr">
        <x:is>
          <x:t xml:space="preserve">无</x:t>
        </x:is>
      </x:c>
      <x:c r="H641" s="55" t="str">
        <x:f>IF(LEN(I641)&lt;15,"短",IF(LEN(I641)&lt;=45,"中","长"))</x:f>
        <x:v>中</x:v>
      </x:c>
      <x:c r="I641" s="56" t="inlineStr">
        <x:is>
          <x:t xml:space="preserve">汉语没有性、数、格的形态变化，性别标记主要存在于书面代词与少量称谓。</x:t>
        </x:is>
      </x:c>
      <x:c r="J641" s="56" t="str">
        <x:f>I641</x:f>
        <x:v>汉语没有性、数、格的形态变化，性别标记主要存在于书面代词与少量称谓。</x:v>
      </x:c>
      <x:c r="K641" s="55" t="inlineStr">
        <x:is>
          <x:t xml:space="preserve">无需改写</x:t>
        </x:is>
      </x:c>
      <x:c r="L641" s="56" t="inlineStr">
        <x:is>
          <x:t xml:space="preserve">性别标记</x:t>
        </x:is>
      </x:c>
      <x:c r="M641" s="56" t="inlineStr">
        <x:is>
          <x:t xml:space="preserve">语言学事实陈述</x:t>
        </x:is>
      </x:c>
      <x:c r="N641" s="56" t="inlineStr">
        <x:is>
          <x:t xml:space="preserve">汉语没有形态变化</x:t>
        </x:is>
      </x:c>
      <x:c r="O641" s="55" t="inlineStr">
        <x:is>
          <x:t xml:space="preserve">易</x:t>
        </x:is>
      </x:c>
      <x:c r="P641" s="55" t="inlineStr">
        <x:is>
          <x:t xml:space="preserve">否</x:t>
        </x:is>
      </x:c>
      <x:c r="Q641" s="56" t="n"/>
      <x:c r="R641" s="57" t="inlineStr">
        <x:is>
          <x:t xml:space="preserve">主集</x:t>
        </x:is>
      </x:c>
      <x:c r="S641" s="57" t="inlineStr">
        <x:is>
          <x:t xml:space="preserve">index</x:t>
        </x:is>
      </x:c>
      <x:c r="T641" s="57" t="inlineStr">
        <x:is>
          <x:t xml:space="preserve"/>
        </x:is>
      </x:c>
    </x:row>
    <x:row r="642" s="37" customFormat="1" ht="29.850000381469727" customHeight="1">
      <x:c r="A642" s="55" t="inlineStr">
        <x:is>
          <x:t xml:space="preserve">NEG-0641</x:t>
        </x:is>
      </x:c>
      <x:c r="B642" s="55" t="inlineStr">
        <x:is>
          <x:t xml:space="preserve">v1</x:t>
        </x:is>
      </x:c>
      <x:c r="C642" s="56" t="inlineStr">
        <x:is>
          <x:t xml:space="preserve">八、语言本体层面的历史残留</x:t>
        </x:is>
      </x:c>
      <x:c r="D642" s="56" t="inlineStr">
        <x:is>
          <x:t xml:space="preserve">8.5 惯用搭配与固定表达</x:t>
        </x:is>
      </x:c>
      <x:c r="E642" s="56" t="inlineStr">
        <x:is>
          <x:t xml:space="preserve">规范示例（基线）</x:t>
        </x:is>
      </x:c>
      <x:c r="F642" s="56" t="inlineStr">
        <x:is>
          <x:t xml:space="preserve">规范示例句</x:t>
        </x:is>
      </x:c>
      <x:c r="G642" s="55" t="inlineStr">
        <x:is>
          <x:t xml:space="preserve">无</x:t>
        </x:is>
      </x:c>
      <x:c r="H642" s="55" t="str">
        <x:f>IF(LEN(I642)&lt;15,"短",IF(LEN(I642)&lt;=45,"中","长"))</x:f>
        <x:v>中</x:v>
      </x:c>
      <x:c r="I642" s="56" t="inlineStr">
        <x:is>
          <x:t xml:space="preserve">兄弟单位已派技术人员前来对接。</x:t>
        </x:is>
      </x:c>
      <x:c r="J642" s="56" t="str">
        <x:f>I642</x:f>
        <x:v>兄弟单位已派技术人员前来对接。</x:v>
      </x:c>
      <x:c r="K642" s="55" t="inlineStr">
        <x:is>
          <x:t xml:space="preserve">无需改写</x:t>
        </x:is>
      </x:c>
      <x:c r="L642" s="56" t="inlineStr">
        <x:is>
          <x:t xml:space="preserve">兄弟单位</x:t>
        </x:is>
      </x:c>
      <x:c r="M642" s="56" t="inlineStr">
        <x:is>
          <x:t xml:space="preserve">机构间的固定惯用语</x:t>
        </x:is>
      </x:c>
      <x:c r="N642" s="56" t="inlineStr">
        <x:is>
          <x:t xml:space="preserve">协作单位已派技术人员前来对接</x:t>
        </x:is>
      </x:c>
      <x:c r="O642" s="55" t="inlineStr">
        <x:is>
          <x:t xml:space="preserve">中</x:t>
        </x:is>
      </x:c>
      <x:c r="P642" s="55" t="inlineStr">
        <x:is>
          <x:t xml:space="preserve">是</x:t>
        </x:is>
      </x:c>
      <x:c r="Q642" s="56" t="inlineStr">
        <x:is>
          <x:t xml:space="preserve">争议较大，正式公文中部分单位已改用“协作单位”</x:t>
        </x:is>
      </x:c>
      <x:c r="R642" s="57" t="inlineStr">
        <x:is>
          <x:t xml:space="preserve">主集</x:t>
        </x:is>
      </x:c>
      <x:c r="S642" s="57" t="inlineStr">
        <x:is>
          <x:t xml:space="preserve">index</x:t>
        </x:is>
      </x:c>
      <x:c r="T642" s="57" t="inlineStr">
        <x:is>
          <x:t xml:space="preserve"/>
        </x:is>
      </x:c>
    </x:row>
    <x:row r="643" s="37" customFormat="1" ht="29.850000381469727" customHeight="1">
      <x:c r="A643" s="55" t="inlineStr">
        <x:is>
          <x:t xml:space="preserve">NEG-0642</x:t>
        </x:is>
      </x:c>
      <x:c r="B643" s="55" t="inlineStr">
        <x:is>
          <x:t xml:space="preserve">v5</x:t>
        </x:is>
      </x:c>
      <x:c r="C643" s="56" t="inlineStr">
        <x:is>
          <x:t xml:space="preserve">一、指称已知性别的具体个人</x:t>
        </x:is>
      </x:c>
      <x:c r="D643" s="56" t="inlineStr">
        <x:is>
          <x:t xml:space="preserve">1.1 姓名与社会称谓</x:t>
        </x:is>
      </x:c>
      <x:c r="E643" s="56" t="inlineStr">
        <x:is>
          <x:t xml:space="preserve">医疗健康</x:t>
        </x:is>
      </x:c>
      <x:c r="F643" s="56" t="inlineStr">
        <x:is>
          <x:t xml:space="preserve">历史科普</x:t>
        </x:is>
      </x:c>
      <x:c r="G643" s="55" t="inlineStr">
        <x:is>
          <x:t xml:space="preserve">无</x:t>
        </x:is>
      </x:c>
      <x:c r="H643" s="55" t="str">
        <x:f>IF(LEN(I643)&lt;15,"短",IF(LEN(I643)&lt;=45,"中","长"))</x:f>
        <x:v>中</x:v>
      </x:c>
      <x:c r="I643" s="56" t="inlineStr">
        <x:is>
          <x:t xml:space="preserve">慈禧太后晚年推行的新政，与她此前的立场有明显反差。</x:t>
        </x:is>
      </x:c>
      <x:c r="J643" s="56" t="str">
        <x:f>I643</x:f>
        <x:v>慈禧太后晚年推行的新政，与她此前的立场有明显反差。</x:v>
      </x:c>
      <x:c r="K643" s="55" t="inlineStr">
        <x:is>
          <x:t xml:space="preserve">无需改写</x:t>
        </x:is>
      </x:c>
      <x:c r="L643" s="56" t="inlineStr">
        <x:is>
          <x:t xml:space="preserve">慈禧太后/她</x:t>
        </x:is>
      </x:c>
      <x:c r="M643" s="56" t="inlineStr">
        <x:is>
          <x:t xml:space="preserve">历史人物谥号与代词</x:t>
        </x:is>
      </x:c>
      <x:c r="N643" s="56" t="inlineStr">
        <x:is>
          <x:t xml:space="preserve">这位统治者晚年推行的新政</x:t>
        </x:is>
      </x:c>
      <x:c r="O643" s="55" t="inlineStr">
        <x:is>
          <x:t xml:space="preserve">易</x:t>
        </x:is>
      </x:c>
      <x:c r="P643" s="55" t="inlineStr">
        <x:is>
          <x:t xml:space="preserve">否</x:t>
        </x:is>
      </x:c>
      <x:c r="Q643" s="56" t="n"/>
      <x:c r="R643" s="57" t="inlineStr">
        <x:is>
          <x:t xml:space="preserve">主集</x:t>
        </x:is>
      </x:c>
      <x:c r="S643" s="57" t="inlineStr">
        <x:is>
          <x:t xml:space="preserve">index</x:t>
        </x:is>
      </x:c>
      <x:c r="T643" s="57" t="inlineStr">
        <x:is>
          <x:t xml:space="preserve"/>
        </x:is>
      </x:c>
    </x:row>
    <x:row r="644" s="37" customFormat="1" ht="29.850000381469727" customHeight="1">
      <x:c r="A644" s="55" t="inlineStr">
        <x:is>
          <x:t xml:space="preserve">NEG-0643</x:t>
        </x:is>
      </x:c>
      <x:c r="B644" s="55" t="inlineStr">
        <x:is>
          <x:t xml:space="preserve">v5</x:t>
        </x:is>
      </x:c>
      <x:c r="C644" s="56" t="inlineStr">
        <x:is>
          <x:t xml:space="preserve">一、指称已知性别的具体个人</x:t>
        </x:is>
      </x:c>
      <x:c r="D644" s="56" t="inlineStr">
        <x:is>
          <x:t xml:space="preserve">1.1 姓名与社会称谓</x:t>
        </x:is>
      </x:c>
      <x:c r="E644" s="56" t="inlineStr">
        <x:is>
          <x:t xml:space="preserve">文艺创作与评论</x:t>
        </x:is>
      </x:c>
      <x:c r="F644" s="56" t="inlineStr">
        <x:is>
          <x:t xml:space="preserve">戏曲介绍</x:t>
        </x:is>
      </x:c>
      <x:c r="G644" s="55" t="inlineStr">
        <x:is>
          <x:t xml:space="preserve">无</x:t>
        </x:is>
      </x:c>
      <x:c r="H644" s="55" t="str">
        <x:f>IF(LEN(I644)&lt;15,"短",IF(LEN(I644)&lt;=45,"中","长"))</x:f>
        <x:v>中</x:v>
      </x:c>
      <x:c r="I644" s="56" t="inlineStr">
        <x:is>
          <x:t xml:space="preserve">梅兰芳的《贵妃醉酒》早期录音现在还能找到。</x:t>
        </x:is>
      </x:c>
      <x:c r="J644" s="56" t="str">
        <x:f>I644</x:f>
        <x:v>梅兰芳的《贵妃醉酒》早期录音现在还能找到。</x:v>
      </x:c>
      <x:c r="K644" s="55" t="inlineStr">
        <x:is>
          <x:t xml:space="preserve">无需改写</x:t>
        </x:is>
      </x:c>
      <x:c r="L644" s="56" t="inlineStr">
        <x:is>
          <x:t xml:space="preserve">梅兰芳/贵妃</x:t>
        </x:is>
      </x:c>
      <x:c r="M644" s="56" t="inlineStr">
        <x:is>
          <x:t xml:space="preserve">人名与剧目名</x:t>
        </x:is>
      </x:c>
      <x:c r="N644" s="56" t="inlineStr">
        <x:is>
          <x:t xml:space="preserve">这位京剧艺术家的代表作录音还能找到</x:t>
        </x:is>
      </x:c>
      <x:c r="O644" s="55" t="inlineStr">
        <x:is>
          <x:t xml:space="preserve">易</x:t>
        </x:is>
      </x:c>
      <x:c r="P644" s="55" t="inlineStr">
        <x:is>
          <x:t xml:space="preserve">否</x:t>
        </x:is>
      </x:c>
      <x:c r="Q644" s="56" t="n"/>
      <x:c r="R644" s="57" t="inlineStr">
        <x:is>
          <x:t xml:space="preserve">主集</x:t>
        </x:is>
      </x:c>
      <x:c r="S644" s="57" t="inlineStr">
        <x:is>
          <x:t xml:space="preserve">index</x:t>
        </x:is>
      </x:c>
      <x:c r="T644" s="57" t="inlineStr">
        <x:is>
          <x:t xml:space="preserve"/>
        </x:is>
      </x:c>
    </x:row>
    <x:row r="645" s="37" customFormat="1" ht="29.850000381469727" customHeight="1">
      <x:c r="A645" s="58" t="inlineStr">
        <x:is>
          <x:t xml:space="preserve">NEG-0644</x:t>
        </x:is>
      </x:c>
      <x:c r="B645" s="58" t="inlineStr">
        <x:is>
          <x:t xml:space="preserve">v5</x:t>
        </x:is>
      </x:c>
      <x:c r="C645" s="59" t="inlineStr">
        <x:is>
          <x:t xml:space="preserve">一、指称已知性别的具体个人</x:t>
        </x:is>
      </x:c>
      <x:c r="D645" s="59" t="inlineStr">
        <x:is>
          <x:t xml:space="preserve">1.1 姓名与社会称谓</x:t>
        </x:is>
      </x:c>
      <x:c r="E645" s="59" t="inlineStr">
        <x:is>
          <x:t xml:space="preserve">新闻报道</x:t>
        </x:is>
      </x:c>
      <x:c r="F645" s="59" t="inlineStr">
        <x:is>
          <x:t xml:space="preserve">人物介绍</x:t>
        </x:is>
      </x:c>
      <x:c r="G645" s="58" t="inlineStr">
        <x:is>
          <x:t xml:space="preserve">无</x:t>
        </x:is>
      </x:c>
      <x:c r="H645" s="58" t="str">
        <x:f>IF(LEN(I645)&lt;15,"短",IF(LEN(I645)&lt;=45,"中","长"))</x:f>
        <x:v>中</x:v>
      </x:c>
      <x:c r="I645" s="59" t="inlineStr">
        <x:is>
          <x:t xml:space="preserve">这座庵堂的住持是一位比丘尼，法号常悟。</x:t>
        </x:is>
      </x:c>
      <x:c r="J645" s="59" t="str">
        <x:f>I645</x:f>
        <x:v>这座庵堂的住持是一位比丘尼，法号常悟。</x:v>
      </x:c>
      <x:c r="K645" s="58" t="inlineStr">
        <x:is>
          <x:t xml:space="preserve">无需改写</x:t>
        </x:is>
      </x:c>
      <x:c r="L645" s="59" t="inlineStr">
        <x:is>
          <x:t xml:space="preserve">比丘尼</x:t>
        </x:is>
      </x:c>
      <x:c r="M645" s="59" t="inlineStr">
        <x:is>
          <x:t xml:space="preserve">宗教身份的正式称谓</x:t>
        </x:is>
      </x:c>
      <x:c r="N645" s="59" t="inlineStr">
        <x:is>
          <x:t xml:space="preserve">这座庵堂的住持法号常悟</x:t>
        </x:is>
      </x:c>
      <x:c r="O645" s="58" t="inlineStr">
        <x:is>
          <x:t xml:space="preserve">易</x:t>
        </x:is>
      </x:c>
      <x:c r="P645" s="58" t="inlineStr">
        <x:is>
          <x:t xml:space="preserve">否</x:t>
        </x:is>
      </x:c>
      <x:c r="Q645" s="59" t="n"/>
      <x:c r="R645" s="60" t="inlineStr">
        <x:is>
          <x:t xml:space="preserve">隔离·待确认</x:t>
        </x:is>
      </x:c>
      <x:c r="S645" s="60" t="inlineStr">
        <x:is>
          <x:t xml:space="preserve"/>
        </x:is>
      </x:c>
      <x:c r="T645" s="60" t="inlineStr">
        <x:is>
          <x:t xml:space="preserve">触发词不含性别编码——判断可能依赖世界知识而非句内信息</x:t>
        </x:is>
      </x:c>
    </x:row>
    <x:row r="646" s="37" customFormat="1" ht="29.850000381469727" customHeight="1">
      <x:c r="A646" s="55" t="inlineStr">
        <x:is>
          <x:t xml:space="preserve">NEG-0645</x:t>
        </x:is>
      </x:c>
      <x:c r="B646" s="55" t="inlineStr">
        <x:is>
          <x:t xml:space="preserve">v5</x:t>
        </x:is>
      </x:c>
      <x:c r="C646" s="56" t="inlineStr">
        <x:is>
          <x:t xml:space="preserve">一、指称已知性别的具体个人</x:t>
        </x:is>
      </x:c>
      <x:c r="D646" s="56" t="inlineStr">
        <x:is>
          <x:t xml:space="preserve">1.1 姓名与社会称谓</x:t>
        </x:is>
      </x:c>
      <x:c r="E646" s="56" t="inlineStr">
        <x:is>
          <x:t xml:space="preserve">口语与私人交流</x:t>
        </x:is>
      </x:c>
      <x:c r="F646" s="56" t="inlineStr">
        <x:is>
          <x:t xml:space="preserve">家常口语</x:t>
        </x:is>
      </x:c>
      <x:c r="G646" s="55" t="inlineStr">
        <x:is>
          <x:t xml:space="preserve">无</x:t>
        </x:is>
      </x:c>
      <x:c r="H646" s="55" t="str">
        <x:f>IF(LEN(I646)&lt;15,"短",IF(LEN(I646)&lt;=45,"中","长"))</x:f>
        <x:v>中</x:v>
      </x:c>
      <x:c r="I646" s="56" t="inlineStr">
        <x:is>
          <x:t xml:space="preserve">我干妈住在隔壁单元，从小拿我当亲儿子。</x:t>
        </x:is>
      </x:c>
      <x:c r="J646" s="56" t="str">
        <x:f>I646</x:f>
        <x:v>我干妈住在隔壁单元，从小拿我当亲儿子。</x:v>
      </x:c>
      <x:c r="K646" s="55" t="inlineStr">
        <x:is>
          <x:t xml:space="preserve">无需改写</x:t>
        </x:is>
      </x:c>
      <x:c r="L646" s="56" t="inlineStr">
        <x:is>
          <x:t xml:space="preserve">干妈/亲儿子</x:t>
        </x:is>
      </x:c>
      <x:c r="M646" s="56" t="inlineStr">
        <x:is>
          <x:t xml:space="preserve">拟亲属称谓，指具体某人</x:t>
        </x:is>
      </x:c>
      <x:c r="N646" s="56" t="inlineStr">
        <x:is>
          <x:t xml:space="preserve">我的长辈住在隔壁单元</x:t>
        </x:is>
      </x:c>
      <x:c r="O646" s="55" t="inlineStr">
        <x:is>
          <x:t xml:space="preserve">中</x:t>
        </x:is>
      </x:c>
      <x:c r="P646" s="55" t="inlineStr">
        <x:is>
          <x:t xml:space="preserve">否</x:t>
        </x:is>
      </x:c>
      <x:c r="Q646" s="56" t="n"/>
      <x:c r="R646" s="57" t="inlineStr">
        <x:is>
          <x:t xml:space="preserve">主集</x:t>
        </x:is>
      </x:c>
      <x:c r="S646" s="57" t="inlineStr">
        <x:is>
          <x:t xml:space="preserve">test</x:t>
        </x:is>
      </x:c>
      <x:c r="T646" s="57" t="inlineStr">
        <x:is>
          <x:t xml:space="preserve"/>
        </x:is>
      </x:c>
    </x:row>
    <x:row r="647" s="37" customFormat="1" ht="29.850000381469727" customHeight="1">
      <x:c r="A647" s="55" t="inlineStr">
        <x:is>
          <x:t xml:space="preserve">NEG-0646</x:t>
        </x:is>
      </x:c>
      <x:c r="B647" s="55" t="inlineStr">
        <x:is>
          <x:t xml:space="preserve">v5</x:t>
        </x:is>
      </x:c>
      <x:c r="C647" s="56" t="inlineStr">
        <x:is>
          <x:t xml:space="preserve">一、指称已知性别的具体个人</x:t>
        </x:is>
      </x:c>
      <x:c r="D647" s="56" t="inlineStr">
        <x:is>
          <x:t xml:space="preserve">1.1 姓名与社会称谓</x:t>
        </x:is>
      </x:c>
      <x:c r="E647" s="56" t="inlineStr">
        <x:is>
          <x:t xml:space="preserve">社交与社区</x:t>
        </x:is>
      </x:c>
      <x:c r="F647" s="56" t="inlineStr">
        <x:is>
          <x:t xml:space="preserve">育儿社群</x:t>
        </x:is>
      </x:c>
      <x:c r="G647" s="55" t="inlineStr">
        <x:is>
          <x:t xml:space="preserve">网络用语</x:t>
        </x:is>
      </x:c>
      <x:c r="H647" s="55" t="str">
        <x:f>IF(LEN(I647)&lt;15,"短",IF(LEN(I647)&lt;=45,"中","长"))</x:f>
        <x:v>中</x:v>
      </x:c>
      <x:c r="I647" s="56" t="inlineStr">
        <x:is>
          <x:t xml:space="preserve">奶爸群里聊的话题跟妈妈群完全不是一个路数。</x:t>
        </x:is>
      </x:c>
      <x:c r="J647" s="56" t="str">
        <x:f>I647</x:f>
        <x:v>奶爸群里聊的话题跟妈妈群完全不是一个路数。</x:v>
      </x:c>
      <x:c r="K647" s="55" t="inlineStr">
        <x:is>
          <x:t xml:space="preserve">无需改写</x:t>
        </x:is>
      </x:c>
      <x:c r="L647" s="56" t="inlineStr">
        <x:is>
          <x:t xml:space="preserve">奶爸/妈妈群</x:t>
        </x:is>
      </x:c>
      <x:c r="M647" s="56" t="inlineStr">
        <x:is>
          <x:t xml:space="preserve">社群自称与实况描述</x:t>
        </x:is>
      </x:c>
      <x:c r="N647" s="56" t="inlineStr">
        <x:is>
          <x:t xml:space="preserve">家长群里聊的话题各不相同</x:t>
        </x:is>
      </x:c>
      <x:c r="O647" s="55" t="inlineStr">
        <x:is>
          <x:t xml:space="preserve">难</x:t>
        </x:is>
      </x:c>
      <x:c r="P647" s="55" t="inlineStr">
        <x:is>
          <x:t xml:space="preserve">否</x:t>
        </x:is>
      </x:c>
      <x:c r="Q647" s="56" t="n"/>
      <x:c r="R647" s="57" t="inlineStr">
        <x:is>
          <x:t xml:space="preserve">主集</x:t>
        </x:is>
      </x:c>
      <x:c r="S647" s="57" t="inlineStr">
        <x:is>
          <x:t xml:space="preserve">index</x:t>
        </x:is>
      </x:c>
      <x:c r="T647" s="57" t="inlineStr">
        <x:is>
          <x:t xml:space="preserve"/>
        </x:is>
      </x:c>
    </x:row>
    <x:row r="648" s="37" customFormat="1" ht="29.850000381469727" customHeight="1">
      <x:c r="A648" s="58" t="inlineStr">
        <x:is>
          <x:t xml:space="preserve">NEG-0647</x:t>
        </x:is>
      </x:c>
      <x:c r="B648" s="58" t="inlineStr">
        <x:is>
          <x:t xml:space="preserve">v5</x:t>
        </x:is>
      </x:c>
      <x:c r="C648" s="59" t="inlineStr">
        <x:is>
          <x:t xml:space="preserve">一、指称已知性别的具体个人</x:t>
        </x:is>
      </x:c>
      <x:c r="D648" s="59" t="inlineStr">
        <x:is>
          <x:t xml:space="preserve">1.1 姓名与社会称谓</x:t>
        </x:is>
      </x:c>
      <x:c r="E648" s="59" t="inlineStr">
        <x:is>
          <x:t xml:space="preserve">学术与调研</x:t>
        </x:is>
      </x:c>
      <x:c r="F648" s="59" t="inlineStr">
        <x:is>
          <x:t xml:space="preserve">语文教学</x:t>
        </x:is>
      </x:c>
      <x:c r="G648" s="58" t="inlineStr">
        <x:is>
          <x:t xml:space="preserve">无</x:t>
        </x:is>
      </x:c>
      <x:c r="H648" s="58" t="str">
        <x:f>IF(LEN(I648)&lt;15,"短",IF(LEN(I648)&lt;=45,"中","长"))</x:f>
        <x:v>中</x:v>
      </x:c>
      <x:c r="I648" s="59" t="inlineStr">
        <x:is>
          <x:t xml:space="preserve">屈原的《离骚》是必背篇目，孔子的《论语》选段也要考。</x:t>
        </x:is>
      </x:c>
      <x:c r="J648" s="59" t="str">
        <x:f>I648</x:f>
        <x:v>屈原的《离骚》是必背篇目，孔子的《论语》选段也要考。</x:v>
      </x:c>
      <x:c r="K648" s="58" t="inlineStr">
        <x:is>
          <x:t xml:space="preserve">无需改写</x:t>
        </x:is>
      </x:c>
      <x:c r="L648" s="59" t="inlineStr">
        <x:is>
          <x:t xml:space="preserve">屈原/孔子</x:t>
        </x:is>
      </x:c>
      <x:c r="M648" s="59" t="inlineStr">
        <x:is>
          <x:t xml:space="preserve">历史人物敬称与专名</x:t>
        </x:is>
      </x:c>
      <x:c r="N648" s="59" t="inlineStr">
        <x:is>
          <x:t xml:space="preserve">这两位先贤的作品都是必背篇目</x:t>
        </x:is>
      </x:c>
      <x:c r="O648" s="58" t="inlineStr">
        <x:is>
          <x:t xml:space="preserve">易</x:t>
        </x:is>
      </x:c>
      <x:c r="P648" s="58" t="inlineStr">
        <x:is>
          <x:t xml:space="preserve">否</x:t>
        </x:is>
      </x:c>
      <x:c r="Q648" s="59" t="n"/>
      <x:c r="R648" s="60" t="inlineStr">
        <x:is>
          <x:t xml:space="preserve">隔离·待确认</x:t>
        </x:is>
      </x:c>
      <x:c r="S648" s="60" t="inlineStr">
        <x:is>
          <x:t xml:space="preserve"/>
        </x:is>
      </x:c>
      <x:c r="T648" s="60" t="inlineStr">
        <x:is>
          <x:t xml:space="preserve">触发词不含性别编码——判断可能依赖世界知识而非句内信息</x:t>
        </x:is>
      </x:c>
    </x:row>
    <x:row r="649" s="37" customFormat="1" ht="29.850000381469727" customHeight="1">
      <x:c r="A649" s="55" t="inlineStr">
        <x:is>
          <x:t xml:space="preserve">NEG-0648</x:t>
        </x:is>
      </x:c>
      <x:c r="B649" s="55" t="inlineStr">
        <x:is>
          <x:t xml:space="preserve">v5</x:t>
        </x:is>
      </x:c>
      <x:c r="C649" s="56" t="inlineStr">
        <x:is>
          <x:t xml:space="preserve">一、指称已知性别的具体个人</x:t>
        </x:is>
      </x:c>
      <x:c r="D649" s="56" t="inlineStr">
        <x:is>
          <x:t xml:space="preserve">1.2 人称代词</x:t>
        </x:is>
      </x:c>
      <x:c r="E649" s="56" t="inlineStr">
        <x:is>
          <x:t xml:space="preserve">口语与私人交流</x:t>
        </x:is>
      </x:c>
      <x:c r="F649" s="56" t="inlineStr">
        <x:is>
          <x:t xml:space="preserve">日常口语</x:t>
        </x:is>
      </x:c>
      <x:c r="G649" s="55" t="inlineStr">
        <x:is>
          <x:t xml:space="preserve">无</x:t>
        </x:is>
      </x:c>
      <x:c r="H649" s="55" t="str">
        <x:f>IF(LEN(I649)&lt;15,"短",IF(LEN(I649)&lt;=45,"中","长"))</x:f>
        <x:v>中</x:v>
      </x:c>
      <x:c r="I649" s="56" t="inlineStr">
        <x:is>
          <x:t xml:space="preserve">他俩从初中同桌到现在，认识快二十年了。</x:t>
        </x:is>
      </x:c>
      <x:c r="J649" s="56" t="str">
        <x:f>I649</x:f>
        <x:v>他俩从初中同桌到现在，认识快二十年了。</x:v>
      </x:c>
      <x:c r="K649" s="55" t="inlineStr">
        <x:is>
          <x:t xml:space="preserve">无需改写</x:t>
        </x:is>
      </x:c>
      <x:c r="L649" s="56" t="inlineStr">
        <x:is>
          <x:t xml:space="preserve">他俩</x:t>
        </x:is>
      </x:c>
      <x:c r="M649" s="56" t="inlineStr">
        <x:is>
          <x:t xml:space="preserve">双数代词指两位已知男性</x:t>
        </x:is>
      </x:c>
      <x:c r="N649" s="56" t="inlineStr">
        <x:is>
          <x:t xml:space="preserve">他们从初中同桌到现在</x:t>
        </x:is>
      </x:c>
      <x:c r="O649" s="55" t="inlineStr">
        <x:is>
          <x:t xml:space="preserve">中</x:t>
        </x:is>
      </x:c>
      <x:c r="P649" s="55" t="inlineStr">
        <x:is>
          <x:t xml:space="preserve">否</x:t>
        </x:is>
      </x:c>
      <x:c r="Q649" s="56" t="n"/>
      <x:c r="R649" s="57" t="inlineStr">
        <x:is>
          <x:t xml:space="preserve">主集</x:t>
        </x:is>
      </x:c>
      <x:c r="S649" s="57" t="inlineStr">
        <x:is>
          <x:t xml:space="preserve">test</x:t>
        </x:is>
      </x:c>
      <x:c r="T649" s="57" t="inlineStr">
        <x:is>
          <x:t xml:space="preserve"/>
        </x:is>
      </x:c>
    </x:row>
    <x:row r="650" s="37" customFormat="1" ht="29.850000381469727" customHeight="1">
      <x:c r="A650" s="55" t="inlineStr">
        <x:is>
          <x:t xml:space="preserve">NEG-0649</x:t>
        </x:is>
      </x:c>
      <x:c r="B650" s="55" t="inlineStr">
        <x:is>
          <x:t xml:space="preserve">v5</x:t>
        </x:is>
      </x:c>
      <x:c r="C650" s="56" t="inlineStr">
        <x:is>
          <x:t xml:space="preserve">一、指称已知性别的具体个人</x:t>
        </x:is>
      </x:c>
      <x:c r="D650" s="56" t="inlineStr">
        <x:is>
          <x:t xml:space="preserve">1.2 人称代词</x:t>
        </x:is>
      </x:c>
      <x:c r="E650" s="56" t="inlineStr">
        <x:is>
          <x:t xml:space="preserve">口语与私人交流</x:t>
        </x:is>
      </x:c>
      <x:c r="F650" s="56" t="inlineStr">
        <x:is>
          <x:t xml:space="preserve">生活分享</x:t>
        </x:is>
      </x:c>
      <x:c r="G650" s="55" t="inlineStr">
        <x:is>
          <x:t xml:space="preserve">无</x:t>
        </x:is>
      </x:c>
      <x:c r="H650" s="55" t="str">
        <x:f>IF(LEN(I650)&lt;15,"短",IF(LEN(I650)&lt;=45,"中","长"))</x:f>
        <x:v>中</x:v>
      </x:c>
      <x:c r="I650" s="56" t="inlineStr">
        <x:is>
          <x:t xml:space="preserve">她俩合租了三年，上个月才各自搬出去。</x:t>
        </x:is>
      </x:c>
      <x:c r="J650" s="56" t="str">
        <x:f>I650</x:f>
        <x:v>她俩合租了三年，上个月才各自搬出去。</x:v>
      </x:c>
      <x:c r="K650" s="55" t="inlineStr">
        <x:is>
          <x:t xml:space="preserve">无需改写</x:t>
        </x:is>
      </x:c>
      <x:c r="L650" s="56" t="inlineStr">
        <x:is>
          <x:t xml:space="preserve">她俩</x:t>
        </x:is>
      </x:c>
      <x:c r="M650" s="56" t="inlineStr">
        <x:is>
          <x:t xml:space="preserve">双数代词指两位已知女性</x:t>
        </x:is>
      </x:c>
      <x:c r="N650" s="56" t="inlineStr">
        <x:is>
          <x:t xml:space="preserve">她们合租了三年</x:t>
        </x:is>
      </x:c>
      <x:c r="O650" s="55" t="inlineStr">
        <x:is>
          <x:t xml:space="preserve">中</x:t>
        </x:is>
      </x:c>
      <x:c r="P650" s="55" t="inlineStr">
        <x:is>
          <x:t xml:space="preserve">否</x:t>
        </x:is>
      </x:c>
      <x:c r="Q650" s="56" t="n"/>
      <x:c r="R650" s="57" t="inlineStr">
        <x:is>
          <x:t xml:space="preserve">主集</x:t>
        </x:is>
      </x:c>
      <x:c r="S650" s="57" t="inlineStr">
        <x:is>
          <x:t xml:space="preserve">index</x:t>
        </x:is>
      </x:c>
      <x:c r="T650" s="57" t="inlineStr">
        <x:is>
          <x:t xml:space="preserve"/>
        </x:is>
      </x:c>
    </x:row>
    <x:row r="651" s="37" customFormat="1" ht="29.850000381469727" customHeight="1">
      <x:c r="A651" s="55" t="inlineStr">
        <x:is>
          <x:t xml:space="preserve">NEG-0650</x:t>
        </x:is>
      </x:c>
      <x:c r="B651" s="55" t="inlineStr">
        <x:is>
          <x:t xml:space="preserve">v5</x:t>
        </x:is>
      </x:c>
      <x:c r="C651" s="56" t="inlineStr">
        <x:is>
          <x:t xml:space="preserve">一、指称已知性别的具体个人</x:t>
        </x:is>
      </x:c>
      <x:c r="D651" s="56" t="inlineStr">
        <x:is>
          <x:t xml:space="preserve">1.2 人称代词</x:t>
        </x:is>
      </x:c>
      <x:c r="E651" s="56" t="inlineStr">
        <x:is>
          <x:t xml:space="preserve">公文与规章</x:t>
        </x:is>
      </x:c>
      <x:c r="F651" s="56" t="inlineStr">
        <x:is>
          <x:t xml:space="preserve">护理记录</x:t>
        </x:is>
      </x:c>
      <x:c r="G651" s="55" t="inlineStr">
        <x:is>
          <x:t xml:space="preserve">无</x:t>
        </x:is>
      </x:c>
      <x:c r="H651" s="55" t="str">
        <x:f>IF(LEN(I651)&lt;15,"短",IF(LEN(I651)&lt;=45,"中","长"))</x:f>
        <x:v>中</x:v>
      </x:c>
      <x:c r="I651" s="56" t="inlineStr">
        <x:is>
          <x:t xml:space="preserve">患者拒绝家属代签，坚持她自己签署知情同意书。</x:t>
        </x:is>
      </x:c>
      <x:c r="J651" s="56" t="str">
        <x:f>I651</x:f>
        <x:v>患者拒绝家属代签，坚持她自己签署知情同意书。</x:v>
      </x:c>
      <x:c r="K651" s="55" t="inlineStr">
        <x:is>
          <x:t xml:space="preserve">无需改写</x:t>
        </x:is>
      </x:c>
      <x:c r="L651" s="56" t="inlineStr">
        <x:is>
          <x:t xml:space="preserve">她自己</x:t>
        </x:is>
      </x:c>
      <x:c r="M651" s="56" t="inlineStr">
        <x:is>
          <x:t xml:space="preserve">强调式反身代词，指具体患者</x:t>
        </x:is>
      </x:c>
      <x:c r="N651" s="56" t="inlineStr">
        <x:is>
          <x:t xml:space="preserve">患者坚持本人签署知情同意书</x:t>
        </x:is>
      </x:c>
      <x:c r="O651" s="55" t="inlineStr">
        <x:is>
          <x:t xml:space="preserve">中</x:t>
        </x:is>
      </x:c>
      <x:c r="P651" s="55" t="inlineStr">
        <x:is>
          <x:t xml:space="preserve">否</x:t>
        </x:is>
      </x:c>
      <x:c r="Q651" s="56" t="n"/>
      <x:c r="R651" s="57" t="inlineStr">
        <x:is>
          <x:t xml:space="preserve">主集</x:t>
        </x:is>
      </x:c>
      <x:c r="S651" s="57" t="inlineStr">
        <x:is>
          <x:t xml:space="preserve">index</x:t>
        </x:is>
      </x:c>
      <x:c r="T651" s="57" t="inlineStr">
        <x:is>
          <x:t xml:space="preserve"/>
        </x:is>
      </x:c>
    </x:row>
    <x:row r="652" s="37" customFormat="1" ht="29.850000381469727" customHeight="1">
      <x:c r="A652" s="58" t="inlineStr">
        <x:is>
          <x:t xml:space="preserve">NEG-0651</x:t>
        </x:is>
      </x:c>
      <x:c r="B652" s="58" t="inlineStr">
        <x:is>
          <x:t xml:space="preserve">v5</x:t>
        </x:is>
      </x:c>
      <x:c r="C652" s="59" t="inlineStr">
        <x:is>
          <x:t xml:space="preserve">一、指称已知性别的具体个人</x:t>
        </x:is>
      </x:c>
      <x:c r="D652" s="59" t="inlineStr">
        <x:is>
          <x:t xml:space="preserve">1.2 人称代词</x:t>
        </x:is>
      </x:c>
      <x:c r="E652" s="59" t="inlineStr">
        <x:is>
          <x:t xml:space="preserve">学术与调研</x:t>
        </x:is>
      </x:c>
      <x:c r="F652" s="59" t="inlineStr">
        <x:is>
          <x:t xml:space="preserve">翻译研究</x:t>
        </x:is>
      </x:c>
      <x:c r="G652" s="58" t="inlineStr">
        <x:is>
          <x:t xml:space="preserve">无</x:t>
        </x:is>
      </x:c>
      <x:c r="H652" s="58" t="str">
        <x:f>IF(LEN(I652)&lt;15,"短",IF(LEN(I652)&lt;=45,"中","长"))</x:f>
        <x:v>中</x:v>
      </x:c>
      <x:c r="I652" s="59" t="inlineStr">
        <x:is>
          <x:t xml:space="preserve">中文译经传统中对神的称代使用“祂”，以区别于一般第三人称。</x:t>
        </x:is>
      </x:c>
      <x:c r="J652" s="59" t="str">
        <x:f>I652</x:f>
        <x:v>中文译经传统中对神的称代使用“祂”，以区别于一般第三人称。</x:v>
      </x:c>
      <x:c r="K652" s="58" t="inlineStr">
        <x:is>
          <x:t xml:space="preserve">无需改写</x:t>
        </x:is>
      </x:c>
      <x:c r="L652" s="59" t="inlineStr">
        <x:is>
          <x:t xml:space="preserve">祂</x:t>
        </x:is>
      </x:c>
      <x:c r="M652" s="59" t="inlineStr">
        <x:is>
          <x:t xml:space="preserve">宗教译名传统</x:t>
        </x:is>
      </x:c>
      <x:c r="N652" s="59" t="inlineStr">
        <x:is>
          <x:t xml:space="preserve">中文译经中对神的称代使用专用字</x:t>
        </x:is>
      </x:c>
      <x:c r="O652" s="58" t="inlineStr">
        <x:is>
          <x:t xml:space="preserve">中</x:t>
        </x:is>
      </x:c>
      <x:c r="P652" s="58" t="inlineStr">
        <x:is>
          <x:t xml:space="preserve">否</x:t>
        </x:is>
      </x:c>
      <x:c r="Q652" s="59" t="n"/>
      <x:c r="R652" s="60" t="inlineStr">
        <x:is>
          <x:t xml:space="preserve">隔离·待确认</x:t>
        </x:is>
      </x:c>
      <x:c r="S652" s="60" t="inlineStr">
        <x:is>
          <x:t xml:space="preserve"/>
        </x:is>
      </x:c>
      <x:c r="T652" s="60" t="inlineStr">
        <x:is>
          <x:t xml:space="preserve">触发词不含性别编码——判断可能依赖世界知识而非句内信息</x:t>
        </x:is>
      </x:c>
    </x:row>
    <x:row r="653" s="37" customFormat="1" ht="29.850000381469727" customHeight="1">
      <x:c r="A653" s="55" t="inlineStr">
        <x:is>
          <x:t xml:space="preserve">NEG-0652</x:t>
        </x:is>
      </x:c>
      <x:c r="B653" s="55" t="inlineStr">
        <x:is>
          <x:t xml:space="preserve">v5</x:t>
        </x:is>
      </x:c>
      <x:c r="C653" s="56" t="inlineStr">
        <x:is>
          <x:t xml:space="preserve">一、指称已知性别的具体个人</x:t>
        </x:is>
      </x:c>
      <x:c r="D653" s="56" t="inlineStr">
        <x:is>
          <x:t xml:space="preserve">1.2 人称代词</x:t>
        </x:is>
      </x:c>
      <x:c r="E653" s="56" t="inlineStr">
        <x:is>
          <x:t xml:space="preserve">新闻报道</x:t>
        </x:is>
      </x:c>
      <x:c r="F653" s="56" t="inlineStr">
        <x:is>
          <x:t xml:space="preserve">救援报道</x:t>
        </x:is>
      </x:c>
      <x:c r="G653" s="55" t="inlineStr">
        <x:is>
          <x:t xml:space="preserve">无</x:t>
        </x:is>
      </x:c>
      <x:c r="H653" s="55" t="str">
        <x:f>IF(LEN(I653)&lt;15,"短",IF(LEN(I653)&lt;=45,"中","长"))</x:f>
        <x:v>中</x:v>
      </x:c>
      <x:c r="I653" s="56" t="inlineStr">
        <x:is>
          <x:t xml:space="preserve">搜救队是被他自己的哭声引过去的，当时孩子已经喊哑了。</x:t>
        </x:is>
      </x:c>
      <x:c r="J653" s="56" t="str">
        <x:f>I653</x:f>
        <x:v>搜救队是被他自己的哭声引过去的，当时孩子已经喊哑了。</x:v>
      </x:c>
      <x:c r="K653" s="55" t="inlineStr">
        <x:is>
          <x:t xml:space="preserve">无需改写</x:t>
        </x:is>
      </x:c>
      <x:c r="L653" s="56" t="inlineStr">
        <x:is>
          <x:t xml:space="preserve">他自己</x:t>
        </x:is>
      </x:c>
      <x:c r="M653" s="56" t="inlineStr">
        <x:is>
          <x:t xml:space="preserve">对具体获救者的描述</x:t>
        </x:is>
      </x:c>
      <x:c r="N653" s="56" t="inlineStr">
        <x:is>
          <x:t xml:space="preserve">搜救队是被哭声引过去的</x:t>
        </x:is>
      </x:c>
      <x:c r="O653" s="55" t="inlineStr">
        <x:is>
          <x:t xml:space="preserve">中</x:t>
        </x:is>
      </x:c>
      <x:c r="P653" s="55" t="inlineStr">
        <x:is>
          <x:t xml:space="preserve">否</x:t>
        </x:is>
      </x:c>
      <x:c r="Q653" s="56" t="n"/>
      <x:c r="R653" s="57" t="inlineStr">
        <x:is>
          <x:t xml:space="preserve">主集</x:t>
        </x:is>
      </x:c>
      <x:c r="S653" s="57" t="inlineStr">
        <x:is>
          <x:t xml:space="preserve">dev</x:t>
        </x:is>
      </x:c>
      <x:c r="T653" s="57" t="inlineStr">
        <x:is>
          <x:t xml:space="preserve"/>
        </x:is>
      </x:c>
    </x:row>
    <x:row r="654" s="37" customFormat="1" ht="29.850000381469727" customHeight="1">
      <x:c r="A654" s="58" t="inlineStr">
        <x:is>
          <x:t xml:space="preserve">NEG-0653</x:t>
        </x:is>
      </x:c>
      <x:c r="B654" s="58" t="inlineStr">
        <x:is>
          <x:t xml:space="preserve">v5</x:t>
        </x:is>
      </x:c>
      <x:c r="C654" s="59" t="inlineStr">
        <x:is>
          <x:t xml:space="preserve">一、指称已知性别的具体个人</x:t>
        </x:is>
      </x:c>
      <x:c r="D654" s="59" t="inlineStr">
        <x:is>
          <x:t xml:space="preserve">1.3 血亲与姻亲称谓</x:t>
        </x:is>
      </x:c>
      <x:c r="E654" s="59" t="inlineStr">
        <x:is>
          <x:t xml:space="preserve">口语与私人交流</x:t>
        </x:is>
      </x:c>
      <x:c r="F654" s="59" t="inlineStr">
        <x:is>
          <x:t xml:space="preserve">家常口语</x:t>
        </x:is>
      </x:c>
      <x:c r="G654" s="58" t="inlineStr">
        <x:is>
          <x:t xml:space="preserve">无</x:t>
        </x:is>
      </x:c>
      <x:c r="H654" s="58" t="str">
        <x:f>IF(LEN(I654)&lt;15,"短",IF(LEN(I654)&lt;=45,"中","长"))</x:f>
        <x:v>中</x:v>
      </x:c>
      <x:c r="I654" s="59" t="inlineStr">
        <x:is>
          <x:t xml:space="preserve">我们妯娌三个处得还行，逢年过节一起做饭。</x:t>
        </x:is>
      </x:c>
      <x:c r="J654" s="59" t="str">
        <x:f>I654</x:f>
        <x:v>我们妯娌三个处得还行，逢年过节一起做饭。</x:v>
      </x:c>
      <x:c r="K654" s="58" t="inlineStr">
        <x:is>
          <x:t xml:space="preserve">无需改写</x:t>
        </x:is>
      </x:c>
      <x:c r="L654" s="59" t="inlineStr">
        <x:is>
          <x:t xml:space="preserve">妯娌</x:t>
        </x:is>
      </x:c>
      <x:c r="M654" s="59" t="inlineStr">
        <x:is>
          <x:t xml:space="preserve">姻亲称谓，无中性对应词</x:t>
        </x:is>
      </x:c>
      <x:c r="N654" s="59" t="inlineStr">
        <x:is>
          <x:t xml:space="preserve">我们三个处得还行</x:t>
        </x:is>
      </x:c>
      <x:c r="O654" s="58" t="inlineStr">
        <x:is>
          <x:t xml:space="preserve">中</x:t>
        </x:is>
      </x:c>
      <x:c r="P654" s="58" t="inlineStr">
        <x:is>
          <x:t xml:space="preserve">否</x:t>
        </x:is>
      </x:c>
      <x:c r="Q654" s="59" t="inlineStr">
        <x:is>
          <x:t xml:space="preserve">妯娌特指兄弟之妻的相互关系</x:t>
        </x:is>
      </x:c>
      <x:c r="R654" s="60" t="inlineStr">
        <x:is>
          <x:t xml:space="preserve">隔离·待确认</x:t>
        </x:is>
      </x:c>
      <x:c r="S654" s="60" t="inlineStr">
        <x:is>
          <x:t xml:space="preserve"/>
        </x:is>
      </x:c>
      <x:c r="T654" s="60" t="inlineStr">
        <x:is>
          <x:t xml:space="preserve">触发词不含性别编码——判断可能依赖世界知识而非句内信息</x:t>
        </x:is>
      </x:c>
    </x:row>
    <x:row r="655" s="37" customFormat="1" ht="29.850000381469727" customHeight="1">
      <x:c r="A655" s="55" t="inlineStr">
        <x:is>
          <x:t xml:space="preserve">NEG-0654</x:t>
        </x:is>
      </x:c>
      <x:c r="B655" s="55" t="inlineStr">
        <x:is>
          <x:t xml:space="preserve">v5</x:t>
        </x:is>
      </x:c>
      <x:c r="C655" s="56" t="inlineStr">
        <x:is>
          <x:t xml:space="preserve">一、指称已知性别的具体个人</x:t>
        </x:is>
      </x:c>
      <x:c r="D655" s="56" t="inlineStr">
        <x:is>
          <x:t xml:space="preserve">1.3 血亲与姻亲称谓</x:t>
        </x:is>
      </x:c>
      <x:c r="E655" s="56" t="inlineStr">
        <x:is>
          <x:t xml:space="preserve">口语与私人交流</x:t>
        </x:is>
      </x:c>
      <x:c r="F655" s="56" t="inlineStr">
        <x:is>
          <x:t xml:space="preserve">家常口语</x:t>
        </x:is>
      </x:c>
      <x:c r="G655" s="55" t="inlineStr">
        <x:is>
          <x:t xml:space="preserve">无</x:t>
        </x:is>
      </x:c>
      <x:c r="H655" s="55" t="str">
        <x:f>IF(LEN(I655)&lt;15,"短",IF(LEN(I655)&lt;=45,"中","长"))</x:f>
        <x:v>中</x:v>
      </x:c>
      <x:c r="I655" s="56" t="inlineStr">
        <x:is>
          <x:t xml:space="preserve">他跟我是连襟，娶的是亲姐妹俩。</x:t>
        </x:is>
      </x:c>
      <x:c r="J655" s="56" t="str">
        <x:f>I655</x:f>
        <x:v>他跟我是连襟，娶的是亲姐妹俩。</x:v>
      </x:c>
      <x:c r="K655" s="55" t="inlineStr">
        <x:is>
          <x:t xml:space="preserve">无需改写</x:t>
        </x:is>
      </x:c>
      <x:c r="L655" s="56" t="inlineStr">
        <x:is>
          <x:t xml:space="preserve">连襟/亲姐妹</x:t>
        </x:is>
      </x:c>
      <x:c r="M655" s="56" t="inlineStr">
        <x:is>
          <x:t xml:space="preserve">姻亲称谓，改写即失去关系信息</x:t>
        </x:is>
      </x:c>
      <x:c r="N655" s="56" t="inlineStr">
        <x:is>
          <x:t xml:space="preserve">他跟我是亲戚关系</x:t>
        </x:is>
      </x:c>
      <x:c r="O655" s="55" t="inlineStr">
        <x:is>
          <x:t xml:space="preserve">中</x:t>
        </x:is>
      </x:c>
      <x:c r="P655" s="55" t="inlineStr">
        <x:is>
          <x:t xml:space="preserve">否</x:t>
        </x:is>
      </x:c>
      <x:c r="Q655" s="56" t="n"/>
      <x:c r="R655" s="57" t="inlineStr">
        <x:is>
          <x:t xml:space="preserve">主集</x:t>
        </x:is>
      </x:c>
      <x:c r="S655" s="57" t="inlineStr">
        <x:is>
          <x:t xml:space="preserve">index</x:t>
        </x:is>
      </x:c>
      <x:c r="T655" s="57" t="inlineStr">
        <x:is>
          <x:t xml:space="preserve"/>
        </x:is>
      </x:c>
    </x:row>
    <x:row r="656" s="37" customFormat="1" ht="29.850000381469727" customHeight="1">
      <x:c r="A656" s="55" t="inlineStr">
        <x:is>
          <x:t xml:space="preserve">NEG-0655</x:t>
        </x:is>
      </x:c>
      <x:c r="B656" s="55" t="inlineStr">
        <x:is>
          <x:t xml:space="preserve">v5</x:t>
        </x:is>
      </x:c>
      <x:c r="C656" s="56" t="inlineStr">
        <x:is>
          <x:t xml:space="preserve">一、指称已知性别的具体个人</x:t>
        </x:is>
      </x:c>
      <x:c r="D656" s="56" t="inlineStr">
        <x:is>
          <x:t xml:space="preserve">1.3 血亲与姻亲称谓</x:t>
        </x:is>
      </x:c>
      <x:c r="E656" s="56" t="inlineStr">
        <x:is>
          <x:t xml:space="preserve">其他</x:t>
        </x:is>
      </x:c>
      <x:c r="F656" s="56" t="inlineStr">
        <x:is>
          <x:t xml:space="preserve">家书</x:t>
        </x:is>
      </x:c>
      <x:c r="G656" s="55" t="inlineStr">
        <x:is>
          <x:t xml:space="preserve">无</x:t>
        </x:is>
      </x:c>
      <x:c r="H656" s="55" t="str">
        <x:f>IF(LEN(I656)&lt;15,"短",IF(LEN(I656)&lt;=45,"中","长"))</x:f>
        <x:v>中</x:v>
      </x:c>
      <x:c r="I656" s="56" t="inlineStr">
        <x:is>
          <x:t xml:space="preserve">我堂兄在县城开了家五金店，表姐去年嫁到南边去了。</x:t>
        </x:is>
      </x:c>
      <x:c r="J656" s="56" t="str">
        <x:f>I656</x:f>
        <x:v>我堂兄在县城开了家五金店，表姐去年嫁到南边去了。</x:v>
      </x:c>
      <x:c r="K656" s="55" t="inlineStr">
        <x:is>
          <x:t xml:space="preserve">无需改写</x:t>
        </x:is>
      </x:c>
      <x:c r="L656" s="56" t="inlineStr">
        <x:is>
          <x:t xml:space="preserve">堂兄/表姐</x:t>
        </x:is>
      </x:c>
      <x:c r="M656" s="56" t="inlineStr">
        <x:is>
          <x:t xml:space="preserve">旁系亲属称谓，含父系母系之别</x:t>
        </x:is>
      </x:c>
      <x:c r="N656" s="56" t="inlineStr">
        <x:is>
          <x:t xml:space="preserve">我的亲戚在县城开了家五金店</x:t>
        </x:is>
      </x:c>
      <x:c r="O656" s="55" t="inlineStr">
        <x:is>
          <x:t xml:space="preserve">中</x:t>
        </x:is>
      </x:c>
      <x:c r="P656" s="55" t="inlineStr">
        <x:is>
          <x:t xml:space="preserve">否</x:t>
        </x:is>
      </x:c>
      <x:c r="Q656" s="56" t="n"/>
      <x:c r="R656" s="57" t="inlineStr">
        <x:is>
          <x:t xml:space="preserve">主集</x:t>
        </x:is>
      </x:c>
      <x:c r="S656" s="57" t="inlineStr">
        <x:is>
          <x:t xml:space="preserve">dev</x:t>
        </x:is>
      </x:c>
      <x:c r="T656" s="57" t="inlineStr">
        <x:is>
          <x:t xml:space="preserve"/>
        </x:is>
      </x:c>
    </x:row>
    <x:row r="657" s="37" customFormat="1" ht="29.850000381469727" customHeight="1">
      <x:c r="A657" s="55" t="inlineStr">
        <x:is>
          <x:t xml:space="preserve">NEG-0656</x:t>
        </x:is>
      </x:c>
      <x:c r="B657" s="55" t="inlineStr">
        <x:is>
          <x:t xml:space="preserve">v5</x:t>
        </x:is>
      </x:c>
      <x:c r="C657" s="56" t="inlineStr">
        <x:is>
          <x:t xml:space="preserve">一、指称已知性别的具体个人</x:t>
        </x:is>
      </x:c>
      <x:c r="D657" s="56" t="inlineStr">
        <x:is>
          <x:t xml:space="preserve">1.3 血亲与姻亲称谓</x:t>
        </x:is>
      </x:c>
      <x:c r="E657" s="56" t="inlineStr">
        <x:is>
          <x:t xml:space="preserve">其他</x:t>
        </x:is>
      </x:c>
      <x:c r="F657" s="56" t="inlineStr">
        <x:is>
          <x:t xml:space="preserve">继承纠纷</x:t>
        </x:is>
      </x:c>
      <x:c r="G657" s="55" t="inlineStr">
        <x:is>
          <x:t xml:space="preserve">无</x:t>
        </x:is>
      </x:c>
      <x:c r="H657" s="55" t="str">
        <x:f>IF(LEN(I657)&lt;15,"短",IF(LEN(I657)&lt;=45,"中","长"))</x:f>
        <x:v>中</x:v>
      </x:c>
      <x:c r="I657" s="56" t="inlineStr">
        <x:is>
          <x:t xml:space="preserve">被继承人无子女，遗产由其侄子与外甥女按份继承。</x:t>
        </x:is>
      </x:c>
      <x:c r="J657" s="56" t="str">
        <x:f>I657</x:f>
        <x:v>被继承人无子女，遗产由其侄子与外甥女按份继承。</x:v>
      </x:c>
      <x:c r="K657" s="55" t="inlineStr">
        <x:is>
          <x:t xml:space="preserve">无需改写</x:t>
        </x:is>
      </x:c>
      <x:c r="L657" s="56" t="inlineStr">
        <x:is>
          <x:t xml:space="preserve">侄子/外甥女</x:t>
        </x:is>
      </x:c>
      <x:c r="M657" s="56" t="inlineStr">
        <x:is>
          <x:t xml:space="preserve">继承顺位须精确到具体亲属关系</x:t>
        </x:is>
      </x:c>
      <x:c r="N657" s="56" t="inlineStr">
        <x:is>
          <x:t xml:space="preserve">遗产由其晚辈亲属按份继承</x:t>
        </x:is>
      </x:c>
      <x:c r="O657" s="55" t="inlineStr">
        <x:is>
          <x:t xml:space="preserve">易</x:t>
        </x:is>
      </x:c>
      <x:c r="P657" s="55" t="inlineStr">
        <x:is>
          <x:t xml:space="preserve">否</x:t>
        </x:is>
      </x:c>
      <x:c r="Q657" s="56" t="n"/>
      <x:c r="R657" s="57" t="inlineStr">
        <x:is>
          <x:t xml:space="preserve">主集</x:t>
        </x:is>
      </x:c>
      <x:c r="S657" s="57" t="inlineStr">
        <x:is>
          <x:t xml:space="preserve">index</x:t>
        </x:is>
      </x:c>
      <x:c r="T657" s="57" t="inlineStr">
        <x:is>
          <x:t xml:space="preserve"/>
        </x:is>
      </x:c>
    </x:row>
    <x:row r="658" s="37" customFormat="1" ht="29.850000381469727" customHeight="1">
      <x:c r="A658" s="55" t="inlineStr">
        <x:is>
          <x:t xml:space="preserve">NEG-0657</x:t>
        </x:is>
      </x:c>
      <x:c r="B658" s="55" t="inlineStr">
        <x:is>
          <x:t xml:space="preserve">v5</x:t>
        </x:is>
      </x:c>
      <x:c r="C658" s="56" t="inlineStr">
        <x:is>
          <x:t xml:space="preserve">一、指称已知性别的具体个人</x:t>
        </x:is>
      </x:c>
      <x:c r="D658" s="56" t="inlineStr">
        <x:is>
          <x:t xml:space="preserve">1.3 血亲与姻亲称谓</x:t>
        </x:is>
      </x:c>
      <x:c r="E658" s="56" t="inlineStr">
        <x:is>
          <x:t xml:space="preserve">其他</x:t>
        </x:is>
      </x:c>
      <x:c r="F658" s="56" t="inlineStr">
        <x:is>
          <x:t xml:space="preserve">口述回忆</x:t>
        </x:is>
      </x:c>
      <x:c r="G658" s="55" t="inlineStr">
        <x:is>
          <x:t xml:space="preserve">无</x:t>
        </x:is>
      </x:c>
      <x:c r="H658" s="55" t="str">
        <x:f>IF(LEN(I658)&lt;15,"短",IF(LEN(I658)&lt;=45,"中","长"))</x:f>
        <x:v>中</x:v>
      </x:c>
      <x:c r="I658" s="56" t="inlineStr">
        <x:is>
          <x:t xml:space="preserve">我义父是我爸的战友，两家来往了快四十年。</x:t>
        </x:is>
      </x:c>
      <x:c r="J658" s="56" t="str">
        <x:f>I658</x:f>
        <x:v>我义父是我爸的战友，两家来往了快四十年。</x:v>
      </x:c>
      <x:c r="K658" s="55" t="inlineStr">
        <x:is>
          <x:t xml:space="preserve">无需改写</x:t>
        </x:is>
      </x:c>
      <x:c r="L658" s="56" t="inlineStr">
        <x:is>
          <x:t xml:space="preserve">义父/我爸</x:t>
        </x:is>
      </x:c>
      <x:c r="M658" s="56" t="inlineStr">
        <x:is>
          <x:t xml:space="preserve">拟亲属与直系称谓</x:t>
        </x:is>
      </x:c>
      <x:c r="N658" s="56" t="inlineStr">
        <x:is>
          <x:t xml:space="preserve">我的长辈是我父母的战友</x:t>
        </x:is>
      </x:c>
      <x:c r="O658" s="55" t="inlineStr">
        <x:is>
          <x:t xml:space="preserve">中</x:t>
        </x:is>
      </x:c>
      <x:c r="P658" s="55" t="inlineStr">
        <x:is>
          <x:t xml:space="preserve">否</x:t>
        </x:is>
      </x:c>
      <x:c r="Q658" s="56" t="n"/>
      <x:c r="R658" s="57" t="inlineStr">
        <x:is>
          <x:t xml:space="preserve">主集</x:t>
        </x:is>
      </x:c>
      <x:c r="S658" s="57" t="inlineStr">
        <x:is>
          <x:t xml:space="preserve">index</x:t>
        </x:is>
      </x:c>
      <x:c r="T658" s="57" t="inlineStr">
        <x:is>
          <x:t xml:space="preserve"/>
        </x:is>
      </x:c>
    </x:row>
    <x:row r="659" s="37" customFormat="1" ht="29.850000381469727" customHeight="1">
      <x:c r="A659" s="55" t="inlineStr">
        <x:is>
          <x:t xml:space="preserve">NEG-0658</x:t>
        </x:is>
      </x:c>
      <x:c r="B659" s="55" t="inlineStr">
        <x:is>
          <x:t xml:space="preserve">v5</x:t>
        </x:is>
      </x:c>
      <x:c r="C659" s="56" t="inlineStr">
        <x:is>
          <x:t xml:space="preserve">一、指称已知性别的具体个人</x:t>
        </x:is>
      </x:c>
      <x:c r="D659" s="56" t="inlineStr">
        <x:is>
          <x:t xml:space="preserve">1.3 血亲与姻亲称谓</x:t>
        </x:is>
      </x:c>
      <x:c r="E659" s="56" t="inlineStr">
        <x:is>
          <x:t xml:space="preserve">其他</x:t>
        </x:is>
      </x:c>
      <x:c r="F659" s="56" t="inlineStr">
        <x:is>
          <x:t xml:space="preserve">宗教习俗</x:t>
        </x:is>
      </x:c>
      <x:c r="G659" s="55" t="inlineStr">
        <x:is>
          <x:t xml:space="preserve">无</x:t>
        </x:is>
      </x:c>
      <x:c r="H659" s="55" t="str">
        <x:f>IF(LEN(I659)&lt;15,"短",IF(LEN(I659)&lt;=45,"中","长"))</x:f>
        <x:v>中</x:v>
      </x:c>
      <x:c r="I659" s="56" t="inlineStr">
        <x:is>
          <x:t xml:space="preserve">教母在洗礼仪式中承担见证人的角色。</x:t>
        </x:is>
      </x:c>
      <x:c r="J659" s="56" t="str">
        <x:f>I659</x:f>
        <x:v>教母在洗礼仪式中承担见证人的角色。</x:v>
      </x:c>
      <x:c r="K659" s="55" t="inlineStr">
        <x:is>
          <x:t xml:space="preserve">无需改写</x:t>
        </x:is>
      </x:c>
      <x:c r="L659" s="56" t="inlineStr">
        <x:is>
          <x:t xml:space="preserve">教母</x:t>
        </x:is>
      </x:c>
      <x:c r="M659" s="56" t="inlineStr">
        <x:is>
          <x:t xml:space="preserve">宗教拟亲属角色名称</x:t>
        </x:is>
      </x:c>
      <x:c r="N659" s="56" t="inlineStr">
        <x:is>
          <x:t xml:space="preserve">见证人在洗礼仪式中承担相应角色</x:t>
        </x:is>
      </x:c>
      <x:c r="O659" s="55" t="inlineStr">
        <x:is>
          <x:t xml:space="preserve">易</x:t>
        </x:is>
      </x:c>
      <x:c r="P659" s="55" t="inlineStr">
        <x:is>
          <x:t xml:space="preserve">否</x:t>
        </x:is>
      </x:c>
      <x:c r="Q659" s="56" t="n"/>
      <x:c r="R659" s="57" t="inlineStr">
        <x:is>
          <x:t xml:space="preserve">主集</x:t>
        </x:is>
      </x:c>
      <x:c r="S659" s="57" t="inlineStr">
        <x:is>
          <x:t xml:space="preserve">index</x:t>
        </x:is>
      </x:c>
      <x:c r="T659" s="57" t="inlineStr">
        <x:is>
          <x:t xml:space="preserve"/>
        </x:is>
      </x:c>
    </x:row>
    <x:row r="660" s="37" customFormat="1" ht="29.850000381469727" customHeight="1">
      <x:c r="A660" s="55" t="inlineStr">
        <x:is>
          <x:t xml:space="preserve">NEG-0659</x:t>
        </x:is>
      </x:c>
      <x:c r="B660" s="55" t="inlineStr">
        <x:is>
          <x:t xml:space="preserve">v5</x:t>
        </x:is>
      </x:c>
      <x:c r="C660" s="56" t="inlineStr">
        <x:is>
          <x:t xml:space="preserve">一、指称已知性别的具体个人</x:t>
        </x:is>
      </x:c>
      <x:c r="D660" s="56" t="inlineStr">
        <x:is>
          <x:t xml:space="preserve">1.4 伴侣与恋爱关系</x:t>
        </x:is>
      </x:c>
      <x:c r="E660" s="56" t="inlineStr">
        <x:is>
          <x:t xml:space="preserve">公文与规章</x:t>
        </x:is>
      </x:c>
      <x:c r="F660" s="56" t="inlineStr">
        <x:is>
          <x:t xml:space="preserve">活动通知</x:t>
        </x:is>
      </x:c>
      <x:c r="G660" s="55" t="inlineStr">
        <x:is>
          <x:t xml:space="preserve">无</x:t>
        </x:is>
      </x:c>
      <x:c r="H660" s="55" t="str">
        <x:f>IF(LEN(I660)&lt;15,"短",IF(LEN(I660)&lt;=45,"中","长"))</x:f>
        <x:v>中</x:v>
      </x:c>
      <x:c r="I660" s="56" t="inlineStr">
        <x:is>
          <x:t xml:space="preserve">本次晚宴可携带一名男伴或女伴，请于周五前登记姓名。</x:t>
        </x:is>
      </x:c>
      <x:c r="J660" s="56" t="str">
        <x:f>I660</x:f>
        <x:v>本次晚宴可携带一名男伴或女伴，请于周五前登记姓名。</x:v>
      </x:c>
      <x:c r="K660" s="55" t="inlineStr">
        <x:is>
          <x:t xml:space="preserve">无需改写</x:t>
        </x:is>
      </x:c>
      <x:c r="L660" s="56" t="inlineStr">
        <x:is>
          <x:t xml:space="preserve">男伴/女伴</x:t>
        </x:is>
      </x:c>
      <x:c r="M660" s="56" t="inlineStr">
        <x:is>
          <x:t xml:space="preserve">活动规则中的既有表述</x:t>
        </x:is>
      </x:c>
      <x:c r="N660" s="56" t="inlineStr">
        <x:is>
          <x:t xml:space="preserve">本次晚宴可携带一名同伴</x:t>
        </x:is>
      </x:c>
      <x:c r="O660" s="55" t="inlineStr">
        <x:is>
          <x:t xml:space="preserve">中</x:t>
        </x:is>
      </x:c>
      <x:c r="P660" s="55" t="inlineStr">
        <x:is>
          <x:t xml:space="preserve">否</x:t>
        </x:is>
      </x:c>
      <x:c r="Q660" s="56" t="n"/>
      <x:c r="R660" s="57" t="inlineStr">
        <x:is>
          <x:t xml:space="preserve">主集</x:t>
        </x:is>
      </x:c>
      <x:c r="S660" s="57" t="inlineStr">
        <x:is>
          <x:t xml:space="preserve">test</x:t>
        </x:is>
      </x:c>
      <x:c r="T660" s="57" t="inlineStr">
        <x:is>
          <x:t xml:space="preserve"/>
        </x:is>
      </x:c>
    </x:row>
    <x:row r="661" s="37" customFormat="1" ht="29.850000381469727" customHeight="1">
      <x:c r="A661" s="58" t="inlineStr">
        <x:is>
          <x:t xml:space="preserve">NEG-0660</x:t>
        </x:is>
      </x:c>
      <x:c r="B661" s="58" t="inlineStr">
        <x:is>
          <x:t xml:space="preserve">v5</x:t>
        </x:is>
      </x:c>
      <x:c r="C661" s="59" t="inlineStr">
        <x:is>
          <x:t xml:space="preserve">一、指称已知性别的具体个人</x:t>
        </x:is>
      </x:c>
      <x:c r="D661" s="59" t="inlineStr">
        <x:is>
          <x:t xml:space="preserve">1.4 伴侣与恋爱关系</x:t>
        </x:is>
      </x:c>
      <x:c r="E661" s="59" t="inlineStr">
        <x:is>
          <x:t xml:space="preserve">口语与私人交流</x:t>
        </x:is>
      </x:c>
      <x:c r="F661" s="59" t="inlineStr">
        <x:is>
          <x:t xml:space="preserve">日常口语</x:t>
        </x:is>
      </x:c>
      <x:c r="G661" s="58" t="inlineStr">
        <x:is>
          <x:t xml:space="preserve">无</x:t>
        </x:is>
      </x:c>
      <x:c r="H661" s="58" t="str">
        <x:f>IF(LEN(I661)&lt;15,"短",IF(LEN(I661)&lt;=45,"中","长"))</x:f>
        <x:v>中</x:v>
      </x:c>
      <x:c r="I661" s="59" t="inlineStr">
        <x:is>
          <x:t xml:space="preserve">我对象是护士，三班倒，我俩碰面的时间不多。</x:t>
        </x:is>
      </x:c>
      <x:c r="J661" s="59" t="str">
        <x:f>I661</x:f>
        <x:v>我对象是护士，三班倒，我俩碰面的时间不多。</x:v>
      </x:c>
      <x:c r="K661" s="58" t="inlineStr">
        <x:is>
          <x:t xml:space="preserve">无需改写</x:t>
        </x:is>
      </x:c>
      <x:c r="L661" s="59" t="inlineStr">
        <x:is>
          <x:t xml:space="preserve">对象</x:t>
        </x:is>
      </x:c>
      <x:c r="M661" s="59" t="inlineStr">
        <x:is>
          <x:t xml:space="preserve">口语中的伴侣称谓</x:t>
        </x:is>
      </x:c>
      <x:c r="N661" s="59" t="inlineStr">
        <x:is>
          <x:t xml:space="preserve">我伴侣是护士，三班倒</x:t>
        </x:is>
      </x:c>
      <x:c r="O661" s="58" t="inlineStr">
        <x:is>
          <x:t xml:space="preserve">中</x:t>
        </x:is>
      </x:c>
      <x:c r="P661" s="58" t="inlineStr">
        <x:is>
          <x:t xml:space="preserve">否</x:t>
        </x:is>
      </x:c>
      <x:c r="Q661" s="59" t="n"/>
      <x:c r="R661" s="60" t="inlineStr">
        <x:is>
          <x:t xml:space="preserve">隔离·待确认</x:t>
        </x:is>
      </x:c>
      <x:c r="S661" s="60" t="inlineStr">
        <x:is>
          <x:t xml:space="preserve"/>
        </x:is>
      </x:c>
      <x:c r="T661" s="60" t="inlineStr">
        <x:is>
          <x:t xml:space="preserve">触发词不含性别编码——判断可能依赖世界知识而非句内信息</x:t>
        </x:is>
      </x:c>
    </x:row>
    <x:row r="662" s="37" customFormat="1" ht="29.850000381469727" customHeight="1">
      <x:c r="A662" s="55" t="inlineStr">
        <x:is>
          <x:t xml:space="preserve">NEG-0661</x:t>
        </x:is>
      </x:c>
      <x:c r="B662" s="55" t="inlineStr">
        <x:is>
          <x:t xml:space="preserve">v5</x:t>
        </x:is>
      </x:c>
      <x:c r="C662" s="56" t="inlineStr">
        <x:is>
          <x:t xml:space="preserve">一、指称已知性别的具体个人</x:t>
        </x:is>
      </x:c>
      <x:c r="D662" s="56" t="inlineStr">
        <x:is>
          <x:t xml:space="preserve">1.4 伴侣与恋爱关系</x:t>
        </x:is>
      </x:c>
      <x:c r="E662" s="56" t="inlineStr">
        <x:is>
          <x:t xml:space="preserve">社交与社区</x:t>
        </x:is>
      </x:c>
      <x:c r="F662" s="56" t="inlineStr">
        <x:is>
          <x:t xml:space="preserve">社交动态</x:t>
        </x:is>
      </x:c>
      <x:c r="G662" s="55" t="inlineStr">
        <x:is>
          <x:t xml:space="preserve">emoji</x:t>
        </x:is>
      </x:c>
      <x:c r="H662" s="55" t="str">
        <x:f>IF(LEN(I662)&lt;15,"短",IF(LEN(I662)&lt;=45,"中","长"))</x:f>
        <x:v>中</x:v>
      </x:c>
      <x:c r="I662" s="56" t="inlineStr">
        <x:is>
          <x:t xml:space="preserve">我跟我女朋友的恋爱纪念日和她生日就差三天🎂</x:t>
        </x:is>
      </x:c>
      <x:c r="J662" s="56" t="str">
        <x:f>I662</x:f>
        <x:v>我跟我女朋友的恋爱纪念日和她生日就差三天🎂</x:v>
      </x:c>
      <x:c r="K662" s="55" t="inlineStr">
        <x:is>
          <x:t xml:space="preserve">无需改写</x:t>
        </x:is>
      </x:c>
      <x:c r="L662" s="56" t="inlineStr">
        <x:is>
          <x:t xml:space="preserve">女朋友/她</x:t>
        </x:is>
      </x:c>
      <x:c r="M662" s="56" t="inlineStr">
        <x:is>
          <x:t xml:space="preserve">当事人对自身关系的描述</x:t>
        </x:is>
      </x:c>
      <x:c r="N662" s="56" t="inlineStr">
        <x:is>
          <x:t xml:space="preserve">我跟我伴侣的纪念日和TA生日就差三天</x:t>
        </x:is>
      </x:c>
      <x:c r="O662" s="55" t="inlineStr">
        <x:is>
          <x:t xml:space="preserve">难</x:t>
        </x:is>
      </x:c>
      <x:c r="P662" s="55" t="inlineStr">
        <x:is>
          <x:t xml:space="preserve">否</x:t>
        </x:is>
      </x:c>
      <x:c r="Q662" s="56" t="n"/>
      <x:c r="R662" s="57" t="inlineStr">
        <x:is>
          <x:t xml:space="preserve">主集</x:t>
        </x:is>
      </x:c>
      <x:c r="S662" s="57" t="inlineStr">
        <x:is>
          <x:t xml:space="preserve">test</x:t>
        </x:is>
      </x:c>
      <x:c r="T662" s="57" t="inlineStr">
        <x:is>
          <x:t xml:space="preserve"/>
        </x:is>
      </x:c>
    </x:row>
    <x:row r="663" s="37" customFormat="1" ht="29.850000381469727" customHeight="1">
      <x:c r="A663" s="55" t="inlineStr">
        <x:is>
          <x:t xml:space="preserve">NEG-0662</x:t>
        </x:is>
      </x:c>
      <x:c r="B663" s="55" t="inlineStr">
        <x:is>
          <x:t xml:space="preserve">v5</x:t>
        </x:is>
      </x:c>
      <x:c r="C663" s="56" t="inlineStr">
        <x:is>
          <x:t xml:space="preserve">一、指称已知性别的具体个人</x:t>
        </x:is>
      </x:c>
      <x:c r="D663" s="56" t="inlineStr">
        <x:is>
          <x:t xml:space="preserve">1.4 伴侣与恋爱关系</x:t>
        </x:is>
      </x:c>
      <x:c r="E663" s="56" t="inlineStr">
        <x:is>
          <x:t xml:space="preserve">其他</x:t>
        </x:is>
      </x:c>
      <x:c r="F663" s="56" t="inlineStr">
        <x:is>
          <x:t xml:space="preserve">职场观察</x:t>
        </x:is>
      </x:c>
      <x:c r="G663" s="55" t="inlineStr">
        <x:is>
          <x:t xml:space="preserve">无</x:t>
        </x:is>
      </x:c>
      <x:c r="H663" s="55" t="str">
        <x:f>IF(LEN(I663)&lt;15,"短",IF(LEN(I663)&lt;=45,"中","长"))</x:f>
        <x:v>中</x:v>
      </x:c>
      <x:c r="I663" s="56" t="inlineStr">
        <x:is>
          <x:t xml:space="preserve">他前女友现在是他同事，两人相处得挺自然。</x:t>
        </x:is>
      </x:c>
      <x:c r="J663" s="56" t="str">
        <x:f>I663</x:f>
        <x:v>他前女友现在是他同事，两人相处得挺自然。</x:v>
      </x:c>
      <x:c r="K663" s="55" t="inlineStr">
        <x:is>
          <x:t xml:space="preserve">无需改写</x:t>
        </x:is>
      </x:c>
      <x:c r="L663" s="56" t="inlineStr">
        <x:is>
          <x:t xml:space="preserve">前女友</x:t>
        </x:is>
      </x:c>
      <x:c r="M663" s="56" t="inlineStr">
        <x:is>
          <x:t xml:space="preserve">关系事实的陈述</x:t>
        </x:is>
      </x:c>
      <x:c r="N663" s="56" t="inlineStr">
        <x:is>
          <x:t xml:space="preserve">他前任现在是他同事</x:t>
        </x:is>
      </x:c>
      <x:c r="O663" s="55" t="inlineStr">
        <x:is>
          <x:t xml:space="preserve">中</x:t>
        </x:is>
      </x:c>
      <x:c r="P663" s="55" t="inlineStr">
        <x:is>
          <x:t xml:space="preserve">否</x:t>
        </x:is>
      </x:c>
      <x:c r="Q663" s="56" t="n"/>
      <x:c r="R663" s="57" t="inlineStr">
        <x:is>
          <x:t xml:space="preserve">主集</x:t>
        </x:is>
      </x:c>
      <x:c r="S663" s="57" t="inlineStr">
        <x:is>
          <x:t xml:space="preserve">test</x:t>
        </x:is>
      </x:c>
      <x:c r="T663" s="57" t="inlineStr">
        <x:is>
          <x:t xml:space="preserve"/>
        </x:is>
      </x:c>
    </x:row>
    <x:row r="664" s="37" customFormat="1" ht="29.850000381469727" customHeight="1">
      <x:c r="A664" s="55" t="inlineStr">
        <x:is>
          <x:t xml:space="preserve">NEG-0663</x:t>
        </x:is>
      </x:c>
      <x:c r="B664" s="55" t="inlineStr">
        <x:is>
          <x:t xml:space="preserve">v5</x:t>
        </x:is>
      </x:c>
      <x:c r="C664" s="56" t="inlineStr">
        <x:is>
          <x:t xml:space="preserve">一、指称已知性别的具体个人</x:t>
        </x:is>
      </x:c>
      <x:c r="D664" s="56" t="inlineStr">
        <x:is>
          <x:t xml:space="preserve">1.5 社会角色中的具体个人</x:t>
        </x:is>
      </x:c>
      <x:c r="E664" s="56" t="inlineStr">
        <x:is>
          <x:t xml:space="preserve">公文与规章</x:t>
        </x:is>
      </x:c>
      <x:c r="F664" s="56" t="inlineStr">
        <x:is>
          <x:t xml:space="preserve">询问笔录</x:t>
        </x:is>
      </x:c>
      <x:c r="G664" s="55" t="inlineStr">
        <x:is>
          <x:t xml:space="preserve">无</x:t>
        </x:is>
      </x:c>
      <x:c r="H664" s="55" t="str">
        <x:f>IF(LEN(I664)&lt;15,"短",IF(LEN(I664)&lt;=45,"中","长"))</x:f>
        <x:v>中</x:v>
      </x:c>
      <x:c r="I664" s="56" t="inlineStr">
        <x:is>
          <x:t xml:space="preserve">证人系被害人邻居，女，54 岁，与双方均无利害关系。</x:t>
        </x:is>
      </x:c>
      <x:c r="J664" s="56" t="str">
        <x:f>I664</x:f>
        <x:v>证人系被害人邻居，女，54 岁，与双方均无利害关系。</x:v>
      </x:c>
      <x:c r="K664" s="55" t="inlineStr">
        <x:is>
          <x:t xml:space="preserve">无需改写</x:t>
        </x:is>
      </x:c>
      <x:c r="L664" s="56" t="inlineStr">
        <x:is>
          <x:t xml:space="preserve">女</x:t>
        </x:is>
      </x:c>
      <x:c r="M664" s="56" t="inlineStr">
        <x:is>
          <x:t xml:space="preserve">笔录中的证人身份登记</x:t>
        </x:is>
      </x:c>
      <x:c r="N664" s="56" t="inlineStr">
        <x:is>
          <x:t xml:space="preserve">证人系被害人邻居，54 岁</x:t>
        </x:is>
      </x:c>
      <x:c r="O664" s="55" t="inlineStr">
        <x:is>
          <x:t xml:space="preserve">易</x:t>
        </x:is>
      </x:c>
      <x:c r="P664" s="55" t="inlineStr">
        <x:is>
          <x:t xml:space="preserve">否</x:t>
        </x:is>
      </x:c>
      <x:c r="Q664" s="56" t="n"/>
      <x:c r="R664" s="57" t="inlineStr">
        <x:is>
          <x:t xml:space="preserve">主集</x:t>
        </x:is>
      </x:c>
      <x:c r="S664" s="57" t="inlineStr">
        <x:is>
          <x:t xml:space="preserve">index</x:t>
        </x:is>
      </x:c>
      <x:c r="T664" s="57" t="inlineStr">
        <x:is>
          <x:t xml:space="preserve"/>
        </x:is>
      </x:c>
    </x:row>
    <x:row r="665" s="37" customFormat="1" ht="29.850000381469727" customHeight="1">
      <x:c r="A665" s="55" t="inlineStr">
        <x:is>
          <x:t xml:space="preserve">NEG-0664</x:t>
        </x:is>
      </x:c>
      <x:c r="B665" s="55" t="inlineStr">
        <x:is>
          <x:t xml:space="preserve">v5</x:t>
        </x:is>
      </x:c>
      <x:c r="C665" s="56" t="inlineStr">
        <x:is>
          <x:t xml:space="preserve">一、指称已知性别的具体个人</x:t>
        </x:is>
      </x:c>
      <x:c r="D665" s="56" t="inlineStr">
        <x:is>
          <x:t xml:space="preserve">1.5 社会角色中的具体个人</x:t>
        </x:is>
      </x:c>
      <x:c r="E665" s="56" t="inlineStr">
        <x:is>
          <x:t xml:space="preserve">法律与司法</x:t>
        </x:is>
      </x:c>
      <x:c r="F665" s="56" t="inlineStr">
        <x:is>
          <x:t xml:space="preserve">判决书</x:t>
        </x:is>
      </x:c>
      <x:c r="G665" s="55" t="inlineStr">
        <x:is>
          <x:t xml:space="preserve">无</x:t>
        </x:is>
      </x:c>
      <x:c r="H665" s="55" t="str">
        <x:f>IF(LEN(I665)&lt;15,"短",IF(LEN(I665)&lt;=45,"中","长"))</x:f>
        <x:v>中</x:v>
      </x:c>
      <x:c r="I665" s="56" t="inlineStr">
        <x:is>
          <x:t xml:space="preserve">被告人张某，男，1990 年生，无前科劣迹。</x:t>
        </x:is>
      </x:c>
      <x:c r="J665" s="56" t="str">
        <x:f>I665</x:f>
        <x:v>被告人张某，男，1990 年生，无前科劣迹。</x:v>
      </x:c>
      <x:c r="K665" s="55" t="inlineStr">
        <x:is>
          <x:t xml:space="preserve">无需改写</x:t>
        </x:is>
      </x:c>
      <x:c r="L665" s="56" t="inlineStr">
        <x:is>
          <x:t xml:space="preserve">男</x:t>
        </x:is>
      </x:c>
      <x:c r="M665" s="56" t="inlineStr">
        <x:is>
          <x:t xml:space="preserve">裁判文书的当事人信息栏</x:t>
        </x:is>
      </x:c>
      <x:c r="N665" s="56" t="inlineStr">
        <x:is>
          <x:t xml:space="preserve">被告人张某，1990 年生</x:t>
        </x:is>
      </x:c>
      <x:c r="O665" s="55" t="inlineStr">
        <x:is>
          <x:t xml:space="preserve">易</x:t>
        </x:is>
      </x:c>
      <x:c r="P665" s="55" t="inlineStr">
        <x:is>
          <x:t xml:space="preserve">否</x:t>
        </x:is>
      </x:c>
      <x:c r="Q665" s="56" t="n"/>
      <x:c r="R665" s="57" t="inlineStr">
        <x:is>
          <x:t xml:space="preserve">主集</x:t>
        </x:is>
      </x:c>
      <x:c r="S665" s="57" t="inlineStr">
        <x:is>
          <x:t xml:space="preserve">index</x:t>
        </x:is>
      </x:c>
      <x:c r="T665" s="57" t="inlineStr">
        <x:is>
          <x:t xml:space="preserve"/>
        </x:is>
      </x:c>
    </x:row>
    <x:row r="666" s="37" customFormat="1" ht="29.850000381469727" customHeight="1">
      <x:c r="A666" s="55" t="inlineStr">
        <x:is>
          <x:t xml:space="preserve">NEG-0665</x:t>
        </x:is>
      </x:c>
      <x:c r="B666" s="55" t="inlineStr">
        <x:is>
          <x:t xml:space="preserve">v5</x:t>
        </x:is>
      </x:c>
      <x:c r="C666" s="56" t="inlineStr">
        <x:is>
          <x:t xml:space="preserve">一、指称已知性别的具体个人</x:t>
        </x:is>
      </x:c>
      <x:c r="D666" s="56" t="inlineStr">
        <x:is>
          <x:t xml:space="preserve">1.5 社会角色中的具体个人</x:t>
        </x:is>
      </x:c>
      <x:c r="E666" s="56" t="inlineStr">
        <x:is>
          <x:t xml:space="preserve">新闻报道</x:t>
        </x:is>
      </x:c>
      <x:c r="F666" s="56" t="inlineStr">
        <x:is>
          <x:t xml:space="preserve">事件报道</x:t>
        </x:is>
      </x:c>
      <x:c r="G666" s="55" t="inlineStr">
        <x:is>
          <x:t xml:space="preserve">无</x:t>
        </x:is>
      </x:c>
      <x:c r="H666" s="55" t="str">
        <x:f>IF(LEN(I666)&lt;15,"短",IF(LEN(I666)&lt;=45,"中","长"))</x:f>
        <x:v>中</x:v>
      </x:c>
      <x:c r="I666" s="56" t="inlineStr">
        <x:is>
          <x:t xml:space="preserve">当事人是一名 19 岁的女大学生，事发时正在返校途中。</x:t>
        </x:is>
      </x:c>
      <x:c r="J666" s="56" t="str">
        <x:f>I666</x:f>
        <x:v>当事人是一名 19 岁的女大学生，事发时正在返校途中。</x:v>
      </x:c>
      <x:c r="K666" s="55" t="inlineStr">
        <x:is>
          <x:t xml:space="preserve">无需改写</x:t>
        </x:is>
      </x:c>
      <x:c r="L666" s="56" t="inlineStr">
        <x:is>
          <x:t xml:space="preserve">女大学生</x:t>
        </x:is>
      </x:c>
      <x:c r="M666" s="56" t="inlineStr">
        <x:is>
          <x:t xml:space="preserve">案件报道中的当事人身份</x:t>
        </x:is>
      </x:c>
      <x:c r="N666" s="56" t="inlineStr">
        <x:is>
          <x:t xml:space="preserve">当事人是一名 19 岁的大学生</x:t>
        </x:is>
      </x:c>
      <x:c r="O666" s="55" t="inlineStr">
        <x:is>
          <x:t xml:space="preserve">中</x:t>
        </x:is>
      </x:c>
      <x:c r="P666" s="55" t="inlineStr">
        <x:is>
          <x:t xml:space="preserve">否</x:t>
        </x:is>
      </x:c>
      <x:c r="Q666" s="56" t="n"/>
      <x:c r="R666" s="57" t="inlineStr">
        <x:is>
          <x:t xml:space="preserve">主集</x:t>
        </x:is>
      </x:c>
      <x:c r="S666" s="57" t="inlineStr">
        <x:is>
          <x:t xml:space="preserve">index</x:t>
        </x:is>
      </x:c>
      <x:c r="T666" s="57" t="inlineStr">
        <x:is>
          <x:t xml:space="preserve"/>
        </x:is>
      </x:c>
    </x:row>
    <x:row r="667" s="37" customFormat="1" ht="29.850000381469727" customHeight="1">
      <x:c r="A667" s="55" t="inlineStr">
        <x:is>
          <x:t xml:space="preserve">NEG-0666</x:t>
        </x:is>
      </x:c>
      <x:c r="B667" s="55" t="inlineStr">
        <x:is>
          <x:t xml:space="preserve">v5</x:t>
        </x:is>
      </x:c>
      <x:c r="C667" s="56" t="inlineStr">
        <x:is>
          <x:t xml:space="preserve">一、指称已知性别的具体个人</x:t>
        </x:is>
      </x:c>
      <x:c r="D667" s="56" t="inlineStr">
        <x:is>
          <x:t xml:space="preserve">1.5 社会角色中的具体个人</x:t>
        </x:is>
      </x:c>
      <x:c r="E667" s="56" t="inlineStr">
        <x:is>
          <x:t xml:space="preserve">其他</x:t>
        </x:is>
      </x:c>
      <x:c r="F667" s="56" t="inlineStr">
        <x:is>
          <x:t xml:space="preserve">入院记录</x:t>
        </x:is>
      </x:c>
      <x:c r="G667" s="55" t="inlineStr">
        <x:is>
          <x:t xml:space="preserve">无</x:t>
        </x:is>
      </x:c>
      <x:c r="H667" s="55" t="str">
        <x:f>IF(LEN(I667)&lt;15,"短",IF(LEN(I667)&lt;=45,"中","长"))</x:f>
        <x:v>中</x:v>
      </x:c>
      <x:c r="I667" s="56" t="inlineStr">
        <x:is>
          <x:t xml:space="preserve">患者监护人为其父，联系电话已留存于病历首页。</x:t>
        </x:is>
      </x:c>
      <x:c r="J667" s="56" t="str">
        <x:f>I667</x:f>
        <x:v>患者监护人为其父，联系电话已留存于病历首页。</x:v>
      </x:c>
      <x:c r="K667" s="55" t="inlineStr">
        <x:is>
          <x:t xml:space="preserve">无需改写</x:t>
        </x:is>
      </x:c>
      <x:c r="L667" s="56" t="inlineStr">
        <x:is>
          <x:t xml:space="preserve">其父</x:t>
        </x:is>
      </x:c>
      <x:c r="M667" s="56" t="inlineStr">
        <x:is>
          <x:t xml:space="preserve">医疗文书中的监护人身份</x:t>
        </x:is>
      </x:c>
      <x:c r="N667" s="56" t="inlineStr">
        <x:is>
          <x:t xml:space="preserve">患者监护人为其家长</x:t>
        </x:is>
      </x:c>
      <x:c r="O667" s="55" t="inlineStr">
        <x:is>
          <x:t xml:space="preserve">易</x:t>
        </x:is>
      </x:c>
      <x:c r="P667" s="55" t="inlineStr">
        <x:is>
          <x:t xml:space="preserve">否</x:t>
        </x:is>
      </x:c>
      <x:c r="Q667" s="56" t="n"/>
      <x:c r="R667" s="57" t="inlineStr">
        <x:is>
          <x:t xml:space="preserve">主集</x:t>
        </x:is>
      </x:c>
      <x:c r="S667" s="57" t="inlineStr">
        <x:is>
          <x:t xml:space="preserve">test</x:t>
        </x:is>
      </x:c>
      <x:c r="T667" s="57" t="inlineStr">
        <x:is>
          <x:t xml:space="preserve"/>
        </x:is>
      </x:c>
    </x:row>
    <x:row r="668" s="37" customFormat="1" ht="15" customHeight="1">
      <x:c r="A668" s="55" t="inlineStr">
        <x:is>
          <x:t xml:space="preserve">NEG-0667</x:t>
        </x:is>
      </x:c>
      <x:c r="B668" s="55" t="inlineStr">
        <x:is>
          <x:t xml:space="preserve">v5</x:t>
        </x:is>
      </x:c>
      <x:c r="C668" s="56" t="inlineStr">
        <x:is>
          <x:t xml:space="preserve">二、生理与医学必需</x:t>
        </x:is>
      </x:c>
      <x:c r="D668" s="56" t="inlineStr">
        <x:is>
          <x:t xml:space="preserve">2.1 生殖与生育</x:t>
        </x:is>
      </x:c>
      <x:c r="E668" s="56" t="inlineStr">
        <x:is>
          <x:t xml:space="preserve">医疗健康</x:t>
        </x:is>
      </x:c>
      <x:c r="F668" s="56" t="inlineStr">
        <x:is>
          <x:t xml:space="preserve">病历</x:t>
        </x:is>
      </x:c>
      <x:c r="G668" s="55" t="inlineStr">
        <x:is>
          <x:t xml:space="preserve">无</x:t>
        </x:is>
      </x:c>
      <x:c r="H668" s="55" t="str">
        <x:f>IF(LEN(I668)&lt;15,"短",IF(LEN(I668)&lt;=45,"中","长"))</x:f>
        <x:v>中</x:v>
      </x:c>
      <x:c r="I668" s="56" t="inlineStr">
        <x:is>
          <x:t xml:space="preserve">既往孕 3 产 1，其中早产一次，自然流产一次。</x:t>
        </x:is>
      </x:c>
      <x:c r="J668" s="56" t="str">
        <x:f>I668</x:f>
        <x:v>既往孕 3 产 1，其中早产一次，自然流产一次。</x:v>
      </x:c>
      <x:c r="K668" s="55" t="inlineStr">
        <x:is>
          <x:t xml:space="preserve">无需改写</x:t>
        </x:is>
      </x:c>
      <x:c r="L668" s="56" t="inlineStr">
        <x:is>
          <x:t xml:space="preserve">孕产史</x:t>
        </x:is>
      </x:c>
      <x:c r="M668" s="56" t="inlineStr">
        <x:is>
          <x:t xml:space="preserve">产科既往史的标准记法</x:t>
        </x:is>
      </x:c>
      <x:c r="N668" s="56" t="inlineStr">
        <x:is>
          <x:t xml:space="preserve">既往有相关病史三次</x:t>
        </x:is>
      </x:c>
      <x:c r="O668" s="55" t="inlineStr">
        <x:is>
          <x:t xml:space="preserve">易</x:t>
        </x:is>
      </x:c>
      <x:c r="P668" s="55" t="inlineStr">
        <x:is>
          <x:t xml:space="preserve">否</x:t>
        </x:is>
      </x:c>
      <x:c r="Q668" s="56" t="n"/>
      <x:c r="R668" s="57" t="inlineStr">
        <x:is>
          <x:t xml:space="preserve">主集</x:t>
        </x:is>
      </x:c>
      <x:c r="S668" s="57" t="inlineStr">
        <x:is>
          <x:t xml:space="preserve">dev</x:t>
        </x:is>
      </x:c>
      <x:c r="T668" s="57" t="inlineStr">
        <x:is>
          <x:t xml:space="preserve"/>
        </x:is>
      </x:c>
    </x:row>
    <x:row r="669" s="37" customFormat="1" ht="15" customHeight="1">
      <x:c r="A669" s="55" t="inlineStr">
        <x:is>
          <x:t xml:space="preserve">NEG-0668</x:t>
        </x:is>
      </x:c>
      <x:c r="B669" s="55" t="inlineStr">
        <x:is>
          <x:t xml:space="preserve">v5</x:t>
        </x:is>
      </x:c>
      <x:c r="C669" s="56" t="inlineStr">
        <x:is>
          <x:t xml:space="preserve">二、生理与医学必需</x:t>
        </x:is>
      </x:c>
      <x:c r="D669" s="56" t="inlineStr">
        <x:is>
          <x:t xml:space="preserve">2.1 生殖与生育</x:t>
        </x:is>
      </x:c>
      <x:c r="E669" s="56" t="inlineStr">
        <x:is>
          <x:t xml:space="preserve">医疗健康</x:t>
        </x:is>
      </x:c>
      <x:c r="F669" s="56" t="inlineStr">
        <x:is>
          <x:t xml:space="preserve">健康科普</x:t>
        </x:is>
      </x:c>
      <x:c r="G669" s="55" t="inlineStr">
        <x:is>
          <x:t xml:space="preserve">无</x:t>
        </x:is>
      </x:c>
      <x:c r="H669" s="55" t="str">
        <x:f>IF(LEN(I669)&lt;15,"短",IF(LEN(I669)&lt;=45,"中","长"))</x:f>
        <x:v>中</x:v>
      </x:c>
      <x:c r="I669" s="56" t="inlineStr">
        <x:is>
          <x:t xml:space="preserve">试管婴儿的成功率与女方年龄呈明显负相关。</x:t>
        </x:is>
      </x:c>
      <x:c r="J669" s="56" t="str">
        <x:f>I669</x:f>
        <x:v>试管婴儿的成功率与女方年龄呈明显负相关。</x:v>
      </x:c>
      <x:c r="K669" s="55" t="inlineStr">
        <x:is>
          <x:t xml:space="preserve">无需改写</x:t>
        </x:is>
      </x:c>
      <x:c r="L669" s="56" t="inlineStr">
        <x:is>
          <x:t xml:space="preserve">女方年龄</x:t>
        </x:is>
      </x:c>
      <x:c r="M669" s="56" t="inlineStr">
        <x:is>
          <x:t xml:space="preserve">辅助生殖的关键预后因素</x:t>
        </x:is>
      </x:c>
      <x:c r="N669" s="56" t="inlineStr">
        <x:is>
          <x:t xml:space="preserve">试管婴儿的成功率与年龄呈负相关</x:t>
        </x:is>
      </x:c>
      <x:c r="O669" s="55" t="inlineStr">
        <x:is>
          <x:t xml:space="preserve">中</x:t>
        </x:is>
      </x:c>
      <x:c r="P669" s="55" t="inlineStr">
        <x:is>
          <x:t xml:space="preserve">否</x:t>
        </x:is>
      </x:c>
      <x:c r="Q669" s="56" t="n"/>
      <x:c r="R669" s="57" t="inlineStr">
        <x:is>
          <x:t xml:space="preserve">主集</x:t>
        </x:is>
      </x:c>
      <x:c r="S669" s="57" t="inlineStr">
        <x:is>
          <x:t xml:space="preserve">index</x:t>
        </x:is>
      </x:c>
      <x:c r="T669" s="57" t="inlineStr">
        <x:is>
          <x:t xml:space="preserve"/>
        </x:is>
      </x:c>
    </x:row>
    <x:row r="670" s="37" customFormat="1" ht="15" customHeight="1">
      <x:c r="A670" s="55" t="inlineStr">
        <x:is>
          <x:t xml:space="preserve">NEG-0669</x:t>
        </x:is>
      </x:c>
      <x:c r="B670" s="55" t="inlineStr">
        <x:is>
          <x:t xml:space="preserve">v5</x:t>
        </x:is>
      </x:c>
      <x:c r="C670" s="56" t="inlineStr">
        <x:is>
          <x:t xml:space="preserve">二、生理与医学必需</x:t>
        </x:is>
      </x:c>
      <x:c r="D670" s="56" t="inlineStr">
        <x:is>
          <x:t xml:space="preserve">2.1 生殖与生育</x:t>
        </x:is>
      </x:c>
      <x:c r="E670" s="56" t="inlineStr">
        <x:is>
          <x:t xml:space="preserve">公文与规章</x:t>
        </x:is>
      </x:c>
      <x:c r="F670" s="56" t="inlineStr">
        <x:is>
          <x:t xml:space="preserve">哺乳咨询</x:t>
        </x:is>
      </x:c>
      <x:c r="G670" s="55" t="inlineStr">
        <x:is>
          <x:t xml:space="preserve">无</x:t>
        </x:is>
      </x:c>
      <x:c r="H670" s="55" t="str">
        <x:f>IF(LEN(I670)&lt;15,"短",IF(LEN(I670)&lt;=45,"中","长"))</x:f>
        <x:v>中</x:v>
      </x:c>
      <x:c r="I670" s="56" t="inlineStr">
        <x:is>
          <x:t xml:space="preserve">断奶期涨奶明显可以冷敷缓解，不建议自行服用回奶药。</x:t>
        </x:is>
      </x:c>
      <x:c r="J670" s="56" t="str">
        <x:f>I670</x:f>
        <x:v>断奶期涨奶明显可以冷敷缓解，不建议自行服用回奶药。</x:v>
      </x:c>
      <x:c r="K670" s="55" t="inlineStr">
        <x:is>
          <x:t xml:space="preserve">无需改写</x:t>
        </x:is>
      </x:c>
      <x:c r="L670" s="56" t="inlineStr">
        <x:is>
          <x:t xml:space="preserve">断奶/涨奶/回奶</x:t>
        </x:is>
      </x:c>
      <x:c r="M670" s="56" t="inlineStr">
        <x:is>
          <x:t xml:space="preserve">哺乳期护理指导</x:t>
        </x:is>
      </x:c>
      <x:c r="N670" s="56" t="inlineStr">
        <x:is>
          <x:t xml:space="preserve">该阶段不适可冷敷缓解</x:t>
        </x:is>
      </x:c>
      <x:c r="O670" s="55" t="inlineStr">
        <x:is>
          <x:t xml:space="preserve">易</x:t>
        </x:is>
      </x:c>
      <x:c r="P670" s="55" t="inlineStr">
        <x:is>
          <x:t xml:space="preserve">否</x:t>
        </x:is>
      </x:c>
      <x:c r="Q670" s="56" t="n"/>
      <x:c r="R670" s="57" t="inlineStr">
        <x:is>
          <x:t xml:space="preserve">主集</x:t>
        </x:is>
      </x:c>
      <x:c r="S670" s="57" t="inlineStr">
        <x:is>
          <x:t xml:space="preserve">test</x:t>
        </x:is>
      </x:c>
      <x:c r="T670" s="57" t="inlineStr">
        <x:is>
          <x:t xml:space="preserve"/>
        </x:is>
      </x:c>
    </x:row>
    <x:row r="671" s="37" customFormat="1" ht="15" customHeight="1">
      <x:c r="A671" s="55" t="inlineStr">
        <x:is>
          <x:t xml:space="preserve">NEG-0670</x:t>
        </x:is>
      </x:c>
      <x:c r="B671" s="55" t="inlineStr">
        <x:is>
          <x:t xml:space="preserve">v5</x:t>
        </x:is>
      </x:c>
      <x:c r="C671" s="56" t="inlineStr">
        <x:is>
          <x:t xml:space="preserve">二、生理与医学必需</x:t>
        </x:is>
      </x:c>
      <x:c r="D671" s="56" t="inlineStr">
        <x:is>
          <x:t xml:space="preserve">2.1 生殖与生育</x:t>
        </x:is>
      </x:c>
      <x:c r="E671" s="56" t="inlineStr">
        <x:is>
          <x:t xml:space="preserve">医疗健康</x:t>
        </x:is>
      </x:c>
      <x:c r="F671" s="56" t="inlineStr">
        <x:is>
          <x:t xml:space="preserve">法律科普</x:t>
        </x:is>
      </x:c>
      <x:c r="G671" s="55" t="inlineStr">
        <x:is>
          <x:t xml:space="preserve">无</x:t>
        </x:is>
      </x:c>
      <x:c r="H671" s="55" t="str">
        <x:f>IF(LEN(I671)&lt;15,"短",IF(LEN(I671)&lt;=45,"中","长"))</x:f>
        <x:v>中</x:v>
      </x:c>
      <x:c r="I671" s="56" t="inlineStr">
        <x:is>
          <x:t xml:space="preserve">我国不允许任何形式的代孕，相关协议一律无效。</x:t>
        </x:is>
      </x:c>
      <x:c r="J671" s="56" t="str">
        <x:f>I671</x:f>
        <x:v>我国不允许任何形式的代孕，相关协议一律无效。</x:v>
      </x:c>
      <x:c r="K671" s="55" t="inlineStr">
        <x:is>
          <x:t xml:space="preserve">无需改写</x:t>
        </x:is>
      </x:c>
      <x:c r="L671" s="56" t="inlineStr">
        <x:is>
          <x:t xml:space="preserve">代孕</x:t>
        </x:is>
      </x:c>
      <x:c r="M671" s="56" t="inlineStr">
        <x:is>
          <x:t xml:space="preserve">法律禁止事项的名称</x:t>
        </x:is>
      </x:c>
      <x:c r="N671" s="56" t="inlineStr">
        <x:is>
          <x:t xml:space="preserve">我国不允许相关行为，协议一律无效</x:t>
        </x:is>
      </x:c>
      <x:c r="O671" s="55" t="inlineStr">
        <x:is>
          <x:t xml:space="preserve">易</x:t>
        </x:is>
      </x:c>
      <x:c r="P671" s="55" t="inlineStr">
        <x:is>
          <x:t xml:space="preserve">否</x:t>
        </x:is>
      </x:c>
      <x:c r="Q671" s="56" t="n"/>
      <x:c r="R671" s="57" t="inlineStr">
        <x:is>
          <x:t xml:space="preserve">主集</x:t>
        </x:is>
      </x:c>
      <x:c r="S671" s="57" t="inlineStr">
        <x:is>
          <x:t xml:space="preserve">dev</x:t>
        </x:is>
      </x:c>
      <x:c r="T671" s="57" t="inlineStr">
        <x:is>
          <x:t xml:space="preserve"/>
        </x:is>
      </x:c>
    </x:row>
    <x:row r="672" s="37" customFormat="1" ht="15" customHeight="1">
      <x:c r="A672" s="55" t="inlineStr">
        <x:is>
          <x:t xml:space="preserve">NEG-0671</x:t>
        </x:is>
      </x:c>
      <x:c r="B672" s="55" t="inlineStr">
        <x:is>
          <x:t xml:space="preserve">v5</x:t>
        </x:is>
      </x:c>
      <x:c r="C672" s="56" t="inlineStr">
        <x:is>
          <x:t xml:space="preserve">二、生理与医学必需</x:t>
        </x:is>
      </x:c>
      <x:c r="D672" s="56" t="inlineStr">
        <x:is>
          <x:t xml:space="preserve">2.1 生殖与生育</x:t>
        </x:is>
      </x:c>
      <x:c r="E672" s="56" t="inlineStr">
        <x:is>
          <x:t xml:space="preserve">其他</x:t>
        </x:is>
      </x:c>
      <x:c r="F672" s="56" t="inlineStr">
        <x:is>
          <x:t xml:space="preserve">检查解读</x:t>
        </x:is>
      </x:c>
      <x:c r="G672" s="55" t="inlineStr">
        <x:is>
          <x:t xml:space="preserve">无</x:t>
        </x:is>
      </x:c>
      <x:c r="H672" s="55" t="str">
        <x:f>IF(LEN(I672)&lt;15,"短",IF(LEN(I672)&lt;=45,"中","长"))</x:f>
        <x:v>中</x:v>
      </x:c>
      <x:c r="I672" s="56" t="inlineStr">
        <x:is>
          <x:t xml:space="preserve">抗缪勒管激素可用于评估卵巢储备功能。</x:t>
        </x:is>
      </x:c>
      <x:c r="J672" s="56" t="str">
        <x:f>I672</x:f>
        <x:v>抗缪勒管激素可用于评估卵巢储备功能。</x:v>
      </x:c>
      <x:c r="K672" s="55" t="inlineStr">
        <x:is>
          <x:t xml:space="preserve">无需改写</x:t>
        </x:is>
      </x:c>
      <x:c r="L672" s="56" t="inlineStr">
        <x:is>
          <x:t xml:space="preserve">卵巢储备</x:t>
        </x:is>
      </x:c>
      <x:c r="M672" s="56" t="inlineStr">
        <x:is>
          <x:t xml:space="preserve">生育力评估指标</x:t>
        </x:is>
      </x:c>
      <x:c r="N672" s="56" t="inlineStr">
        <x:is>
          <x:t xml:space="preserve">该激素可用于评估生殖功能</x:t>
        </x:is>
      </x:c>
      <x:c r="O672" s="55" t="inlineStr">
        <x:is>
          <x:t xml:space="preserve">易</x:t>
        </x:is>
      </x:c>
      <x:c r="P672" s="55" t="inlineStr">
        <x:is>
          <x:t xml:space="preserve">否</x:t>
        </x:is>
      </x:c>
      <x:c r="Q672" s="56" t="n"/>
      <x:c r="R672" s="57" t="inlineStr">
        <x:is>
          <x:t xml:space="preserve">主集</x:t>
        </x:is>
      </x:c>
      <x:c r="S672" s="57" t="inlineStr">
        <x:is>
          <x:t xml:space="preserve">index</x:t>
        </x:is>
      </x:c>
      <x:c r="T672" s="57" t="inlineStr">
        <x:is>
          <x:t xml:space="preserve"/>
        </x:is>
      </x:c>
    </x:row>
    <x:row r="673" s="37" customFormat="1" ht="15" customHeight="1">
      <x:c r="A673" s="55" t="inlineStr">
        <x:is>
          <x:t xml:space="preserve">NEG-0672</x:t>
        </x:is>
      </x:c>
      <x:c r="B673" s="55" t="inlineStr">
        <x:is>
          <x:t xml:space="preserve">v5</x:t>
        </x:is>
      </x:c>
      <x:c r="C673" s="56" t="inlineStr">
        <x:is>
          <x:t xml:space="preserve">二、生理与医学必需</x:t>
        </x:is>
      </x:c>
      <x:c r="D673" s="56" t="inlineStr">
        <x:is>
          <x:t xml:space="preserve">2.1 生殖与生育</x:t>
        </x:is>
      </x:c>
      <x:c r="E673" s="56" t="inlineStr">
        <x:is>
          <x:t xml:space="preserve">医疗健康</x:t>
        </x:is>
      </x:c>
      <x:c r="F673" s="56" t="inlineStr">
        <x:is>
          <x:t xml:space="preserve">产科病历</x:t>
        </x:is>
      </x:c>
      <x:c r="G673" s="55" t="inlineStr">
        <x:is>
          <x:t xml:space="preserve">无</x:t>
        </x:is>
      </x:c>
      <x:c r="H673" s="55" t="str">
        <x:f>IF(LEN(I673)&lt;15,"短",IF(LEN(I673)&lt;=45,"中","长"))</x:f>
        <x:v>中</x:v>
      </x:c>
      <x:c r="I673" s="56" t="inlineStr">
        <x:is>
          <x:t xml:space="preserve">孕 26 周超声提示胎心消失，考虑死胎，建议尽早引产。</x:t>
        </x:is>
      </x:c>
      <x:c r="J673" s="56" t="str">
        <x:f>I673</x:f>
        <x:v>孕 26 周超声提示胎心消失，考虑死胎，建议尽早引产。</x:v>
      </x:c>
      <x:c r="K673" s="55" t="inlineStr">
        <x:is>
          <x:t xml:space="preserve">无需改写</x:t>
        </x:is>
      </x:c>
      <x:c r="L673" s="56" t="inlineStr">
        <x:is>
          <x:t xml:space="preserve">孕/死胎</x:t>
        </x:is>
      </x:c>
      <x:c r="M673" s="56" t="inlineStr">
        <x:is>
          <x:t xml:space="preserve">临床诊断与处置意见</x:t>
        </x:is>
      </x:c>
      <x:c r="N673" s="56" t="inlineStr">
        <x:is>
          <x:t xml:space="preserve">超声提示异常，建议尽早处理</x:t>
        </x:is>
      </x:c>
      <x:c r="O673" s="55" t="inlineStr">
        <x:is>
          <x:t xml:space="preserve">易</x:t>
        </x:is>
      </x:c>
      <x:c r="P673" s="55" t="inlineStr">
        <x:is>
          <x:t xml:space="preserve">否</x:t>
        </x:is>
      </x:c>
      <x:c r="Q673" s="56" t="n"/>
      <x:c r="R673" s="57" t="inlineStr">
        <x:is>
          <x:t xml:space="preserve">主集</x:t>
        </x:is>
      </x:c>
      <x:c r="S673" s="57" t="inlineStr">
        <x:is>
          <x:t xml:space="preserve">test</x:t>
        </x:is>
      </x:c>
      <x:c r="T673" s="57" t="inlineStr">
        <x:is>
          <x:t xml:space="preserve"/>
        </x:is>
      </x:c>
    </x:row>
    <x:row r="674" s="37" customFormat="1" ht="15" customHeight="1">
      <x:c r="A674" s="55" t="inlineStr">
        <x:is>
          <x:t xml:space="preserve">NEG-0673</x:t>
        </x:is>
      </x:c>
      <x:c r="B674" s="55" t="inlineStr">
        <x:is>
          <x:t xml:space="preserve">v5</x:t>
        </x:is>
      </x:c>
      <x:c r="C674" s="56" t="inlineStr">
        <x:is>
          <x:t xml:space="preserve">二、生理与医学必需</x:t>
        </x:is>
      </x:c>
      <x:c r="D674" s="56" t="inlineStr">
        <x:is>
          <x:t xml:space="preserve">2.2 生理周期与内分泌</x:t>
        </x:is>
      </x:c>
      <x:c r="E674" s="56" t="inlineStr">
        <x:is>
          <x:t xml:space="preserve">其他</x:t>
        </x:is>
      </x:c>
      <x:c r="F674" s="56" t="inlineStr">
        <x:is>
          <x:t xml:space="preserve">生理卫生课</x:t>
        </x:is>
      </x:c>
      <x:c r="G674" s="55" t="inlineStr">
        <x:is>
          <x:t xml:space="preserve">无</x:t>
        </x:is>
      </x:c>
      <x:c r="H674" s="55" t="str">
        <x:f>IF(LEN(I674)&lt;15,"短",IF(LEN(I674)&lt;=45,"中","长"))</x:f>
        <x:v>中</x:v>
      </x:c>
      <x:c r="I674" s="56" t="inlineStr">
        <x:is>
          <x:t xml:space="preserve">男孩首次遗精的平均年龄约在 13 至 14 岁。</x:t>
        </x:is>
      </x:c>
      <x:c r="J674" s="56" t="str">
        <x:f>I674</x:f>
        <x:v>男孩首次遗精的平均年龄约在 13 至 14 岁。</x:v>
      </x:c>
      <x:c r="K674" s="55" t="inlineStr">
        <x:is>
          <x:t xml:space="preserve">无需改写</x:t>
        </x:is>
      </x:c>
      <x:c r="L674" s="56" t="inlineStr">
        <x:is>
          <x:t xml:space="preserve">男孩/遗精</x:t>
        </x:is>
      </x:c>
      <x:c r="M674" s="56" t="inlineStr">
        <x:is>
          <x:t xml:space="preserve">青春期发育的教学内容</x:t>
        </x:is>
      </x:c>
      <x:c r="N674" s="56" t="inlineStr">
        <x:is>
          <x:t xml:space="preserve">首次发育的平均年龄约在 13 至 14 岁</x:t>
        </x:is>
      </x:c>
      <x:c r="O674" s="55" t="inlineStr">
        <x:is>
          <x:t xml:space="preserve">中</x:t>
        </x:is>
      </x:c>
      <x:c r="P674" s="55" t="inlineStr">
        <x:is>
          <x:t xml:space="preserve">否</x:t>
        </x:is>
      </x:c>
      <x:c r="Q674" s="56" t="n"/>
      <x:c r="R674" s="57" t="inlineStr">
        <x:is>
          <x:t xml:space="preserve">主集</x:t>
        </x:is>
      </x:c>
      <x:c r="S674" s="57" t="inlineStr">
        <x:is>
          <x:t xml:space="preserve">index</x:t>
        </x:is>
      </x:c>
      <x:c r="T674" s="57" t="inlineStr">
        <x:is>
          <x:t xml:space="preserve"/>
        </x:is>
      </x:c>
    </x:row>
    <x:row r="675" s="37" customFormat="1" ht="15" customHeight="1">
      <x:c r="A675" s="55" t="inlineStr">
        <x:is>
          <x:t xml:space="preserve">NEG-0674</x:t>
        </x:is>
      </x:c>
      <x:c r="B675" s="55" t="inlineStr">
        <x:is>
          <x:t xml:space="preserve">v5</x:t>
        </x:is>
      </x:c>
      <x:c r="C675" s="56" t="inlineStr">
        <x:is>
          <x:t xml:space="preserve">二、生理与医学必需</x:t>
        </x:is>
      </x:c>
      <x:c r="D675" s="56" t="inlineStr">
        <x:is>
          <x:t xml:space="preserve">2.2 生理周期与内分泌</x:t>
        </x:is>
      </x:c>
      <x:c r="E675" s="56" t="inlineStr">
        <x:is>
          <x:t xml:space="preserve">医疗健康</x:t>
        </x:is>
      </x:c>
      <x:c r="F675" s="56" t="inlineStr">
        <x:is>
          <x:t xml:space="preserve">育儿科普</x:t>
        </x:is>
      </x:c>
      <x:c r="G675" s="55" t="inlineStr">
        <x:is>
          <x:t xml:space="preserve">无</x:t>
        </x:is>
      </x:c>
      <x:c r="H675" s="55" t="str">
        <x:f>IF(LEN(I675)&lt;15,"短",IF(LEN(I675)&lt;=45,"中","长"))</x:f>
        <x:v>中</x:v>
      </x:c>
      <x:c r="I675" s="56" t="inlineStr">
        <x:is>
          <x:t xml:space="preserve">女孩初潮之后，身高的增长速度会明显放缓。</x:t>
        </x:is>
      </x:c>
      <x:c r="J675" s="56" t="str">
        <x:f>I675</x:f>
        <x:v>女孩初潮之后，身高的增长速度会明显放缓。</x:v>
      </x:c>
      <x:c r="K675" s="55" t="inlineStr">
        <x:is>
          <x:t xml:space="preserve">无需改写</x:t>
        </x:is>
      </x:c>
      <x:c r="L675" s="56" t="inlineStr">
        <x:is>
          <x:t xml:space="preserve">女孩/初潮</x:t>
        </x:is>
      </x:c>
      <x:c r="M675" s="56" t="inlineStr">
        <x:is>
          <x:t xml:space="preserve">生长发育规律</x:t>
        </x:is>
      </x:c>
      <x:c r="N675" s="56" t="inlineStr">
        <x:is>
          <x:t xml:space="preserve">孩子进入青春期后身高增速会放缓</x:t>
        </x:is>
      </x:c>
      <x:c r="O675" s="55" t="inlineStr">
        <x:is>
          <x:t xml:space="preserve">中</x:t>
        </x:is>
      </x:c>
      <x:c r="P675" s="55" t="inlineStr">
        <x:is>
          <x:t xml:space="preserve">否</x:t>
        </x:is>
      </x:c>
      <x:c r="Q675" s="56" t="n"/>
      <x:c r="R675" s="57" t="inlineStr">
        <x:is>
          <x:t xml:space="preserve">主集</x:t>
        </x:is>
      </x:c>
      <x:c r="S675" s="57" t="inlineStr">
        <x:is>
          <x:t xml:space="preserve">index</x:t>
        </x:is>
      </x:c>
      <x:c r="T675" s="57" t="inlineStr">
        <x:is>
          <x:t xml:space="preserve"/>
        </x:is>
      </x:c>
    </x:row>
    <x:row r="676" s="37" customFormat="1" ht="15" customHeight="1">
      <x:c r="A676" s="58" t="inlineStr">
        <x:is>
          <x:t xml:space="preserve">NEG-0675</x:t>
        </x:is>
      </x:c>
      <x:c r="B676" s="58" t="inlineStr">
        <x:is>
          <x:t xml:space="preserve">v5</x:t>
        </x:is>
      </x:c>
      <x:c r="C676" s="59" t="inlineStr">
        <x:is>
          <x:t xml:space="preserve">二、生理与医学必需</x:t>
        </x:is>
      </x:c>
      <x:c r="D676" s="59" t="inlineStr">
        <x:is>
          <x:t xml:space="preserve">2.2 生理周期与内分泌</x:t>
        </x:is>
      </x:c>
      <x:c r="E676" s="59" t="inlineStr">
        <x:is>
          <x:t xml:space="preserve">其他</x:t>
        </x:is>
      </x:c>
      <x:c r="F676" s="59" t="inlineStr">
        <x:is>
          <x:t xml:space="preserve">检验解读</x:t>
        </x:is>
      </x:c>
      <x:c r="G676" s="58" t="inlineStr">
        <x:is>
          <x:t xml:space="preserve">无</x:t>
        </x:is>
      </x:c>
      <x:c r="H676" s="58" t="str">
        <x:f>IF(LEN(I676)&lt;15,"短",IF(LEN(I676)&lt;=45,"中","长"))</x:f>
        <x:v>中</x:v>
      </x:c>
      <x:c r="I676" s="59" t="inlineStr">
        <x:is>
          <x:t xml:space="preserve">催乳素升高需排除垂体瘤，建议加做鞍区磁共振。</x:t>
        </x:is>
      </x:c>
      <x:c r="J676" s="59" t="str">
        <x:f>I676</x:f>
        <x:v>催乳素升高需排除垂体瘤，建议加做鞍区磁共振。</x:v>
      </x:c>
      <x:c r="K676" s="58" t="inlineStr">
        <x:is>
          <x:t xml:space="preserve">无需改写</x:t>
        </x:is>
      </x:c>
      <x:c r="L676" s="59" t="inlineStr">
        <x:is>
          <x:t xml:space="preserve">催乳素</x:t>
        </x:is>
      </x:c>
      <x:c r="M676" s="59" t="inlineStr">
        <x:is>
          <x:t xml:space="preserve">激素指标名称</x:t>
        </x:is>
      </x:c>
      <x:c r="N676" s="59" t="inlineStr">
        <x:is>
          <x:t xml:space="preserve">该激素升高需排除垂体瘤</x:t>
        </x:is>
      </x:c>
      <x:c r="O676" s="58" t="inlineStr">
        <x:is>
          <x:t xml:space="preserve">易</x:t>
        </x:is>
      </x:c>
      <x:c r="P676" s="58" t="inlineStr">
        <x:is>
          <x:t xml:space="preserve">否</x:t>
        </x:is>
      </x:c>
      <x:c r="Q676" s="59" t="n"/>
      <x:c r="R676" s="60" t="inlineStr">
        <x:is>
          <x:t xml:space="preserve">隔离·待确认</x:t>
        </x:is>
      </x:c>
      <x:c r="S676" s="60" t="inlineStr">
        <x:is>
          <x:t xml:space="preserve"/>
        </x:is>
      </x:c>
      <x:c r="T676" s="60" t="inlineStr">
        <x:is>
          <x:t xml:space="preserve">触发词不含性别编码——判断可能依赖世界知识而非句内信息</x:t>
        </x:is>
      </x:c>
    </x:row>
    <x:row r="677" s="37" customFormat="1" ht="15" customHeight="1">
      <x:c r="A677" s="55" t="inlineStr">
        <x:is>
          <x:t xml:space="preserve">NEG-0676</x:t>
        </x:is>
      </x:c>
      <x:c r="B677" s="55" t="inlineStr">
        <x:is>
          <x:t xml:space="preserve">v5</x:t>
        </x:is>
      </x:c>
      <x:c r="C677" s="56" t="inlineStr">
        <x:is>
          <x:t xml:space="preserve">二、生理与医学必需</x:t>
        </x:is>
      </x:c>
      <x:c r="D677" s="56" t="inlineStr">
        <x:is>
          <x:t xml:space="preserve">2.2 生理周期与内分泌</x:t>
        </x:is>
      </x:c>
      <x:c r="E677" s="56" t="inlineStr">
        <x:is>
          <x:t xml:space="preserve">其他</x:t>
        </x:is>
      </x:c>
      <x:c r="F677" s="56" t="inlineStr">
        <x:is>
          <x:t xml:space="preserve">儿科诊断</x:t>
        </x:is>
      </x:c>
      <x:c r="G677" s="55" t="inlineStr">
        <x:is>
          <x:t xml:space="preserve">无</x:t>
        </x:is>
      </x:c>
      <x:c r="H677" s="55" t="str">
        <x:f>IF(LEN(I677)&lt;15,"短",IF(LEN(I677)&lt;=45,"中","长"))</x:f>
        <x:v>中</x:v>
      </x:c>
      <x:c r="I677" s="56" t="inlineStr">
        <x:is>
          <x:t xml:space="preserve">性早熟指女孩 8 岁前、男孩 9 岁前出现第二性征。</x:t>
        </x:is>
      </x:c>
      <x:c r="J677" s="56" t="str">
        <x:f>I677</x:f>
        <x:v>性早熟指女孩 8 岁前、男孩 9 岁前出现第二性征。</x:v>
      </x:c>
      <x:c r="K677" s="55" t="inlineStr">
        <x:is>
          <x:t xml:space="preserve">无需改写</x:t>
        </x:is>
      </x:c>
      <x:c r="L677" s="56" t="inlineStr">
        <x:is>
          <x:t xml:space="preserve">女孩/男孩/第二性征</x:t>
        </x:is>
      </x:c>
      <x:c r="M677" s="56" t="inlineStr">
        <x:is>
          <x:t xml:space="preserve">诊断标准的界值按性别分设</x:t>
        </x:is>
      </x:c>
      <x:c r="N677" s="56" t="inlineStr">
        <x:is>
          <x:t xml:space="preserve">性早熟指儿童过早出现第二性征</x:t>
        </x:is>
      </x:c>
      <x:c r="O677" s="55" t="inlineStr">
        <x:is>
          <x:t xml:space="preserve">中</x:t>
        </x:is>
      </x:c>
      <x:c r="P677" s="55" t="inlineStr">
        <x:is>
          <x:t xml:space="preserve">否</x:t>
        </x:is>
      </x:c>
      <x:c r="Q677" s="56" t="n"/>
      <x:c r="R677" s="57" t="inlineStr">
        <x:is>
          <x:t xml:space="preserve">主集</x:t>
        </x:is>
      </x:c>
      <x:c r="S677" s="57" t="inlineStr">
        <x:is>
          <x:t xml:space="preserve">index</x:t>
        </x:is>
      </x:c>
      <x:c r="T677" s="57" t="inlineStr">
        <x:is>
          <x:t xml:space="preserve"/>
        </x:is>
      </x:c>
    </x:row>
    <x:row r="678" s="37" customFormat="1" ht="15" customHeight="1">
      <x:c r="A678" s="55" t="inlineStr">
        <x:is>
          <x:t xml:space="preserve">NEG-0677</x:t>
        </x:is>
      </x:c>
      <x:c r="B678" s="55" t="inlineStr">
        <x:is>
          <x:t xml:space="preserve">v5</x:t>
        </x:is>
      </x:c>
      <x:c r="C678" s="56" t="inlineStr">
        <x:is>
          <x:t xml:space="preserve">二、生理与医学必需</x:t>
        </x:is>
      </x:c>
      <x:c r="D678" s="56" t="inlineStr">
        <x:is>
          <x:t xml:space="preserve">2.2 生理周期与内分泌</x:t>
        </x:is>
      </x:c>
      <x:c r="E678" s="56" t="inlineStr">
        <x:is>
          <x:t xml:space="preserve">社交与社区</x:t>
        </x:is>
      </x:c>
      <x:c r="F678" s="56" t="inlineStr">
        <x:is>
          <x:t xml:space="preserve">健康问答</x:t>
        </x:is>
      </x:c>
      <x:c r="G678" s="55" t="inlineStr">
        <x:is>
          <x:t xml:space="preserve">无</x:t>
        </x:is>
      </x:c>
      <x:c r="H678" s="55" t="str">
        <x:f>IF(LEN(I678)&lt;15,"短",IF(LEN(I678)&lt;=45,"中","长"))</x:f>
        <x:v>中</x:v>
      </x:c>
      <x:c r="I678" s="56" t="inlineStr">
        <x:is>
          <x:t xml:space="preserve">绝经两年后又出血，医生让我做个子宫内膜活检。</x:t>
        </x:is>
      </x:c>
      <x:c r="J678" s="56" t="str">
        <x:f>I678</x:f>
        <x:v>绝经两年后又出血，医生让我做个子宫内膜活检。</x:v>
      </x:c>
      <x:c r="K678" s="55" t="inlineStr">
        <x:is>
          <x:t xml:space="preserve">无需改写</x:t>
        </x:is>
      </x:c>
      <x:c r="L678" s="56" t="inlineStr">
        <x:is>
          <x:t xml:space="preserve">绝经/子宫内膜</x:t>
        </x:is>
      </x:c>
      <x:c r="M678" s="56" t="inlineStr">
        <x:is>
          <x:t xml:space="preserve">症状描述与检查项目</x:t>
        </x:is>
      </x:c>
      <x:c r="N678" s="56" t="inlineStr">
        <x:is>
          <x:t xml:space="preserve">停经两年后又出血，医生让我做个活检</x:t>
        </x:is>
      </x:c>
      <x:c r="O678" s="55" t="inlineStr">
        <x:is>
          <x:t xml:space="preserve">易</x:t>
        </x:is>
      </x:c>
      <x:c r="P678" s="55" t="inlineStr">
        <x:is>
          <x:t xml:space="preserve">否</x:t>
        </x:is>
      </x:c>
      <x:c r="Q678" s="56" t="n"/>
      <x:c r="R678" s="57" t="inlineStr">
        <x:is>
          <x:t xml:space="preserve">主集</x:t>
        </x:is>
      </x:c>
      <x:c r="S678" s="57" t="inlineStr">
        <x:is>
          <x:t xml:space="preserve">index</x:t>
        </x:is>
      </x:c>
      <x:c r="T678" s="57" t="inlineStr">
        <x:is>
          <x:t xml:space="preserve"/>
        </x:is>
      </x:c>
    </x:row>
    <x:row r="679" s="37" customFormat="1" ht="15" customHeight="1">
      <x:c r="A679" s="55" t="inlineStr">
        <x:is>
          <x:t xml:space="preserve">NEG-0678</x:t>
        </x:is>
      </x:c>
      <x:c r="B679" s="55" t="inlineStr">
        <x:is>
          <x:t xml:space="preserve">v5</x:t>
        </x:is>
      </x:c>
      <x:c r="C679" s="56" t="inlineStr">
        <x:is>
          <x:t xml:space="preserve">二、生理与医学必需</x:t>
        </x:is>
      </x:c>
      <x:c r="D679" s="56" t="inlineStr">
        <x:is>
          <x:t xml:space="preserve">2.3 性别特异性器官与疾病</x:t>
        </x:is>
      </x:c>
      <x:c r="E679" s="56" t="inlineStr">
        <x:is>
          <x:t xml:space="preserve">其他</x:t>
        </x:is>
      </x:c>
      <x:c r="F679" s="56" t="inlineStr">
        <x:is>
          <x:t xml:space="preserve">检查预约</x:t>
        </x:is>
      </x:c>
      <x:c r="G679" s="55" t="inlineStr">
        <x:is>
          <x:t xml:space="preserve">无</x:t>
        </x:is>
      </x:c>
      <x:c r="H679" s="55" t="str">
        <x:f>IF(LEN(I679)&lt;15,"短",IF(LEN(I679)&lt;=45,"中","长"))</x:f>
        <x:v>中</x:v>
      </x:c>
      <x:c r="I679" s="56" t="inlineStr">
        <x:is>
          <x:t xml:space="preserve">输卵管造影建议在月经干净后 3 至 7 天之内进行。</x:t>
        </x:is>
      </x:c>
      <x:c r="J679" s="56" t="str">
        <x:f>I679</x:f>
        <x:v>输卵管造影建议在月经干净后 3 至 7 天之内进行。</x:v>
      </x:c>
      <x:c r="K679" s="55" t="inlineStr">
        <x:is>
          <x:t xml:space="preserve">无需改写</x:t>
        </x:is>
      </x:c>
      <x:c r="L679" s="56" t="inlineStr">
        <x:is>
          <x:t xml:space="preserve">输卵管/月经</x:t>
        </x:is>
      </x:c>
      <x:c r="M679" s="56" t="inlineStr">
        <x:is>
          <x:t xml:space="preserve">检查时机的临床要求</x:t>
        </x:is>
      </x:c>
      <x:c r="N679" s="56" t="inlineStr">
        <x:is>
          <x:t xml:space="preserve">该造影建议在特定时间窗内进行</x:t>
        </x:is>
      </x:c>
      <x:c r="O679" s="55" t="inlineStr">
        <x:is>
          <x:t xml:space="preserve">易</x:t>
        </x:is>
      </x:c>
      <x:c r="P679" s="55" t="inlineStr">
        <x:is>
          <x:t xml:space="preserve">否</x:t>
        </x:is>
      </x:c>
      <x:c r="Q679" s="56" t="n"/>
      <x:c r="R679" s="57" t="inlineStr">
        <x:is>
          <x:t xml:space="preserve">主集</x:t>
        </x:is>
      </x:c>
      <x:c r="S679" s="57" t="inlineStr">
        <x:is>
          <x:t xml:space="preserve">dev</x:t>
        </x:is>
      </x:c>
      <x:c r="T679" s="57" t="inlineStr">
        <x:is>
          <x:t xml:space="preserve"/>
        </x:is>
      </x:c>
    </x:row>
    <x:row r="680" s="37" customFormat="1" ht="29.850000381469727" customHeight="1">
      <x:c r="A680" s="55" t="inlineStr">
        <x:is>
          <x:t xml:space="preserve">NEG-0679</x:t>
        </x:is>
      </x:c>
      <x:c r="B680" s="55" t="inlineStr">
        <x:is>
          <x:t xml:space="preserve">v5</x:t>
        </x:is>
      </x:c>
      <x:c r="C680" s="56" t="inlineStr">
        <x:is>
          <x:t xml:space="preserve">二、生理与医学必需</x:t>
        </x:is>
      </x:c>
      <x:c r="D680" s="56" t="inlineStr">
        <x:is>
          <x:t xml:space="preserve">2.3 性别特异性器官与疾病</x:t>
        </x:is>
      </x:c>
      <x:c r="E680" s="56" t="inlineStr">
        <x:is>
          <x:t xml:space="preserve">医疗健康</x:t>
        </x:is>
      </x:c>
      <x:c r="F680" s="56" t="inlineStr">
        <x:is>
          <x:t xml:space="preserve">健康科普</x:t>
        </x:is>
      </x:c>
      <x:c r="G680" s="55" t="inlineStr">
        <x:is>
          <x:t xml:space="preserve">无</x:t>
        </x:is>
      </x:c>
      <x:c r="H680" s="55" t="str">
        <x:f>IF(LEN(I680)&lt;15,"短",IF(LEN(I680)&lt;=45,"中","长"))</x:f>
        <x:v>中</x:v>
      </x:c>
      <x:c r="I680" s="56" t="inlineStr">
        <x:is>
          <x:t xml:space="preserve">睾丸癌多发于 15 至 35 岁男性，自检是早期发现的主要手段。</x:t>
        </x:is>
      </x:c>
      <x:c r="J680" s="56" t="str">
        <x:f>I680</x:f>
        <x:v>睾丸癌多发于 15 至 35 岁男性，自检是早期发现的主要手段。</x:v>
      </x:c>
      <x:c r="K680" s="55" t="inlineStr">
        <x:is>
          <x:t xml:space="preserve">无需改写</x:t>
        </x:is>
      </x:c>
      <x:c r="L680" s="56" t="inlineStr">
        <x:is>
          <x:t xml:space="preserve">睾丸癌/男性</x:t>
        </x:is>
      </x:c>
      <x:c r="M680" s="56" t="inlineStr">
        <x:is>
          <x:t xml:space="preserve">疾病名称与好发人群</x:t>
        </x:is>
      </x:c>
      <x:c r="N680" s="56" t="inlineStr">
        <x:is>
          <x:t xml:space="preserve">该癌症多发于 15 至 35 岁人群</x:t>
        </x:is>
      </x:c>
      <x:c r="O680" s="55" t="inlineStr">
        <x:is>
          <x:t xml:space="preserve">易</x:t>
        </x:is>
      </x:c>
      <x:c r="P680" s="55" t="inlineStr">
        <x:is>
          <x:t xml:space="preserve">否</x:t>
        </x:is>
      </x:c>
      <x:c r="Q680" s="56" t="n"/>
      <x:c r="R680" s="57" t="inlineStr">
        <x:is>
          <x:t xml:space="preserve">主集</x:t>
        </x:is>
      </x:c>
      <x:c r="S680" s="57" t="inlineStr">
        <x:is>
          <x:t xml:space="preserve">index</x:t>
        </x:is>
      </x:c>
      <x:c r="T680" s="57" t="inlineStr">
        <x:is>
          <x:t xml:space="preserve"/>
        </x:is>
      </x:c>
    </x:row>
    <x:row r="681" s="37" customFormat="1" ht="15" customHeight="1">
      <x:c r="A681" s="55" t="inlineStr">
        <x:is>
          <x:t xml:space="preserve">NEG-0680</x:t>
        </x:is>
      </x:c>
      <x:c r="B681" s="55" t="inlineStr">
        <x:is>
          <x:t xml:space="preserve">v5</x:t>
        </x:is>
      </x:c>
      <x:c r="C681" s="56" t="inlineStr">
        <x:is>
          <x:t xml:space="preserve">二、生理与医学必需</x:t>
        </x:is>
      </x:c>
      <x:c r="D681" s="56" t="inlineStr">
        <x:is>
          <x:t xml:space="preserve">2.3 性别特异性器官与疾病</x:t>
        </x:is>
      </x:c>
      <x:c r="E681" s="56" t="inlineStr">
        <x:is>
          <x:t xml:space="preserve">学术与调研</x:t>
        </x:is>
      </x:c>
      <x:c r="F681" s="56" t="inlineStr">
        <x:is>
          <x:t xml:space="preserve">学术论文</x:t>
        </x:is>
      </x:c>
      <x:c r="G681" s="55" t="inlineStr">
        <x:is>
          <x:t xml:space="preserve">无</x:t>
        </x:is>
      </x:c>
      <x:c r="H681" s="55" t="str">
        <x:f>IF(LEN(I681)&lt;15,"短",IF(LEN(I681)&lt;=45,"中","长"))</x:f>
        <x:v>中</x:v>
      </x:c>
      <x:c r="I681" s="56" t="inlineStr">
        <x:is>
          <x:t xml:space="preserve">绝经后女性骨质疏松的患病率约为同龄男性的三倍。</x:t>
        </x:is>
      </x:c>
      <x:c r="J681" s="56" t="str">
        <x:f>I681</x:f>
        <x:v>绝经后女性骨质疏松的患病率约为同龄男性的三倍。</x:v>
      </x:c>
      <x:c r="K681" s="55" t="inlineStr">
        <x:is>
          <x:t xml:space="preserve">无需改写</x:t>
        </x:is>
      </x:c>
      <x:c r="L681" s="56" t="inlineStr">
        <x:is>
          <x:t xml:space="preserve">女性/男性</x:t>
        </x:is>
      </x:c>
      <x:c r="M681" s="56" t="inlineStr">
        <x:is>
          <x:t xml:space="preserve">流行病学的性别差异结论</x:t>
        </x:is>
      </x:c>
      <x:c r="N681" s="56" t="inlineStr">
        <x:is>
          <x:t xml:space="preserve">该年龄段人群骨质疏松患病率存在差异</x:t>
        </x:is>
      </x:c>
      <x:c r="O681" s="55" t="inlineStr">
        <x:is>
          <x:t xml:space="preserve">中</x:t>
        </x:is>
      </x:c>
      <x:c r="P681" s="55" t="inlineStr">
        <x:is>
          <x:t xml:space="preserve">否</x:t>
        </x:is>
      </x:c>
      <x:c r="Q681" s="56" t="n"/>
      <x:c r="R681" s="57" t="inlineStr">
        <x:is>
          <x:t xml:space="preserve">主集</x:t>
        </x:is>
      </x:c>
      <x:c r="S681" s="57" t="inlineStr">
        <x:is>
          <x:t xml:space="preserve">test</x:t>
        </x:is>
      </x:c>
      <x:c r="T681" s="57" t="inlineStr">
        <x:is>
          <x:t xml:space="preserve"/>
        </x:is>
      </x:c>
    </x:row>
    <x:row r="682" s="37" customFormat="1" ht="29.850000381469727" customHeight="1">
      <x:c r="A682" s="55" t="inlineStr">
        <x:is>
          <x:t xml:space="preserve">NEG-0681</x:t>
        </x:is>
      </x:c>
      <x:c r="B682" s="55" t="inlineStr">
        <x:is>
          <x:t xml:space="preserve">v5</x:t>
        </x:is>
      </x:c>
      <x:c r="C682" s="56" t="inlineStr">
        <x:is>
          <x:t xml:space="preserve">二、生理与医学必需</x:t>
        </x:is>
      </x:c>
      <x:c r="D682" s="56" t="inlineStr">
        <x:is>
          <x:t xml:space="preserve">2.3 性别特异性器官与疾病</x:t>
        </x:is>
      </x:c>
      <x:c r="E682" s="56" t="inlineStr">
        <x:is>
          <x:t xml:space="preserve">医疗健康</x:t>
        </x:is>
      </x:c>
      <x:c r="F682" s="56" t="inlineStr">
        <x:is>
          <x:t xml:space="preserve">心内科科普</x:t>
        </x:is>
      </x:c>
      <x:c r="G682" s="55" t="inlineStr">
        <x:is>
          <x:t xml:space="preserve">无</x:t>
        </x:is>
      </x:c>
      <x:c r="H682" s="55" t="str">
        <x:f>IF(LEN(I682)&lt;15,"短",IF(LEN(I682)&lt;=45,"中","长"))</x:f>
        <x:v>中</x:v>
      </x:c>
      <x:c r="I682" s="56" t="inlineStr">
        <x:is>
          <x:t xml:space="preserve">女性急性心梗更常表现为乏力和恶心而非典型胸痛，容易被漏诊。</x:t>
        </x:is>
      </x:c>
      <x:c r="J682" s="56" t="str">
        <x:f>I682</x:f>
        <x:v>女性急性心梗更常表现为乏力和恶心而非典型胸痛，容易被漏诊。</x:v>
      </x:c>
      <x:c r="K682" s="55" t="inlineStr">
        <x:is>
          <x:t xml:space="preserve">无需改写</x:t>
        </x:is>
      </x:c>
      <x:c r="L682" s="56" t="inlineStr">
        <x:is>
          <x:t xml:space="preserve">女性</x:t>
        </x:is>
      </x:c>
      <x:c r="M682" s="56" t="inlineStr">
        <x:is>
          <x:t xml:space="preserve">症状差异是漏诊防范的关键，删去则失去警示意义</x:t>
        </x:is>
      </x:c>
      <x:c r="N682" s="56" t="inlineStr">
        <x:is>
          <x:t xml:space="preserve">急性心梗有时表现不典型，容易被漏诊</x:t>
        </x:is>
      </x:c>
      <x:c r="O682" s="55" t="inlineStr">
        <x:is>
          <x:t xml:space="preserve">难</x:t>
        </x:is>
      </x:c>
      <x:c r="P682" s="55" t="inlineStr">
        <x:is>
          <x:t xml:space="preserve">否</x:t>
        </x:is>
      </x:c>
      <x:c r="Q682" s="56" t="inlineStr">
        <x:is>
          <x:t xml:space="preserve">对称样本：此处保留女性恰是为纠正诊断偏差</x:t>
        </x:is>
      </x:c>
      <x:c r="R682" s="57" t="inlineStr">
        <x:is>
          <x:t xml:space="preserve">主集</x:t>
        </x:is>
      </x:c>
      <x:c r="S682" s="57" t="inlineStr">
        <x:is>
          <x:t xml:space="preserve">index</x:t>
        </x:is>
      </x:c>
      <x:c r="T682" s="57" t="inlineStr">
        <x:is>
          <x:t xml:space="preserve"/>
        </x:is>
      </x:c>
    </x:row>
    <x:row r="683" s="37" customFormat="1" ht="15" customHeight="1">
      <x:c r="A683" s="55" t="inlineStr">
        <x:is>
          <x:t xml:space="preserve">NEG-0682</x:t>
        </x:is>
      </x:c>
      <x:c r="B683" s="55" t="inlineStr">
        <x:is>
          <x:t xml:space="preserve">v5</x:t>
        </x:is>
      </x:c>
      <x:c r="C683" s="56" t="inlineStr">
        <x:is>
          <x:t xml:space="preserve">二、生理与医学必需</x:t>
        </x:is>
      </x:c>
      <x:c r="D683" s="56" t="inlineStr">
        <x:is>
          <x:t xml:space="preserve">2.3 性别特异性器官与疾病</x:t>
        </x:is>
      </x:c>
      <x:c r="E683" s="56" t="inlineStr">
        <x:is>
          <x:t xml:space="preserve">其他</x:t>
        </x:is>
      </x:c>
      <x:c r="F683" s="56" t="inlineStr">
        <x:is>
          <x:t xml:space="preserve">风湿免疫科</x:t>
        </x:is>
      </x:c>
      <x:c r="G683" s="55" t="inlineStr">
        <x:is>
          <x:t xml:space="preserve">无</x:t>
        </x:is>
      </x:c>
      <x:c r="H683" s="55" t="str">
        <x:f>IF(LEN(I683)&lt;15,"短",IF(LEN(I683)&lt;=45,"中","长"))</x:f>
        <x:v>中</x:v>
      </x:c>
      <x:c r="I683" s="56" t="inlineStr">
        <x:is>
          <x:t xml:space="preserve">系统性红斑狼疮的男女患病比约为 1:9。</x:t>
        </x:is>
      </x:c>
      <x:c r="J683" s="56" t="str">
        <x:f>I683</x:f>
        <x:v>系统性红斑狼疮的男女患病比约为 1:9。</x:v>
      </x:c>
      <x:c r="K683" s="55" t="inlineStr">
        <x:is>
          <x:t xml:space="preserve">无需改写</x:t>
        </x:is>
      </x:c>
      <x:c r="L683" s="56" t="inlineStr">
        <x:is>
          <x:t xml:space="preserve">男女患病比</x:t>
        </x:is>
      </x:c>
      <x:c r="M683" s="56" t="inlineStr">
        <x:is>
          <x:t xml:space="preserve">流行病学基础数据</x:t>
        </x:is>
      </x:c>
      <x:c r="N683" s="56" t="inlineStr">
        <x:is>
          <x:t xml:space="preserve">该病的患病率在人群中分布不均</x:t>
        </x:is>
      </x:c>
      <x:c r="O683" s="55" t="inlineStr">
        <x:is>
          <x:t xml:space="preserve">易</x:t>
        </x:is>
      </x:c>
      <x:c r="P683" s="55" t="inlineStr">
        <x:is>
          <x:t xml:space="preserve">否</x:t>
        </x:is>
      </x:c>
      <x:c r="Q683" s="56" t="n"/>
      <x:c r="R683" s="57" t="inlineStr">
        <x:is>
          <x:t xml:space="preserve">主集</x:t>
        </x:is>
      </x:c>
      <x:c r="S683" s="57" t="inlineStr">
        <x:is>
          <x:t xml:space="preserve">dev</x:t>
        </x:is>
      </x:c>
      <x:c r="T683" s="57" t="inlineStr">
        <x:is>
          <x:t xml:space="preserve"/>
        </x:is>
      </x:c>
    </x:row>
    <x:row r="684" s="37" customFormat="1" ht="15" customHeight="1">
      <x:c r="A684" s="55" t="inlineStr">
        <x:is>
          <x:t xml:space="preserve">NEG-0683</x:t>
        </x:is>
      </x:c>
      <x:c r="B684" s="55" t="inlineStr">
        <x:is>
          <x:t xml:space="preserve">v5</x:t>
        </x:is>
      </x:c>
      <x:c r="C684" s="56" t="inlineStr">
        <x:is>
          <x:t xml:space="preserve">二、生理与医学必需</x:t>
        </x:is>
      </x:c>
      <x:c r="D684" s="56" t="inlineStr">
        <x:is>
          <x:t xml:space="preserve">2.4 药理与诊疗差异</x:t>
        </x:is>
      </x:c>
      <x:c r="E684" s="56" t="inlineStr">
        <x:is>
          <x:t xml:space="preserve">其他</x:t>
        </x:is>
      </x:c>
      <x:c r="F684" s="56" t="inlineStr">
        <x:is>
          <x:t xml:space="preserve">影像科</x:t>
        </x:is>
      </x:c>
      <x:c r="G684" s="55" t="inlineStr">
        <x:is>
          <x:t xml:space="preserve">无</x:t>
        </x:is>
      </x:c>
      <x:c r="H684" s="55" t="str">
        <x:f>IF(LEN(I684)&lt;15,"短",IF(LEN(I684)&lt;=45,"中","长"))</x:f>
        <x:v>中</x:v>
      </x:c>
      <x:c r="I684" s="56" t="inlineStr">
        <x:is>
          <x:t xml:space="preserve">育龄期女性行 CT 检查前应确认是否处于妊娠状态。</x:t>
        </x:is>
      </x:c>
      <x:c r="J684" s="56" t="str">
        <x:f>I684</x:f>
        <x:v>育龄期女性行 CT 检查前应确认是否处于妊娠状态。</x:v>
      </x:c>
      <x:c r="K684" s="55" t="inlineStr">
        <x:is>
          <x:t xml:space="preserve">无需改写</x:t>
        </x:is>
      </x:c>
      <x:c r="L684" s="56" t="inlineStr">
        <x:is>
          <x:t xml:space="preserve">育龄期女性/妊娠</x:t>
        </x:is>
      </x:c>
      <x:c r="M684" s="56" t="inlineStr">
        <x:is>
          <x:t xml:space="preserve">放射检查的安全核查要求</x:t>
        </x:is>
      </x:c>
      <x:c r="N684" s="56" t="inlineStr">
        <x:is>
          <x:t xml:space="preserve">受检者行 CT 前应确认相关状态</x:t>
        </x:is>
      </x:c>
      <x:c r="O684" s="55" t="inlineStr">
        <x:is>
          <x:t xml:space="preserve">中</x:t>
        </x:is>
      </x:c>
      <x:c r="P684" s="55" t="inlineStr">
        <x:is>
          <x:t xml:space="preserve">否</x:t>
        </x:is>
      </x:c>
      <x:c r="Q684" s="56" t="n"/>
      <x:c r="R684" s="57" t="inlineStr">
        <x:is>
          <x:t xml:space="preserve">主集</x:t>
        </x:is>
      </x:c>
      <x:c r="S684" s="57" t="inlineStr">
        <x:is>
          <x:t xml:space="preserve">index</x:t>
        </x:is>
      </x:c>
      <x:c r="T684" s="57" t="inlineStr">
        <x:is>
          <x:t xml:space="preserve"/>
        </x:is>
      </x:c>
    </x:row>
    <x:row r="685" s="37" customFormat="1" ht="29.850000381469727" customHeight="1">
      <x:c r="A685" s="55" t="inlineStr">
        <x:is>
          <x:t xml:space="preserve">NEG-0684</x:t>
        </x:is>
      </x:c>
      <x:c r="B685" s="55" t="inlineStr">
        <x:is>
          <x:t xml:space="preserve">v5</x:t>
        </x:is>
      </x:c>
      <x:c r="C685" s="56" t="inlineStr">
        <x:is>
          <x:t xml:space="preserve">二、生理与医学必需</x:t>
        </x:is>
      </x:c>
      <x:c r="D685" s="56" t="inlineStr">
        <x:is>
          <x:t xml:space="preserve">2.4 药理与诊疗差异</x:t>
        </x:is>
      </x:c>
      <x:c r="E685" s="56" t="inlineStr">
        <x:is>
          <x:t xml:space="preserve">其他</x:t>
        </x:is>
      </x:c>
      <x:c r="F685" s="56" t="inlineStr">
        <x:is>
          <x:t xml:space="preserve">检验解读</x:t>
        </x:is>
      </x:c>
      <x:c r="G685" s="55" t="inlineStr">
        <x:is>
          <x:t xml:space="preserve">无</x:t>
        </x:is>
      </x:c>
      <x:c r="H685" s="55" t="str">
        <x:f>IF(LEN(I685)&lt;15,"短",IF(LEN(I685)&lt;=45,"中","长"))</x:f>
        <x:v>中</x:v>
      </x:c>
      <x:c r="I685" s="56" t="inlineStr">
        <x:is>
          <x:t xml:space="preserve">血尿酸的参考区间男性高于女性，判读时须对应各自区间。</x:t>
        </x:is>
      </x:c>
      <x:c r="J685" s="56" t="str">
        <x:f>I685</x:f>
        <x:v>血尿酸的参考区间男性高于女性，判读时须对应各自区间。</x:v>
      </x:c>
      <x:c r="K685" s="55" t="inlineStr">
        <x:is>
          <x:t xml:space="preserve">无需改写</x:t>
        </x:is>
      </x:c>
      <x:c r="L685" s="56" t="inlineStr">
        <x:is>
          <x:t xml:space="preserve">男性/女性</x:t>
        </x:is>
      </x:c>
      <x:c r="M685" s="56" t="inlineStr">
        <x:is>
          <x:t xml:space="preserve">检验参考区间的分层</x:t>
        </x:is>
      </x:c>
      <x:c r="N685" s="56" t="inlineStr">
        <x:is>
          <x:t xml:space="preserve">血尿酸参考区间因人而异，判读时须注意</x:t>
        </x:is>
      </x:c>
      <x:c r="O685" s="55" t="inlineStr">
        <x:is>
          <x:t xml:space="preserve">易</x:t>
        </x:is>
      </x:c>
      <x:c r="P685" s="55" t="inlineStr">
        <x:is>
          <x:t xml:space="preserve">否</x:t>
        </x:is>
      </x:c>
      <x:c r="Q685" s="56" t="n"/>
      <x:c r="R685" s="57" t="inlineStr">
        <x:is>
          <x:t xml:space="preserve">主集</x:t>
        </x:is>
      </x:c>
      <x:c r="S685" s="57" t="inlineStr">
        <x:is>
          <x:t xml:space="preserve">index</x:t>
        </x:is>
      </x:c>
      <x:c r="T685" s="57" t="inlineStr">
        <x:is>
          <x:t xml:space="preserve"/>
        </x:is>
      </x:c>
    </x:row>
    <x:row r="686" s="37" customFormat="1" ht="15" customHeight="1">
      <x:c r="A686" s="55" t="inlineStr">
        <x:is>
          <x:t xml:space="preserve">NEG-0685</x:t>
        </x:is>
      </x:c>
      <x:c r="B686" s="55" t="inlineStr">
        <x:is>
          <x:t xml:space="preserve">v5</x:t>
        </x:is>
      </x:c>
      <x:c r="C686" s="56" t="inlineStr">
        <x:is>
          <x:t xml:space="preserve">二、生理与医学必需</x:t>
        </x:is>
      </x:c>
      <x:c r="D686" s="56" t="inlineStr">
        <x:is>
          <x:t xml:space="preserve">2.4 药理与诊疗差异</x:t>
        </x:is>
      </x:c>
      <x:c r="E686" s="56" t="inlineStr">
        <x:is>
          <x:t xml:space="preserve">其他</x:t>
        </x:is>
      </x:c>
      <x:c r="F686" s="56" t="inlineStr">
        <x:is>
          <x:t xml:space="preserve">药学</x:t>
        </x:is>
      </x:c>
      <x:c r="G686" s="55" t="inlineStr">
        <x:is>
          <x:t xml:space="preserve">无</x:t>
        </x:is>
      </x:c>
      <x:c r="H686" s="55" t="str">
        <x:f>IF(LEN(I686)&lt;15,"短",IF(LEN(I686)&lt;=45,"中","长"))</x:f>
        <x:v>中</x:v>
      </x:c>
      <x:c r="I686" s="56" t="inlineStr">
        <x:is>
          <x:t xml:space="preserve">肌酐清除率的估算公式中含有性别系数。</x:t>
        </x:is>
      </x:c>
      <x:c r="J686" s="56" t="str">
        <x:f>I686</x:f>
        <x:v>肌酐清除率的估算公式中含有性别系数。</x:v>
      </x:c>
      <x:c r="K686" s="55" t="inlineStr">
        <x:is>
          <x:t xml:space="preserve">无需改写</x:t>
        </x:is>
      </x:c>
      <x:c r="L686" s="56" t="inlineStr">
        <x:is>
          <x:t xml:space="preserve">性别系数</x:t>
        </x:is>
      </x:c>
      <x:c r="M686" s="56" t="inlineStr">
        <x:is>
          <x:t xml:space="preserve">公式参数，删去则无法计算</x:t>
        </x:is>
      </x:c>
      <x:c r="N686" s="56" t="inlineStr">
        <x:is>
          <x:t xml:space="preserve">肌酐清除率的估算公式含有多个系数</x:t>
        </x:is>
      </x:c>
      <x:c r="O686" s="55" t="inlineStr">
        <x:is>
          <x:t xml:space="preserve">易</x:t>
        </x:is>
      </x:c>
      <x:c r="P686" s="55" t="inlineStr">
        <x:is>
          <x:t xml:space="preserve">否</x:t>
        </x:is>
      </x:c>
      <x:c r="Q686" s="56" t="n"/>
      <x:c r="R686" s="57" t="inlineStr">
        <x:is>
          <x:t xml:space="preserve">主集</x:t>
        </x:is>
      </x:c>
      <x:c r="S686" s="57" t="inlineStr">
        <x:is>
          <x:t xml:space="preserve">dev</x:t>
        </x:is>
      </x:c>
      <x:c r="T686" s="57" t="inlineStr">
        <x:is>
          <x:t xml:space="preserve"/>
        </x:is>
      </x:c>
    </x:row>
    <x:row r="687" s="37" customFormat="1" ht="29.850000381469727" customHeight="1">
      <x:c r="A687" s="55" t="inlineStr">
        <x:is>
          <x:t xml:space="preserve">NEG-0686</x:t>
        </x:is>
      </x:c>
      <x:c r="B687" s="55" t="inlineStr">
        <x:is>
          <x:t xml:space="preserve">v5</x:t>
        </x:is>
      </x:c>
      <x:c r="C687" s="56" t="inlineStr">
        <x:is>
          <x:t xml:space="preserve">二、生理与医学必需</x:t>
        </x:is>
      </x:c>
      <x:c r="D687" s="56" t="inlineStr">
        <x:is>
          <x:t xml:space="preserve">2.4 药理与诊疗差异</x:t>
        </x:is>
      </x:c>
      <x:c r="E687" s="56" t="inlineStr">
        <x:is>
          <x:t xml:space="preserve">医疗健康</x:t>
        </x:is>
      </x:c>
      <x:c r="F687" s="56" t="inlineStr">
        <x:is>
          <x:t xml:space="preserve">说明书</x:t>
        </x:is>
      </x:c>
      <x:c r="G687" s="55" t="inlineStr">
        <x:is>
          <x:t xml:space="preserve">无</x:t>
        </x:is>
      </x:c>
      <x:c r="H687" s="55" t="str">
        <x:f>IF(LEN(I687)&lt;15,"短",IF(LEN(I687)&lt;=45,"中","长"))</x:f>
        <x:v>中</x:v>
      </x:c>
      <x:c r="I687" s="56" t="inlineStr">
        <x:is>
          <x:t xml:space="preserve">本品可能影响男性生育力，有生育计划者请提前告知医师。</x:t>
        </x:is>
      </x:c>
      <x:c r="J687" s="56" t="str">
        <x:f>I687</x:f>
        <x:v>本品可能影响男性生育力，有生育计划者请提前告知医师。</x:v>
      </x:c>
      <x:c r="K687" s="55" t="inlineStr">
        <x:is>
          <x:t xml:space="preserve">无需改写</x:t>
        </x:is>
      </x:c>
      <x:c r="L687" s="56" t="inlineStr">
        <x:is>
          <x:t xml:space="preserve">男性生育力</x:t>
        </x:is>
      </x:c>
      <x:c r="M687" s="56" t="inlineStr">
        <x:is>
          <x:t xml:space="preserve">用药风险提示</x:t>
        </x:is>
      </x:c>
      <x:c r="N687" s="56" t="inlineStr">
        <x:is>
          <x:t xml:space="preserve">本品可能影响生育力，有计划者请告知医师</x:t>
        </x:is>
      </x:c>
      <x:c r="O687" s="55" t="inlineStr">
        <x:is>
          <x:t xml:space="preserve">中</x:t>
        </x:is>
      </x:c>
      <x:c r="P687" s="55" t="inlineStr">
        <x:is>
          <x:t xml:space="preserve">否</x:t>
        </x:is>
      </x:c>
      <x:c r="Q687" s="56" t="n"/>
      <x:c r="R687" s="57" t="inlineStr">
        <x:is>
          <x:t xml:space="preserve">主集</x:t>
        </x:is>
      </x:c>
      <x:c r="S687" s="57" t="inlineStr">
        <x:is>
          <x:t xml:space="preserve">index</x:t>
        </x:is>
      </x:c>
      <x:c r="T687" s="57" t="inlineStr">
        <x:is>
          <x:t xml:space="preserve"/>
        </x:is>
      </x:c>
    </x:row>
    <x:row r="688" s="37" customFormat="1" ht="29.850000381469727" customHeight="1">
      <x:c r="A688" s="55" t="inlineStr">
        <x:is>
          <x:t xml:space="preserve">NEG-0687</x:t>
        </x:is>
      </x:c>
      <x:c r="B688" s="55" t="inlineStr">
        <x:is>
          <x:t xml:space="preserve">v5</x:t>
        </x:is>
      </x:c>
      <x:c r="C688" s="56" t="inlineStr">
        <x:is>
          <x:t xml:space="preserve">二、生理与医学必需</x:t>
        </x:is>
      </x:c>
      <x:c r="D688" s="56" t="inlineStr">
        <x:is>
          <x:t xml:space="preserve">2.5 性别确认医疗与性健康</x:t>
        </x:is>
      </x:c>
      <x:c r="E688" s="56" t="inlineStr">
        <x:is>
          <x:t xml:space="preserve">其他</x:t>
        </x:is>
      </x:c>
      <x:c r="F688" s="56" t="inlineStr">
        <x:is>
          <x:t xml:space="preserve">用药指导</x:t>
        </x:is>
      </x:c>
      <x:c r="G688" s="55" t="inlineStr">
        <x:is>
          <x:t xml:space="preserve">无</x:t>
        </x:is>
      </x:c>
      <x:c r="H688" s="55" t="str">
        <x:f>IF(LEN(I688)&lt;15,"短",IF(LEN(I688)&lt;=45,"中","长"))</x:f>
        <x:v>中</x:v>
      </x:c>
      <x:c r="I688" s="56" t="inlineStr">
        <x:is>
          <x:t xml:space="preserve">短效避孕药需每日固定时间服用，漏服超过 12 小时须采取补救措施。</x:t>
        </x:is>
      </x:c>
      <x:c r="J688" s="56" t="str">
        <x:f>I688</x:f>
        <x:v>短效避孕药需每日固定时间服用，漏服超过 12 小时须采取补救措施。</x:v>
      </x:c>
      <x:c r="K688" s="55" t="inlineStr">
        <x:is>
          <x:t xml:space="preserve">无需改写</x:t>
        </x:is>
      </x:c>
      <x:c r="L688" s="56" t="inlineStr">
        <x:is>
          <x:t xml:space="preserve">避孕药</x:t>
        </x:is>
      </x:c>
      <x:c r="M688" s="56" t="inlineStr">
        <x:is>
          <x:t xml:space="preserve">用药方案说明</x:t>
        </x:is>
      </x:c>
      <x:c r="N688" s="56" t="inlineStr">
        <x:is>
          <x:t xml:space="preserve">该药需每日固定时间服用</x:t>
        </x:is>
      </x:c>
      <x:c r="O688" s="55" t="inlineStr">
        <x:is>
          <x:t xml:space="preserve">易</x:t>
        </x:is>
      </x:c>
      <x:c r="P688" s="55" t="inlineStr">
        <x:is>
          <x:t xml:space="preserve">否</x:t>
        </x:is>
      </x:c>
      <x:c r="Q688" s="56" t="n"/>
      <x:c r="R688" s="57" t="inlineStr">
        <x:is>
          <x:t xml:space="preserve">主集</x:t>
        </x:is>
      </x:c>
      <x:c r="S688" s="57" t="inlineStr">
        <x:is>
          <x:t xml:space="preserve">test</x:t>
        </x:is>
      </x:c>
      <x:c r="T688" s="57" t="inlineStr">
        <x:is>
          <x:t xml:space="preserve"/>
        </x:is>
      </x:c>
    </x:row>
    <x:row r="689" s="37" customFormat="1" ht="29.850000381469727" customHeight="1">
      <x:c r="A689" s="58" t="inlineStr">
        <x:is>
          <x:t xml:space="preserve">NEG-0688</x:t>
        </x:is>
      </x:c>
      <x:c r="B689" s="58" t="inlineStr">
        <x:is>
          <x:t xml:space="preserve">v5</x:t>
        </x:is>
      </x:c>
      <x:c r="C689" s="59" t="inlineStr">
        <x:is>
          <x:t xml:space="preserve">二、生理与医学必需</x:t>
        </x:is>
      </x:c>
      <x:c r="D689" s="59" t="inlineStr">
        <x:is>
          <x:t xml:space="preserve">2.5 性别确认医疗与性健康</x:t>
        </x:is>
      </x:c>
      <x:c r="E689" s="59" t="inlineStr">
        <x:is>
          <x:t xml:space="preserve">医疗健康</x:t>
        </x:is>
      </x:c>
      <x:c r="F689" s="59" t="inlineStr">
        <x:is>
          <x:t xml:space="preserve">男科门诊</x:t>
        </x:is>
      </x:c>
      <x:c r="G689" s="58" t="inlineStr">
        <x:is>
          <x:t xml:space="preserve">无</x:t>
        </x:is>
      </x:c>
      <x:c r="H689" s="58" t="str">
        <x:f>IF(LEN(I689)&lt;15,"短",IF(LEN(I689)&lt;=45,"中","长"))</x:f>
        <x:v>中</x:v>
      </x:c>
      <x:c r="I689" s="59" t="inlineStr">
        <x:is>
          <x:t xml:space="preserve">勃起功能障碍常与心血管疾病共存，建议同步评估血管情况。</x:t>
        </x:is>
      </x:c>
      <x:c r="J689" s="59" t="str">
        <x:f>I689</x:f>
        <x:v>勃起功能障碍常与心血管疾病共存，建议同步评估血管情况。</x:v>
      </x:c>
      <x:c r="K689" s="58" t="inlineStr">
        <x:is>
          <x:t xml:space="preserve">无需改写</x:t>
        </x:is>
      </x:c>
      <x:c r="L689" s="59" t="inlineStr">
        <x:is>
          <x:t xml:space="preserve">勃起功能障碍</x:t>
        </x:is>
      </x:c>
      <x:c r="M689" s="59" t="inlineStr">
        <x:is>
          <x:t xml:space="preserve">疾病名称与共病提示</x:t>
        </x:is>
      </x:c>
      <x:c r="N689" s="59" t="inlineStr">
        <x:is>
          <x:t xml:space="preserve">该功能障碍常与心血管疾病共存</x:t>
        </x:is>
      </x:c>
      <x:c r="O689" s="58" t="inlineStr">
        <x:is>
          <x:t xml:space="preserve">易</x:t>
        </x:is>
      </x:c>
      <x:c r="P689" s="58" t="inlineStr">
        <x:is>
          <x:t xml:space="preserve">否</x:t>
        </x:is>
      </x:c>
      <x:c r="Q689" s="59" t="n"/>
      <x:c r="R689" s="60" t="inlineStr">
        <x:is>
          <x:t xml:space="preserve">隔离·待确认</x:t>
        </x:is>
      </x:c>
      <x:c r="S689" s="60" t="inlineStr">
        <x:is>
          <x:t xml:space="preserve"/>
        </x:is>
      </x:c>
      <x:c r="T689" s="60" t="inlineStr">
        <x:is>
          <x:t xml:space="preserve">触发词不含性别编码——判断可能依赖世界知识而非句内信息</x:t>
        </x:is>
      </x:c>
    </x:row>
    <x:row r="690" s="37" customFormat="1" ht="15" customHeight="1">
      <x:c r="A690" s="58" t="inlineStr">
        <x:is>
          <x:t xml:space="preserve">NEG-0689</x:t>
        </x:is>
      </x:c>
      <x:c r="B690" s="58" t="inlineStr">
        <x:is>
          <x:t xml:space="preserve">v5</x:t>
        </x:is>
      </x:c>
      <x:c r="C690" s="59" t="inlineStr">
        <x:is>
          <x:t xml:space="preserve">二、生理与医学必需</x:t>
        </x:is>
      </x:c>
      <x:c r="D690" s="59" t="inlineStr">
        <x:is>
          <x:t xml:space="preserve">2.5 性别确认医疗与性健康</x:t>
        </x:is>
      </x:c>
      <x:c r="E690" s="59" t="inlineStr">
        <x:is>
          <x:t xml:space="preserve">医疗健康</x:t>
        </x:is>
      </x:c>
      <x:c r="F690" s="59" t="inlineStr">
        <x:is>
          <x:t xml:space="preserve">公共卫生</x:t>
        </x:is>
      </x:c>
      <x:c r="G690" s="58" t="inlineStr">
        <x:is>
          <x:t xml:space="preserve">无</x:t>
        </x:is>
      </x:c>
      <x:c r="H690" s="58" t="str">
        <x:f>IF(LEN(I690)&lt;15,"短",IF(LEN(I690)&lt;=45,"中","长"))</x:f>
        <x:v>中</x:v>
      </x:c>
      <x:c r="I690" s="59" t="inlineStr">
        <x:is>
          <x:t xml:space="preserve">暴露前预防用药可显著降低高危人群的 HIV 感染风险。</x:t>
        </x:is>
      </x:c>
      <x:c r="J690" s="59" t="str">
        <x:f>I690</x:f>
        <x:v>暴露前预防用药可显著降低高危人群的 HIV 感染风险。</x:v>
      </x:c>
      <x:c r="K690" s="58" t="inlineStr">
        <x:is>
          <x:t xml:space="preserve">无需改写</x:t>
        </x:is>
      </x:c>
      <x:c r="L690" s="59" t="inlineStr">
        <x:is>
          <x:t xml:space="preserve">暴露前预防</x:t>
        </x:is>
      </x:c>
      <x:c r="M690" s="59" t="inlineStr">
        <x:is>
          <x:t xml:space="preserve">防控措施名称</x:t>
        </x:is>
      </x:c>
      <x:c r="N690" s="59" t="inlineStr">
        <x:is>
          <x:t xml:space="preserve">相关预防用药可降低感染风险</x:t>
        </x:is>
      </x:c>
      <x:c r="O690" s="58" t="inlineStr">
        <x:is>
          <x:t xml:space="preserve">易</x:t>
        </x:is>
      </x:c>
      <x:c r="P690" s="58" t="inlineStr">
        <x:is>
          <x:t xml:space="preserve">否</x:t>
        </x:is>
      </x:c>
      <x:c r="Q690" s="59" t="n"/>
      <x:c r="R690" s="60" t="inlineStr">
        <x:is>
          <x:t xml:space="preserve">隔离·待确认</x:t>
        </x:is>
      </x:c>
      <x:c r="S690" s="60" t="inlineStr">
        <x:is>
          <x:t xml:space="preserve"/>
        </x:is>
      </x:c>
      <x:c r="T690" s="60" t="inlineStr">
        <x:is>
          <x:t xml:space="preserve">触发词不含性别编码——判断可能依赖世界知识而非句内信息</x:t>
        </x:is>
      </x:c>
    </x:row>
    <x:row r="691" s="37" customFormat="1" ht="15" customHeight="1">
      <x:c r="A691" s="55" t="inlineStr">
        <x:is>
          <x:t xml:space="preserve">NEG-0690</x:t>
        </x:is>
      </x:c>
      <x:c r="B691" s="55" t="inlineStr">
        <x:is>
          <x:t xml:space="preserve">v5</x:t>
        </x:is>
      </x:c>
      <x:c r="C691" s="56" t="inlineStr">
        <x:is>
          <x:t xml:space="preserve">二、生理与医学必需</x:t>
        </x:is>
      </x:c>
      <x:c r="D691" s="56" t="inlineStr">
        <x:is>
          <x:t xml:space="preserve">2.6 鉴定与研究场景</x:t>
        </x:is>
      </x:c>
      <x:c r="E691" s="56" t="inlineStr">
        <x:is>
          <x:t xml:space="preserve">法律与司法</x:t>
        </x:is>
      </x:c>
      <x:c r="F691" s="56" t="inlineStr">
        <x:is>
          <x:t xml:space="preserve">鉴定意见</x:t>
        </x:is>
      </x:c>
      <x:c r="G691" s="55" t="inlineStr">
        <x:is>
          <x:t xml:space="preserve">无</x:t>
        </x:is>
      </x:c>
      <x:c r="H691" s="55" t="str">
        <x:f>IF(LEN(I691)&lt;15,"短",IF(LEN(I691)&lt;=45,"中","长"))</x:f>
        <x:v>中</x:v>
      </x:c>
      <x:c r="I691" s="56" t="inlineStr">
        <x:is>
          <x:t xml:space="preserve">DNA 检测显示样本含 Y 染色体，可排除来自女性个体。</x:t>
        </x:is>
      </x:c>
      <x:c r="J691" s="56" t="str">
        <x:f>I691</x:f>
        <x:v>DNA 检测显示样本含 Y 染色体，可排除来自女性个体。</x:v>
      </x:c>
      <x:c r="K691" s="55" t="inlineStr">
        <x:is>
          <x:t xml:space="preserve">无需改写</x:t>
        </x:is>
      </x:c>
      <x:c r="L691" s="56" t="inlineStr">
        <x:is>
          <x:t xml:space="preserve">Y 染色体/女性</x:t>
        </x:is>
      </x:c>
      <x:c r="M691" s="56" t="inlineStr">
        <x:is>
          <x:t xml:space="preserve">分子鉴定结论</x:t>
        </x:is>
      </x:c>
      <x:c r="N691" s="56" t="inlineStr">
        <x:is>
          <x:t xml:space="preserve">DNA 检测可排除部分来源</x:t>
        </x:is>
      </x:c>
      <x:c r="O691" s="55" t="inlineStr">
        <x:is>
          <x:t xml:space="preserve">易</x:t>
        </x:is>
      </x:c>
      <x:c r="P691" s="55" t="inlineStr">
        <x:is>
          <x:t xml:space="preserve">否</x:t>
        </x:is>
      </x:c>
      <x:c r="Q691" s="56" t="n"/>
      <x:c r="R691" s="57" t="inlineStr">
        <x:is>
          <x:t xml:space="preserve">主集</x:t>
        </x:is>
      </x:c>
      <x:c r="S691" s="57" t="inlineStr">
        <x:is>
          <x:t xml:space="preserve">dev</x:t>
        </x:is>
      </x:c>
      <x:c r="T691" s="57" t="inlineStr">
        <x:is>
          <x:t xml:space="preserve"/>
        </x:is>
      </x:c>
    </x:row>
    <x:row r="692" s="37" customFormat="1" ht="29.850000381469727" customHeight="1">
      <x:c r="A692" s="55" t="inlineStr">
        <x:is>
          <x:t xml:space="preserve">NEG-0691</x:t>
        </x:is>
      </x:c>
      <x:c r="B692" s="55" t="inlineStr">
        <x:is>
          <x:t xml:space="preserve">v5</x:t>
        </x:is>
      </x:c>
      <x:c r="C692" s="56" t="inlineStr">
        <x:is>
          <x:t xml:space="preserve">二、生理与医学必需</x:t>
        </x:is>
      </x:c>
      <x:c r="D692" s="56" t="inlineStr">
        <x:is>
          <x:t xml:space="preserve">2.6 鉴定与研究场景</x:t>
        </x:is>
      </x:c>
      <x:c r="E692" s="56" t="inlineStr">
        <x:is>
          <x:t xml:space="preserve">学术与调研</x:t>
        </x:is>
      </x:c>
      <x:c r="F692" s="56" t="inlineStr">
        <x:is>
          <x:t xml:space="preserve">考古报告</x:t>
        </x:is>
      </x:c>
      <x:c r="G692" s="55" t="inlineStr">
        <x:is>
          <x:t xml:space="preserve">无</x:t>
        </x:is>
      </x:c>
      <x:c r="H692" s="55" t="str">
        <x:f>IF(LEN(I692)&lt;15,"短",IF(LEN(I692)&lt;=45,"中","长"))</x:f>
        <x:v>中</x:v>
      </x:c>
      <x:c r="I692" s="56" t="inlineStr">
        <x:is>
          <x:t xml:space="preserve">该批人骨中男性个体 17 例，女性个体 23 例，另有 6 例无法判定。</x:t>
        </x:is>
      </x:c>
      <x:c r="J692" s="56" t="str">
        <x:f>I692</x:f>
        <x:v>该批人骨中男性个体 17 例，女性个体 23 例，另有 6 例无法判定。</x:v>
      </x:c>
      <x:c r="K692" s="55" t="inlineStr">
        <x:is>
          <x:t xml:space="preserve">无需改写</x:t>
        </x:is>
      </x:c>
      <x:c r="L692" s="56" t="inlineStr">
        <x:is>
          <x:t xml:space="preserve">男性/女性</x:t>
        </x:is>
      </x:c>
      <x:c r="M692" s="56" t="inlineStr">
        <x:is>
          <x:t xml:space="preserve">体质人类学统计，含无法判定项</x:t>
        </x:is>
      </x:c>
      <x:c r="N692" s="56" t="inlineStr">
        <x:is>
          <x:t xml:space="preserve">该批人骨共 46 例，其中 6 例无法判定</x:t>
        </x:is>
      </x:c>
      <x:c r="O692" s="55" t="inlineStr">
        <x:is>
          <x:t xml:space="preserve">易</x:t>
        </x:is>
      </x:c>
      <x:c r="P692" s="55" t="inlineStr">
        <x:is>
          <x:t xml:space="preserve">否</x:t>
        </x:is>
      </x:c>
      <x:c r="Q692" s="56" t="n"/>
      <x:c r="R692" s="57" t="inlineStr">
        <x:is>
          <x:t xml:space="preserve">主集</x:t>
        </x:is>
      </x:c>
      <x:c r="S692" s="57" t="inlineStr">
        <x:is>
          <x:t xml:space="preserve">index</x:t>
        </x:is>
      </x:c>
      <x:c r="T692" s="57" t="inlineStr">
        <x:is>
          <x:t xml:space="preserve"/>
        </x:is>
      </x:c>
    </x:row>
    <x:row r="693" s="37" customFormat="1" ht="15" customHeight="1">
      <x:c r="A693" s="55" t="inlineStr">
        <x:is>
          <x:t xml:space="preserve">NEG-0692</x:t>
        </x:is>
      </x:c>
      <x:c r="B693" s="55" t="inlineStr">
        <x:is>
          <x:t xml:space="preserve">v5</x:t>
        </x:is>
      </x:c>
      <x:c r="C693" s="56" t="inlineStr">
        <x:is>
          <x:t xml:space="preserve">三、制度性与统计性区分</x:t>
        </x:is>
      </x:c>
      <x:c r="D693" s="56" t="inlineStr">
        <x:is>
          <x:t xml:space="preserve">3.1 法律与行政身份</x:t>
        </x:is>
      </x:c>
      <x:c r="E693" s="56" t="inlineStr">
        <x:is>
          <x:t xml:space="preserve">公文与规章</x:t>
        </x:is>
      </x:c>
      <x:c r="F693" s="56" t="inlineStr">
        <x:is>
          <x:t xml:space="preserve">法律咨询</x:t>
        </x:is>
      </x:c>
      <x:c r="G693" s="55" t="inlineStr">
        <x:is>
          <x:t xml:space="preserve">无</x:t>
        </x:is>
      </x:c>
      <x:c r="H693" s="55" t="str">
        <x:f>IF(LEN(I693)&lt;15,"短",IF(LEN(I693)&lt;=45,"中","长"))</x:f>
        <x:v>中</x:v>
      </x:c>
      <x:c r="I693" s="56" t="inlineStr">
        <x:is>
          <x:t xml:space="preserve">离婚后不满两周岁的子女，一般随母方生活。</x:t>
        </x:is>
      </x:c>
      <x:c r="J693" s="56" t="str">
        <x:f>I693</x:f>
        <x:v>离婚后不满两周岁的子女，一般随母方生活。</x:v>
      </x:c>
      <x:c r="K693" s="55" t="inlineStr">
        <x:is>
          <x:t xml:space="preserve">无需改写</x:t>
        </x:is>
      </x:c>
      <x:c r="L693" s="56" t="inlineStr">
        <x:is>
          <x:t xml:space="preserve">母方</x:t>
        </x:is>
      </x:c>
      <x:c r="M693" s="56" t="inlineStr">
        <x:is>
          <x:t xml:space="preserve">法定抚养原则</x:t>
        </x:is>
      </x:c>
      <x:c r="N693" s="56" t="inlineStr">
        <x:is>
          <x:t xml:space="preserve">离婚后不满两周岁的子女，一般随一方生活</x:t>
        </x:is>
      </x:c>
      <x:c r="O693" s="55" t="inlineStr">
        <x:is>
          <x:t xml:space="preserve">中</x:t>
        </x:is>
      </x:c>
      <x:c r="P693" s="55" t="inlineStr">
        <x:is>
          <x:t xml:space="preserve">否</x:t>
        </x:is>
      </x:c>
      <x:c r="Q693" s="56" t="n"/>
      <x:c r="R693" s="57" t="inlineStr">
        <x:is>
          <x:t xml:space="preserve">主集</x:t>
        </x:is>
      </x:c>
      <x:c r="S693" s="57" t="inlineStr">
        <x:is>
          <x:t xml:space="preserve">index</x:t>
        </x:is>
      </x:c>
      <x:c r="T693" s="57" t="inlineStr">
        <x:is>
          <x:t xml:space="preserve"/>
        </x:is>
      </x:c>
    </x:row>
    <x:row r="694" s="37" customFormat="1" ht="15" customHeight="1">
      <x:c r="A694" s="55" t="inlineStr">
        <x:is>
          <x:t xml:space="preserve">NEG-0693</x:t>
        </x:is>
      </x:c>
      <x:c r="B694" s="55" t="inlineStr">
        <x:is>
          <x:t xml:space="preserve">v5</x:t>
        </x:is>
      </x:c>
      <x:c r="C694" s="56" t="inlineStr">
        <x:is>
          <x:t xml:space="preserve">三、制度性与统计性区分</x:t>
        </x:is>
      </x:c>
      <x:c r="D694" s="56" t="inlineStr">
        <x:is>
          <x:t xml:space="preserve">3.1 法律与行政身份</x:t>
        </x:is>
      </x:c>
      <x:c r="E694" s="56" t="inlineStr">
        <x:is>
          <x:t xml:space="preserve">公文与规章</x:t>
        </x:is>
      </x:c>
      <x:c r="F694" s="56" t="inlineStr">
        <x:is>
          <x:t xml:space="preserve">出入境须知</x:t>
        </x:is>
      </x:c>
      <x:c r="G694" s="55" t="inlineStr">
        <x:is>
          <x:t xml:space="preserve">无</x:t>
        </x:is>
      </x:c>
      <x:c r="H694" s="55" t="str">
        <x:f>IF(LEN(I694)&lt;15,"短",IF(LEN(I694)&lt;=45,"中","长"))</x:f>
        <x:v>中</x:v>
      </x:c>
      <x:c r="I694" s="56" t="inlineStr">
        <x:is>
          <x:t xml:space="preserve">未成年人单独出境，需提交父母双方签署的同意书。</x:t>
        </x:is>
      </x:c>
      <x:c r="J694" s="56" t="str">
        <x:f>I694</x:f>
        <x:v>未成年人单独出境，需提交父母双方签署的同意书。</x:v>
      </x:c>
      <x:c r="K694" s="55" t="inlineStr">
        <x:is>
          <x:t xml:space="preserve">无需改写</x:t>
        </x:is>
      </x:c>
      <x:c r="L694" s="56" t="inlineStr">
        <x:is>
          <x:t xml:space="preserve">父母双方</x:t>
        </x:is>
      </x:c>
      <x:c r="M694" s="56" t="inlineStr">
        <x:is>
          <x:t xml:space="preserve">办理材料要求</x:t>
        </x:is>
      </x:c>
      <x:c r="N694" s="56" t="inlineStr">
        <x:is>
          <x:t xml:space="preserve">未成年人单独出境，需提交监护人同意书</x:t>
        </x:is>
      </x:c>
      <x:c r="O694" s="55" t="inlineStr">
        <x:is>
          <x:t xml:space="preserve">中</x:t>
        </x:is>
      </x:c>
      <x:c r="P694" s="55" t="inlineStr">
        <x:is>
          <x:t xml:space="preserve">否</x:t>
        </x:is>
      </x:c>
      <x:c r="Q694" s="56" t="n"/>
      <x:c r="R694" s="57" t="inlineStr">
        <x:is>
          <x:t xml:space="preserve">主集</x:t>
        </x:is>
      </x:c>
      <x:c r="S694" s="57" t="inlineStr">
        <x:is>
          <x:t xml:space="preserve">dev</x:t>
        </x:is>
      </x:c>
      <x:c r="T694" s="57" t="inlineStr">
        <x:is>
          <x:t xml:space="preserve"/>
        </x:is>
      </x:c>
    </x:row>
    <x:row r="695" s="37" customFormat="1" ht="15" customHeight="1">
      <x:c r="A695" s="55" t="inlineStr">
        <x:is>
          <x:t xml:space="preserve">NEG-0694</x:t>
        </x:is>
      </x:c>
      <x:c r="B695" s="55" t="inlineStr">
        <x:is>
          <x:t xml:space="preserve">v5</x:t>
        </x:is>
      </x:c>
      <x:c r="C695" s="56" t="inlineStr">
        <x:is>
          <x:t xml:space="preserve">三、制度性与统计性区分</x:t>
        </x:is>
      </x:c>
      <x:c r="D695" s="56" t="inlineStr">
        <x:is>
          <x:t xml:space="preserve">3.1 法律与行政身份</x:t>
        </x:is>
      </x:c>
      <x:c r="E695" s="56" t="inlineStr">
        <x:is>
          <x:t xml:space="preserve">法律与司法</x:t>
        </x:is>
      </x:c>
      <x:c r="F695" s="56" t="inlineStr">
        <x:is>
          <x:t xml:space="preserve">判决主文</x:t>
        </x:is>
      </x:c>
      <x:c r="G695" s="55" t="inlineStr">
        <x:is>
          <x:t xml:space="preserve">无</x:t>
        </x:is>
      </x:c>
      <x:c r="H695" s="55" t="str">
        <x:f>IF(LEN(I695)&lt;15,"短",IF(LEN(I695)&lt;=45,"中","长"))</x:f>
        <x:v>中</x:v>
      </x:c>
      <x:c r="I695" s="56" t="inlineStr">
        <x:is>
          <x:t xml:space="preserve">婚生子监护权判归母方，父方每月可探视两次。</x:t>
        </x:is>
      </x:c>
      <x:c r="J695" s="56" t="str">
        <x:f>I695</x:f>
        <x:v>婚生子监护权判归母方，父方每月可探视两次。</x:v>
      </x:c>
      <x:c r="K695" s="55" t="inlineStr">
        <x:is>
          <x:t xml:space="preserve">无需改写</x:t>
        </x:is>
      </x:c>
      <x:c r="L695" s="56" t="inlineStr">
        <x:is>
          <x:t xml:space="preserve">母方/父方</x:t>
        </x:is>
      </x:c>
      <x:c r="M695" s="56" t="inlineStr">
        <x:is>
          <x:t xml:space="preserve">抚养与探视的判决内容</x:t>
        </x:is>
      </x:c>
      <x:c r="N695" s="56" t="inlineStr">
        <x:is>
          <x:t xml:space="preserve">监护权判归一方，另一方每月可探视两次</x:t>
        </x:is>
      </x:c>
      <x:c r="O695" s="55" t="inlineStr">
        <x:is>
          <x:t xml:space="preserve">易</x:t>
        </x:is>
      </x:c>
      <x:c r="P695" s="55" t="inlineStr">
        <x:is>
          <x:t xml:space="preserve">否</x:t>
        </x:is>
      </x:c>
      <x:c r="Q695" s="56" t="n"/>
      <x:c r="R695" s="57" t="inlineStr">
        <x:is>
          <x:t xml:space="preserve">主集</x:t>
        </x:is>
      </x:c>
      <x:c r="S695" s="57" t="inlineStr">
        <x:is>
          <x:t xml:space="preserve">index</x:t>
        </x:is>
      </x:c>
      <x:c r="T695" s="57" t="inlineStr">
        <x:is>
          <x:t xml:space="preserve"/>
        </x:is>
      </x:c>
    </x:row>
    <x:row r="696" s="37" customFormat="1" ht="15" customHeight="1">
      <x:c r="A696" s="55" t="inlineStr">
        <x:is>
          <x:t xml:space="preserve">NEG-0695</x:t>
        </x:is>
      </x:c>
      <x:c r="B696" s="55" t="inlineStr">
        <x:is>
          <x:t xml:space="preserve">v5</x:t>
        </x:is>
      </x:c>
      <x:c r="C696" s="56" t="inlineStr">
        <x:is>
          <x:t xml:space="preserve">三、制度性与统计性区分</x:t>
        </x:is>
      </x:c>
      <x:c r="D696" s="56" t="inlineStr">
        <x:is>
          <x:t xml:space="preserve">3.1 法律与行政身份</x:t>
        </x:is>
      </x:c>
      <x:c r="E696" s="56" t="inlineStr">
        <x:is>
          <x:t xml:space="preserve">其他</x:t>
        </x:is>
      </x:c>
      <x:c r="F696" s="56" t="inlineStr">
        <x:is>
          <x:t xml:space="preserve">收养登记</x:t>
        </x:is>
      </x:c>
      <x:c r="G696" s="55" t="inlineStr">
        <x:is>
          <x:t xml:space="preserve">无</x:t>
        </x:is>
      </x:c>
      <x:c r="H696" s="55" t="str">
        <x:f>IF(LEN(I696)&lt;15,"短",IF(LEN(I696)&lt;=45,"中","长"))</x:f>
        <x:v>中</x:v>
      </x:c>
      <x:c r="I696" s="56" t="inlineStr">
        <x:is>
          <x:t xml:space="preserve">收养登记需提交收养人夫妻双方的婚姻状况证明。</x:t>
        </x:is>
      </x:c>
      <x:c r="J696" s="56" t="str">
        <x:f>I696</x:f>
        <x:v>收养登记需提交收养人夫妻双方的婚姻状况证明。</x:v>
      </x:c>
      <x:c r="K696" s="55" t="inlineStr">
        <x:is>
          <x:t xml:space="preserve">无需改写</x:t>
        </x:is>
      </x:c>
      <x:c r="L696" s="56" t="inlineStr">
        <x:is>
          <x:t xml:space="preserve">夫妻双方</x:t>
        </x:is>
      </x:c>
      <x:c r="M696" s="56" t="inlineStr">
        <x:is>
          <x:t xml:space="preserve">登记材料的法定要求</x:t>
        </x:is>
      </x:c>
      <x:c r="N696" s="56" t="inlineStr">
        <x:is>
          <x:t xml:space="preserve">收养登记需提交收养人的婚姻状况证明</x:t>
        </x:is>
      </x:c>
      <x:c r="O696" s="55" t="inlineStr">
        <x:is>
          <x:t xml:space="preserve">中</x:t>
        </x:is>
      </x:c>
      <x:c r="P696" s="55" t="inlineStr">
        <x:is>
          <x:t xml:space="preserve">否</x:t>
        </x:is>
      </x:c>
      <x:c r="Q696" s="56" t="n"/>
      <x:c r="R696" s="57" t="inlineStr">
        <x:is>
          <x:t xml:space="preserve">主集</x:t>
        </x:is>
      </x:c>
      <x:c r="S696" s="57" t="inlineStr">
        <x:is>
          <x:t xml:space="preserve">dev</x:t>
        </x:is>
      </x:c>
      <x:c r="T696" s="57" t="inlineStr">
        <x:is>
          <x:t xml:space="preserve"/>
        </x:is>
      </x:c>
    </x:row>
    <x:row r="697" s="37" customFormat="1" ht="15" customHeight="1">
      <x:c r="A697" s="55" t="inlineStr">
        <x:is>
          <x:t xml:space="preserve">NEG-0696</x:t>
        </x:is>
      </x:c>
      <x:c r="B697" s="55" t="inlineStr">
        <x:is>
          <x:t xml:space="preserve">v5</x:t>
        </x:is>
      </x:c>
      <x:c r="C697" s="56" t="inlineStr">
        <x:is>
          <x:t xml:space="preserve">三、制度性与统计性区分</x:t>
        </x:is>
      </x:c>
      <x:c r="D697" s="56" t="inlineStr">
        <x:is>
          <x:t xml:space="preserve">3.2 劳动与社会保障</x:t>
        </x:is>
      </x:c>
      <x:c r="E697" s="56" t="inlineStr">
        <x:is>
          <x:t xml:space="preserve">其他</x:t>
        </x:is>
      </x:c>
      <x:c r="F697" s="56" t="inlineStr">
        <x:is>
          <x:t xml:space="preserve">劳动保护</x:t>
        </x:is>
      </x:c>
      <x:c r="G697" s="55" t="inlineStr">
        <x:is>
          <x:t xml:space="preserve">无</x:t>
        </x:is>
      </x:c>
      <x:c r="H697" s="55" t="str">
        <x:f>IF(LEN(I697)&lt;15,"短",IF(LEN(I697)&lt;=45,"中","长"))</x:f>
        <x:v>中</x:v>
      </x:c>
      <x:c r="I697" s="56" t="inlineStr">
        <x:is>
          <x:t xml:space="preserve">从事高温作业的女职工，孕期应当调离原岗位。</x:t>
        </x:is>
      </x:c>
      <x:c r="J697" s="56" t="str">
        <x:f>I697</x:f>
        <x:v>从事高温作业的女职工，孕期应当调离原岗位。</x:v>
      </x:c>
      <x:c r="K697" s="55" t="inlineStr">
        <x:is>
          <x:t xml:space="preserve">无需改写</x:t>
        </x:is>
      </x:c>
      <x:c r="L697" s="56" t="inlineStr">
        <x:is>
          <x:t xml:space="preserve">女职工/孕期</x:t>
        </x:is>
      </x:c>
      <x:c r="M697" s="56" t="inlineStr">
        <x:is>
          <x:t xml:space="preserve">劳动保护条款的适用对象</x:t>
        </x:is>
      </x:c>
      <x:c r="N697" s="56" t="inlineStr">
        <x:is>
          <x:t xml:space="preserve">从事高温作业的职工，孕期应当调离</x:t>
        </x:is>
      </x:c>
      <x:c r="O697" s="55" t="inlineStr">
        <x:is>
          <x:t xml:space="preserve">中</x:t>
        </x:is>
      </x:c>
      <x:c r="P697" s="55" t="inlineStr">
        <x:is>
          <x:t xml:space="preserve">否</x:t>
        </x:is>
      </x:c>
      <x:c r="Q697" s="56" t="n"/>
      <x:c r="R697" s="57" t="inlineStr">
        <x:is>
          <x:t xml:space="preserve">主集</x:t>
        </x:is>
      </x:c>
      <x:c r="S697" s="57" t="inlineStr">
        <x:is>
          <x:t xml:space="preserve">test</x:t>
        </x:is>
      </x:c>
      <x:c r="T697" s="57" t="inlineStr">
        <x:is>
          <x:t xml:space="preserve"/>
        </x:is>
      </x:c>
    </x:row>
    <x:row r="698" s="37" customFormat="1" ht="29.850000381469727" customHeight="1">
      <x:c r="A698" s="55" t="inlineStr">
        <x:is>
          <x:t xml:space="preserve">NEG-0697</x:t>
        </x:is>
      </x:c>
      <x:c r="B698" s="55" t="inlineStr">
        <x:is>
          <x:t xml:space="preserve">v5</x:t>
        </x:is>
      </x:c>
      <x:c r="C698" s="56" t="inlineStr">
        <x:is>
          <x:t xml:space="preserve">三、制度性与统计性区分</x:t>
        </x:is>
      </x:c>
      <x:c r="D698" s="56" t="inlineStr">
        <x:is>
          <x:t xml:space="preserve">3.2 劳动与社会保障</x:t>
        </x:is>
      </x:c>
      <x:c r="E698" s="56" t="inlineStr">
        <x:is>
          <x:t xml:space="preserve">其他</x:t>
        </x:is>
      </x:c>
      <x:c r="F698" s="56" t="inlineStr">
        <x:is>
          <x:t xml:space="preserve">职业病报告</x:t>
        </x:is>
      </x:c>
      <x:c r="G698" s="55" t="inlineStr">
        <x:is>
          <x:t xml:space="preserve">无</x:t>
        </x:is>
      </x:c>
      <x:c r="H698" s="55" t="str">
        <x:f>IF(LEN(I698)&lt;15,"短",IF(LEN(I698)&lt;=45,"中","长"))</x:f>
        <x:v>中</x:v>
      </x:c>
      <x:c r="I698" s="56" t="inlineStr">
        <x:is>
          <x:t xml:space="preserve">尘肺病患者中男性占绝大多数，与行业用工结构直接相关。</x:t>
        </x:is>
      </x:c>
      <x:c r="J698" s="56" t="str">
        <x:f>I698</x:f>
        <x:v>尘肺病患者中男性占绝大多数，与行业用工结构直接相关。</x:v>
      </x:c>
      <x:c r="K698" s="55" t="inlineStr">
        <x:is>
          <x:t xml:space="preserve">无需改写</x:t>
        </x:is>
      </x:c>
      <x:c r="L698" s="56" t="inlineStr">
        <x:is>
          <x:t xml:space="preserve">男性</x:t>
        </x:is>
      </x:c>
      <x:c r="M698" s="56" t="inlineStr">
        <x:is>
          <x:t xml:space="preserve">职业病流行病学与成因分析</x:t>
        </x:is>
      </x:c>
      <x:c r="N698" s="56" t="inlineStr">
        <x:is>
          <x:t xml:space="preserve">尘肺病患者的分布与行业用工结构相关</x:t>
        </x:is>
      </x:c>
      <x:c r="O698" s="55" t="inlineStr">
        <x:is>
          <x:t xml:space="preserve">中</x:t>
        </x:is>
      </x:c>
      <x:c r="P698" s="55" t="inlineStr">
        <x:is>
          <x:t xml:space="preserve">否</x:t>
        </x:is>
      </x:c>
      <x:c r="Q698" s="56" t="n"/>
      <x:c r="R698" s="57" t="inlineStr">
        <x:is>
          <x:t xml:space="preserve">主集</x:t>
        </x:is>
      </x:c>
      <x:c r="S698" s="57" t="inlineStr">
        <x:is>
          <x:t xml:space="preserve">index</x:t>
        </x:is>
      </x:c>
      <x:c r="T698" s="57" t="inlineStr">
        <x:is>
          <x:t xml:space="preserve"/>
        </x:is>
      </x:c>
    </x:row>
    <x:row r="699" s="37" customFormat="1" ht="15" customHeight="1">
      <x:c r="A699" s="55" t="inlineStr">
        <x:is>
          <x:t xml:space="preserve">NEG-0698</x:t>
        </x:is>
      </x:c>
      <x:c r="B699" s="55" t="inlineStr">
        <x:is>
          <x:t xml:space="preserve">v5</x:t>
        </x:is>
      </x:c>
      <x:c r="C699" s="56" t="inlineStr">
        <x:is>
          <x:t xml:space="preserve">三、制度性与统计性区分</x:t>
        </x:is>
      </x:c>
      <x:c r="D699" s="56" t="inlineStr">
        <x:is>
          <x:t xml:space="preserve">3.2 劳动与社会保障</x:t>
        </x:is>
      </x:c>
      <x:c r="E699" s="56" t="inlineStr">
        <x:is>
          <x:t xml:space="preserve">其他</x:t>
        </x:is>
      </x:c>
      <x:c r="F699" s="56" t="inlineStr">
        <x:is>
          <x:t xml:space="preserve">社保经办</x:t>
        </x:is>
      </x:c>
      <x:c r="G699" s="55" t="inlineStr">
        <x:is>
          <x:t xml:space="preserve">无</x:t>
        </x:is>
      </x:c>
      <x:c r="H699" s="55" t="str">
        <x:f>IF(LEN(I699)&lt;15,"短",IF(LEN(I699)&lt;=45,"中","长"))</x:f>
        <x:v>中</x:v>
      </x:c>
      <x:c r="I699" s="56" t="inlineStr">
        <x:is>
          <x:t xml:space="preserve">男职工未就业配偶可申领一次性生育补助。</x:t>
        </x:is>
      </x:c>
      <x:c r="J699" s="56" t="str">
        <x:f>I699</x:f>
        <x:v>男职工未就业配偶可申领一次性生育补助。</x:v>
      </x:c>
      <x:c r="K699" s="55" t="inlineStr">
        <x:is>
          <x:t xml:space="preserve">无需改写</x:t>
        </x:is>
      </x:c>
      <x:c r="L699" s="56" t="inlineStr">
        <x:is>
          <x:t xml:space="preserve">男职工/配偶</x:t>
        </x:is>
      </x:c>
      <x:c r="M699" s="56" t="inlineStr">
        <x:is>
          <x:t xml:space="preserve">待遇申领的资格条件</x:t>
        </x:is>
      </x:c>
      <x:c r="N699" s="56" t="inlineStr">
        <x:is>
          <x:t xml:space="preserve">职工未就业配偶可申领一次性生育补助</x:t>
        </x:is>
      </x:c>
      <x:c r="O699" s="55" t="inlineStr">
        <x:is>
          <x:t xml:space="preserve">中</x:t>
        </x:is>
      </x:c>
      <x:c r="P699" s="55" t="inlineStr">
        <x:is>
          <x:t xml:space="preserve">否</x:t>
        </x:is>
      </x:c>
      <x:c r="Q699" s="56" t="n"/>
      <x:c r="R699" s="57" t="inlineStr">
        <x:is>
          <x:t xml:space="preserve">主集</x:t>
        </x:is>
      </x:c>
      <x:c r="S699" s="57" t="inlineStr">
        <x:is>
          <x:t xml:space="preserve">index</x:t>
        </x:is>
      </x:c>
      <x:c r="T699" s="57" t="inlineStr">
        <x:is>
          <x:t xml:space="preserve"/>
        </x:is>
      </x:c>
    </x:row>
    <x:row r="700" s="37" customFormat="1" ht="15" customHeight="1">
      <x:c r="A700" s="55" t="inlineStr">
        <x:is>
          <x:t xml:space="preserve">NEG-0699</x:t>
        </x:is>
      </x:c>
      <x:c r="B700" s="55" t="inlineStr">
        <x:is>
          <x:t xml:space="preserve">v5</x:t>
        </x:is>
      </x:c>
      <x:c r="C700" s="56" t="inlineStr">
        <x:is>
          <x:t xml:space="preserve">三、制度性与统计性区分</x:t>
        </x:is>
      </x:c>
      <x:c r="D700" s="56" t="inlineStr">
        <x:is>
          <x:t xml:space="preserve">3.2 劳动与社会保障</x:t>
        </x:is>
      </x:c>
      <x:c r="E700" s="56" t="inlineStr">
        <x:is>
          <x:t xml:space="preserve">公文与规章</x:t>
        </x:is>
      </x:c>
      <x:c r="F700" s="56" t="inlineStr">
        <x:is>
          <x:t xml:space="preserve">政策通知</x:t>
        </x:is>
      </x:c>
      <x:c r="G700" s="55" t="inlineStr">
        <x:is>
          <x:t xml:space="preserve">无</x:t>
        </x:is>
      </x:c>
      <x:c r="H700" s="55" t="str">
        <x:f>IF(LEN(I700)&lt;15,"短",IF(LEN(I700)&lt;=45,"中","长"))</x:f>
        <x:v>中</x:v>
      </x:c>
      <x:c r="I700" s="56" t="inlineStr">
        <x:is>
          <x:t xml:space="preserve">女职工退休年龄的过渡方案将按出生年月逐步推进。</x:t>
        </x:is>
      </x:c>
      <x:c r="J700" s="56" t="str">
        <x:f>I700</x:f>
        <x:v>女职工退休年龄的过渡方案将按出生年月逐步推进。</x:v>
      </x:c>
      <x:c r="K700" s="55" t="inlineStr">
        <x:is>
          <x:t xml:space="preserve">无需改写</x:t>
        </x:is>
      </x:c>
      <x:c r="L700" s="56" t="inlineStr">
        <x:is>
          <x:t xml:space="preserve">女职工</x:t>
        </x:is>
      </x:c>
      <x:c r="M700" s="56" t="inlineStr">
        <x:is>
          <x:t xml:space="preserve">现行制度的准确转述</x:t>
        </x:is>
      </x:c>
      <x:c r="N700" s="56" t="inlineStr">
        <x:is>
          <x:t xml:space="preserve">职工退休年龄的过渡方案将逐步推进</x:t>
        </x:is>
      </x:c>
      <x:c r="O700" s="55" t="inlineStr">
        <x:is>
          <x:t xml:space="preserve">中</x:t>
        </x:is>
      </x:c>
      <x:c r="P700" s="55" t="inlineStr">
        <x:is>
          <x:t xml:space="preserve">否</x:t>
        </x:is>
      </x:c>
      <x:c r="Q700" s="56" t="n"/>
      <x:c r="R700" s="57" t="inlineStr">
        <x:is>
          <x:t xml:space="preserve">主集</x:t>
        </x:is>
      </x:c>
      <x:c r="S700" s="57" t="inlineStr">
        <x:is>
          <x:t xml:space="preserve">test</x:t>
        </x:is>
      </x:c>
      <x:c r="T700" s="57" t="inlineStr">
        <x:is>
          <x:t xml:space="preserve"/>
        </x:is>
      </x:c>
    </x:row>
    <x:row r="701" s="37" customFormat="1" ht="15" customHeight="1">
      <x:c r="A701" s="55" t="inlineStr">
        <x:is>
          <x:t xml:space="preserve">NEG-0700</x:t>
        </x:is>
      </x:c>
      <x:c r="B701" s="55" t="inlineStr">
        <x:is>
          <x:t xml:space="preserve">v5</x:t>
        </x:is>
      </x:c>
      <x:c r="C701" s="56" t="inlineStr">
        <x:is>
          <x:t xml:space="preserve">三、制度性与统计性区分</x:t>
        </x:is>
      </x:c>
      <x:c r="D701" s="56" t="inlineStr">
        <x:is>
          <x:t xml:space="preserve">3.3 体育竞技分级</x:t>
        </x:is>
      </x:c>
      <x:c r="E701" s="56" t="inlineStr">
        <x:is>
          <x:t xml:space="preserve">公文与规章</x:t>
        </x:is>
      </x:c>
      <x:c r="F701" s="56" t="inlineStr">
        <x:is>
          <x:t xml:space="preserve">赛事规程</x:t>
        </x:is>
      </x:c>
      <x:c r="G701" s="55" t="inlineStr">
        <x:is>
          <x:t xml:space="preserve">无</x:t>
        </x:is>
      </x:c>
      <x:c r="H701" s="55" t="str">
        <x:f>IF(LEN(I701)&lt;15,"短",IF(LEN(I701)&lt;=45,"中","长"))</x:f>
        <x:v>中</x:v>
      </x:c>
      <x:c r="I701" s="56" t="inlineStr">
        <x:is>
          <x:t xml:space="preserve">混合接力由两男两女组成，出场顺序由各队自行决定。</x:t>
        </x:is>
      </x:c>
      <x:c r="J701" s="56" t="str">
        <x:f>I701</x:f>
        <x:v>混合接力由两男两女组成，出场顺序由各队自行决定。</x:v>
      </x:c>
      <x:c r="K701" s="55" t="inlineStr">
        <x:is>
          <x:t xml:space="preserve">无需改写</x:t>
        </x:is>
      </x:c>
      <x:c r="L701" s="56" t="inlineStr">
        <x:is>
          <x:t xml:space="preserve">两男两女</x:t>
        </x:is>
      </x:c>
      <x:c r="M701" s="56" t="inlineStr">
        <x:is>
          <x:t xml:space="preserve">项目规则的核心内容</x:t>
        </x:is>
      </x:c>
      <x:c r="N701" s="56" t="inlineStr">
        <x:is>
          <x:t xml:space="preserve">混合接力由四人组成，出场顺序自定</x:t>
        </x:is>
      </x:c>
      <x:c r="O701" s="55" t="inlineStr">
        <x:is>
          <x:t xml:space="preserve">易</x:t>
        </x:is>
      </x:c>
      <x:c r="P701" s="55" t="inlineStr">
        <x:is>
          <x:t xml:space="preserve">否</x:t>
        </x:is>
      </x:c>
      <x:c r="Q701" s="56" t="n"/>
      <x:c r="R701" s="57" t="inlineStr">
        <x:is>
          <x:t xml:space="preserve">主集</x:t>
        </x:is>
      </x:c>
      <x:c r="S701" s="57" t="inlineStr">
        <x:is>
          <x:t xml:space="preserve">index</x:t>
        </x:is>
      </x:c>
      <x:c r="T701" s="57" t="inlineStr">
        <x:is>
          <x:t xml:space="preserve"/>
        </x:is>
      </x:c>
    </x:row>
    <x:row r="702" s="37" customFormat="1" ht="15" customHeight="1">
      <x:c r="A702" s="55" t="inlineStr">
        <x:is>
          <x:t xml:space="preserve">NEG-0701</x:t>
        </x:is>
      </x:c>
      <x:c r="B702" s="55" t="inlineStr">
        <x:is>
          <x:t xml:space="preserve">v5</x:t>
        </x:is>
      </x:c>
      <x:c r="C702" s="56" t="inlineStr">
        <x:is>
          <x:t xml:space="preserve">三、制度性与统计性区分</x:t>
        </x:is>
      </x:c>
      <x:c r="D702" s="56" t="inlineStr">
        <x:is>
          <x:t xml:space="preserve">3.3 体育竞技分级</x:t>
        </x:is>
      </x:c>
      <x:c r="E702" s="56" t="inlineStr">
        <x:is>
          <x:t xml:space="preserve">公文与规章</x:t>
        </x:is>
      </x:c>
      <x:c r="F702" s="56" t="inlineStr">
        <x:is>
          <x:t xml:space="preserve">项目介绍</x:t>
        </x:is>
      </x:c>
      <x:c r="G702" s="55" t="inlineStr">
        <x:is>
          <x:t xml:space="preserve">无</x:t>
        </x:is>
      </x:c>
      <x:c r="H702" s="55" t="str">
        <x:f>IF(LEN(I702)&lt;15,"短",IF(LEN(I702)&lt;=45,"中","长"))</x:f>
        <x:v>中</x:v>
      </x:c>
      <x:c r="I702" s="56" t="inlineStr">
        <x:is>
          <x:t xml:space="preserve">混双冰壶每队两人，一男一女，不设替补。</x:t>
        </x:is>
      </x:c>
      <x:c r="J702" s="56" t="str">
        <x:f>I702</x:f>
        <x:v>混双冰壶每队两人，一男一女，不设替补。</x:v>
      </x:c>
      <x:c r="K702" s="55" t="inlineStr">
        <x:is>
          <x:t xml:space="preserve">无需改写</x:t>
        </x:is>
      </x:c>
      <x:c r="L702" s="56" t="inlineStr">
        <x:is>
          <x:t xml:space="preserve">一男一女</x:t>
        </x:is>
      </x:c>
      <x:c r="M702" s="56" t="inlineStr">
        <x:is>
          <x:t xml:space="preserve">项目编制规定</x:t>
        </x:is>
      </x:c>
      <x:c r="N702" s="56" t="inlineStr">
        <x:is>
          <x:t xml:space="preserve">混双冰壶每队两人，不设替补</x:t>
        </x:is>
      </x:c>
      <x:c r="O702" s="55" t="inlineStr">
        <x:is>
          <x:t xml:space="preserve">易</x:t>
        </x:is>
      </x:c>
      <x:c r="P702" s="55" t="inlineStr">
        <x:is>
          <x:t xml:space="preserve">否</x:t>
        </x:is>
      </x:c>
      <x:c r="Q702" s="56" t="n"/>
      <x:c r="R702" s="57" t="inlineStr">
        <x:is>
          <x:t xml:space="preserve">主集</x:t>
        </x:is>
      </x:c>
      <x:c r="S702" s="57" t="inlineStr">
        <x:is>
          <x:t xml:space="preserve">index</x:t>
        </x:is>
      </x:c>
      <x:c r="T702" s="57" t="inlineStr">
        <x:is>
          <x:t xml:space="preserve"/>
        </x:is>
      </x:c>
    </x:row>
    <x:row r="703" s="37" customFormat="1" ht="15" customHeight="1">
      <x:c r="A703" s="55" t="inlineStr">
        <x:is>
          <x:t xml:space="preserve">NEG-0702</x:t>
        </x:is>
      </x:c>
      <x:c r="B703" s="55" t="inlineStr">
        <x:is>
          <x:t xml:space="preserve">v5</x:t>
        </x:is>
      </x:c>
      <x:c r="C703" s="56" t="inlineStr">
        <x:is>
          <x:t xml:space="preserve">三、制度性与统计性区分</x:t>
        </x:is>
      </x:c>
      <x:c r="D703" s="56" t="inlineStr">
        <x:is>
          <x:t xml:space="preserve">3.3 体育竞技分级</x:t>
        </x:is>
      </x:c>
      <x:c r="E703" s="56" t="inlineStr">
        <x:is>
          <x:t xml:space="preserve">商业与产品</x:t>
        </x:is>
      </x:c>
      <x:c r="F703" s="56" t="inlineStr">
        <x:is>
          <x:t xml:space="preserve">青少年赛事</x:t>
        </x:is>
      </x:c>
      <x:c r="G703" s="55" t="inlineStr">
        <x:is>
          <x:t xml:space="preserve">无</x:t>
        </x:is>
      </x:c>
      <x:c r="H703" s="55" t="str">
        <x:f>IF(LEN(I703)&lt;15,"短",IF(LEN(I703)&lt;=45,"中","长"))</x:f>
        <x:v>中</x:v>
      </x:c>
      <x:c r="I703" s="56" t="inlineStr">
        <x:is>
          <x:t xml:space="preserve">青少年组按年龄与性别分设，14 岁以下不分性别。</x:t>
        </x:is>
      </x:c>
      <x:c r="J703" s="56" t="str">
        <x:f>I703</x:f>
        <x:v>青少年组按年龄与性别分设，14 岁以下不分性别。</x:v>
      </x:c>
      <x:c r="K703" s="55" t="inlineStr">
        <x:is>
          <x:t xml:space="preserve">无需改写</x:t>
        </x:is>
      </x:c>
      <x:c r="L703" s="56" t="inlineStr">
        <x:is>
          <x:t xml:space="preserve">性别</x:t>
        </x:is>
      </x:c>
      <x:c r="M703" s="56" t="inlineStr">
        <x:is>
          <x:t xml:space="preserve">分组规则，含不分性别的例外</x:t>
        </x:is>
      </x:c>
      <x:c r="N703" s="56" t="inlineStr">
        <x:is>
          <x:t xml:space="preserve">青少年组按年龄分设</x:t>
        </x:is>
      </x:c>
      <x:c r="O703" s="55" t="inlineStr">
        <x:is>
          <x:t xml:space="preserve">中</x:t>
        </x:is>
      </x:c>
      <x:c r="P703" s="55" t="inlineStr">
        <x:is>
          <x:t xml:space="preserve">否</x:t>
        </x:is>
      </x:c>
      <x:c r="Q703" s="56" t="n"/>
      <x:c r="R703" s="57" t="inlineStr">
        <x:is>
          <x:t xml:space="preserve">主集</x:t>
        </x:is>
      </x:c>
      <x:c r="S703" s="57" t="inlineStr">
        <x:is>
          <x:t xml:space="preserve">test</x:t>
        </x:is>
      </x:c>
      <x:c r="T703" s="57" t="inlineStr">
        <x:is>
          <x:t xml:space="preserve"/>
        </x:is>
      </x:c>
    </x:row>
    <x:row r="704" s="37" customFormat="1" ht="15" customHeight="1">
      <x:c r="A704" s="55" t="inlineStr">
        <x:is>
          <x:t xml:space="preserve">NEG-0703</x:t>
        </x:is>
      </x:c>
      <x:c r="B704" s="55" t="inlineStr">
        <x:is>
          <x:t xml:space="preserve">v5</x:t>
        </x:is>
      </x:c>
      <x:c r="C704" s="56" t="inlineStr">
        <x:is>
          <x:t xml:space="preserve">三、制度性与统计性区分</x:t>
        </x:is>
      </x:c>
      <x:c r="D704" s="56" t="inlineStr">
        <x:is>
          <x:t xml:space="preserve">3.3 体育竞技分级</x:t>
        </x:is>
      </x:c>
      <x:c r="E704" s="56" t="inlineStr">
        <x:is>
          <x:t xml:space="preserve">其他</x:t>
        </x:is>
      </x:c>
      <x:c r="F704" s="56" t="inlineStr">
        <x:is>
          <x:t xml:space="preserve">体育资料</x:t>
        </x:is>
      </x:c>
      <x:c r="G704" s="55" t="inlineStr">
        <x:is>
          <x:t xml:space="preserve">无</x:t>
        </x:is>
      </x:c>
      <x:c r="H704" s="55" t="str">
        <x:f>IF(LEN(I704)&lt;15,"短",IF(LEN(I704)&lt;=45,"中","长"))</x:f>
        <x:v>中</x:v>
      </x:c>
      <x:c r="I704" s="56" t="inlineStr">
        <x:is>
          <x:t xml:space="preserve">男子马拉松纪录与女子纪录目前相差约十分钟。</x:t>
        </x:is>
      </x:c>
      <x:c r="J704" s="56" t="str">
        <x:f>I704</x:f>
        <x:v>男子马拉松纪录与女子纪录目前相差约十分钟。</x:v>
      </x:c>
      <x:c r="K704" s="55" t="inlineStr">
        <x:is>
          <x:t xml:space="preserve">无需改写</x:t>
        </x:is>
      </x:c>
      <x:c r="L704" s="56" t="inlineStr">
        <x:is>
          <x:t xml:space="preserve">男子/女子</x:t>
        </x:is>
      </x:c>
      <x:c r="M704" s="56" t="inlineStr">
        <x:is>
          <x:t xml:space="preserve">纪录分列的对比数据</x:t>
        </x:is>
      </x:c>
      <x:c r="N704" s="56" t="inlineStr">
        <x:is>
          <x:t xml:space="preserve">马拉松的两项纪录目前相差约十分钟</x:t>
        </x:is>
      </x:c>
      <x:c r="O704" s="55" t="inlineStr">
        <x:is>
          <x:t xml:space="preserve">易</x:t>
        </x:is>
      </x:c>
      <x:c r="P704" s="55" t="inlineStr">
        <x:is>
          <x:t xml:space="preserve">否</x:t>
        </x:is>
      </x:c>
      <x:c r="Q704" s="56" t="n"/>
      <x:c r="R704" s="57" t="inlineStr">
        <x:is>
          <x:t xml:space="preserve">主集</x:t>
        </x:is>
      </x:c>
      <x:c r="S704" s="57" t="inlineStr">
        <x:is>
          <x:t xml:space="preserve">index</x:t>
        </x:is>
      </x:c>
      <x:c r="T704" s="57" t="inlineStr">
        <x:is>
          <x:t xml:space="preserve"/>
        </x:is>
      </x:c>
    </x:row>
    <x:row r="705" s="37" customFormat="1" ht="15" customHeight="1">
      <x:c r="A705" s="55" t="inlineStr">
        <x:is>
          <x:t xml:space="preserve">NEG-0704</x:t>
        </x:is>
      </x:c>
      <x:c r="B705" s="55" t="inlineStr">
        <x:is>
          <x:t xml:space="preserve">v5</x:t>
        </x:is>
      </x:c>
      <x:c r="C705" s="56" t="inlineStr">
        <x:is>
          <x:t xml:space="preserve">三、制度性与统计性区分</x:t>
        </x:is>
      </x:c>
      <x:c r="D705" s="56" t="inlineStr">
        <x:is>
          <x:t xml:space="preserve">3.4 空间与设施</x:t>
        </x:is>
      </x:c>
      <x:c r="E705" s="56" t="inlineStr">
        <x:is>
          <x:t xml:space="preserve">新闻报道</x:t>
        </x:is>
      </x:c>
      <x:c r="F705" s="56" t="inlineStr">
        <x:is>
          <x:t xml:space="preserve">病区公告</x:t>
        </x:is>
      </x:c>
      <x:c r="G705" s="55" t="inlineStr">
        <x:is>
          <x:t xml:space="preserve">无</x:t>
        </x:is>
      </x:c>
      <x:c r="H705" s="55" t="str">
        <x:f>IF(LEN(I705)&lt;15,"短",IF(LEN(I705)&lt;=45,"中","长"))</x:f>
        <x:v>中</x:v>
      </x:c>
      <x:c r="I705" s="56" t="inlineStr">
        <x:is>
          <x:t xml:space="preserve">本病区为女性病房，男性陪护请在探视时间内进出。</x:t>
        </x:is>
      </x:c>
      <x:c r="J705" s="56" t="str">
        <x:f>I705</x:f>
        <x:v>本病区为女性病房，男性陪护请在探视时间内进出。</x:v>
      </x:c>
      <x:c r="K705" s="55" t="inlineStr">
        <x:is>
          <x:t xml:space="preserve">无需改写</x:t>
        </x:is>
      </x:c>
      <x:c r="L705" s="56" t="inlineStr">
        <x:is>
          <x:t xml:space="preserve">女性病房/男性陪护</x:t>
        </x:is>
      </x:c>
      <x:c r="M705" s="56" t="inlineStr">
        <x:is>
          <x:t xml:space="preserve">病区管理规定</x:t>
        </x:is>
      </x:c>
      <x:c r="N705" s="56" t="inlineStr">
        <x:is>
          <x:t xml:space="preserve">本病区陪护请在探视时间内进出</x:t>
        </x:is>
      </x:c>
      <x:c r="O705" s="55" t="inlineStr">
        <x:is>
          <x:t xml:space="preserve">中</x:t>
        </x:is>
      </x:c>
      <x:c r="P705" s="55" t="inlineStr">
        <x:is>
          <x:t xml:space="preserve">是</x:t>
        </x:is>
      </x:c>
      <x:c r="Q705" s="56" t="n"/>
      <x:c r="R705" s="57" t="inlineStr">
        <x:is>
          <x:t xml:space="preserve">主集</x:t>
        </x:is>
      </x:c>
      <x:c r="S705" s="57" t="inlineStr">
        <x:is>
          <x:t xml:space="preserve">index</x:t>
        </x:is>
      </x:c>
      <x:c r="T705" s="57" t="inlineStr">
        <x:is>
          <x:t xml:space="preserve"/>
        </x:is>
      </x:c>
    </x:row>
    <x:row r="706" s="37" customFormat="1" ht="29.850000381469727" customHeight="1">
      <x:c r="A706" s="55" t="inlineStr">
        <x:is>
          <x:t xml:space="preserve">NEG-0705</x:t>
        </x:is>
      </x:c>
      <x:c r="B706" s="55" t="inlineStr">
        <x:is>
          <x:t xml:space="preserve">v5</x:t>
        </x:is>
      </x:c>
      <x:c r="C706" s="56" t="inlineStr">
        <x:is>
          <x:t xml:space="preserve">三、制度性与统计性区分</x:t>
        </x:is>
      </x:c>
      <x:c r="D706" s="56" t="inlineStr">
        <x:is>
          <x:t xml:space="preserve">3.4 空间与设施</x:t>
        </x:is>
      </x:c>
      <x:c r="E706" s="56" t="inlineStr">
        <x:is>
          <x:t xml:space="preserve">其他</x:t>
        </x:is>
      </x:c>
      <x:c r="F706" s="56" t="inlineStr">
        <x:is>
          <x:t xml:space="preserve">校史</x:t>
        </x:is>
      </x:c>
      <x:c r="G706" s="55" t="inlineStr">
        <x:is>
          <x:t xml:space="preserve">无</x:t>
        </x:is>
      </x:c>
      <x:c r="H706" s="55" t="str">
        <x:f>IF(LEN(I706)&lt;15,"短",IF(LEN(I706)&lt;=45,"中","长"))</x:f>
        <x:v>中</x:v>
      </x:c>
      <x:c r="I706" s="56" t="inlineStr">
        <x:is>
          <x:t xml:space="preserve">这所女子学院 1919 年建校，2000 年起开始招收男生。</x:t>
        </x:is>
      </x:c>
      <x:c r="J706" s="56" t="str">
        <x:f>I706</x:f>
        <x:v>这所女子学院 1919 年建校，2000 年起开始招收男生。</x:v>
      </x:c>
      <x:c r="K706" s="55" t="inlineStr">
        <x:is>
          <x:t xml:space="preserve">无需改写</x:t>
        </x:is>
      </x:c>
      <x:c r="L706" s="56" t="inlineStr">
        <x:is>
          <x:t xml:space="preserve">女子学院/男生</x:t>
        </x:is>
      </x:c>
      <x:c r="M706" s="56" t="inlineStr">
        <x:is>
          <x:t xml:space="preserve">校名与办学沿革</x:t>
        </x:is>
      </x:c>
      <x:c r="N706" s="56" t="inlineStr">
        <x:is>
          <x:t xml:space="preserve">这所学院 1919 年建校，2000 年起扩大招生范围</x:t>
        </x:is>
      </x:c>
      <x:c r="O706" s="55" t="inlineStr">
        <x:is>
          <x:t xml:space="preserve">易</x:t>
        </x:is>
      </x:c>
      <x:c r="P706" s="55" t="inlineStr">
        <x:is>
          <x:t xml:space="preserve">否</x:t>
        </x:is>
      </x:c>
      <x:c r="Q706" s="56" t="n"/>
      <x:c r="R706" s="57" t="inlineStr">
        <x:is>
          <x:t xml:space="preserve">主集</x:t>
        </x:is>
      </x:c>
      <x:c r="S706" s="57" t="inlineStr">
        <x:is>
          <x:t xml:space="preserve">test</x:t>
        </x:is>
      </x:c>
      <x:c r="T706" s="57" t="inlineStr">
        <x:is>
          <x:t xml:space="preserve"/>
        </x:is>
      </x:c>
    </x:row>
    <x:row r="707" s="37" customFormat="1" ht="15" customHeight="1">
      <x:c r="A707" s="55" t="inlineStr">
        <x:is>
          <x:t xml:space="preserve">NEG-0706</x:t>
        </x:is>
      </x:c>
      <x:c r="B707" s="55" t="inlineStr">
        <x:is>
          <x:t xml:space="preserve">v5</x:t>
        </x:is>
      </x:c>
      <x:c r="C707" s="56" t="inlineStr">
        <x:is>
          <x:t xml:space="preserve">三、制度性与统计性区分</x:t>
        </x:is>
      </x:c>
      <x:c r="D707" s="56" t="inlineStr">
        <x:is>
          <x:t xml:space="preserve">3.4 空间与设施</x:t>
        </x:is>
      </x:c>
      <x:c r="E707" s="56" t="inlineStr">
        <x:is>
          <x:t xml:space="preserve">公文与规章</x:t>
        </x:is>
      </x:c>
      <x:c r="F707" s="56" t="inlineStr">
        <x:is>
          <x:t xml:space="preserve">管理规定</x:t>
        </x:is>
      </x:c>
      <x:c r="G707" s="55" t="inlineStr">
        <x:is>
          <x:t xml:space="preserve">无</x:t>
        </x:is>
      </x:c>
      <x:c r="H707" s="55" t="str">
        <x:f>IF(LEN(I707)&lt;15,"短",IF(LEN(I707)&lt;=45,"中","长"))</x:f>
        <x:v>中</x:v>
      </x:c>
      <x:c r="I707" s="56" t="inlineStr">
        <x:is>
          <x:t xml:space="preserve">强制隔离戒毒场所应当男女分别管理。</x:t>
        </x:is>
      </x:c>
      <x:c r="J707" s="56" t="str">
        <x:f>I707</x:f>
        <x:v>强制隔离戒毒场所应当男女分别管理。</x:v>
      </x:c>
      <x:c r="K707" s="55" t="inlineStr">
        <x:is>
          <x:t xml:space="preserve">无需改写</x:t>
        </x:is>
      </x:c>
      <x:c r="L707" s="56" t="inlineStr">
        <x:is>
          <x:t xml:space="preserve">男女分别管理</x:t>
        </x:is>
      </x:c>
      <x:c r="M707" s="56" t="inlineStr">
        <x:is>
          <x:t xml:space="preserve">法定管理要求</x:t>
        </x:is>
      </x:c>
      <x:c r="N707" s="56" t="inlineStr">
        <x:is>
          <x:t xml:space="preserve">戒毒场所应当分区管理</x:t>
        </x:is>
      </x:c>
      <x:c r="O707" s="55" t="inlineStr">
        <x:is>
          <x:t xml:space="preserve">易</x:t>
        </x:is>
      </x:c>
      <x:c r="P707" s="55" t="inlineStr">
        <x:is>
          <x:t xml:space="preserve">否</x:t>
        </x:is>
      </x:c>
      <x:c r="Q707" s="56" t="n"/>
      <x:c r="R707" s="57" t="inlineStr">
        <x:is>
          <x:t xml:space="preserve">主集</x:t>
        </x:is>
      </x:c>
      <x:c r="S707" s="57" t="inlineStr">
        <x:is>
          <x:t xml:space="preserve">test</x:t>
        </x:is>
      </x:c>
      <x:c r="T707" s="57" t="inlineStr">
        <x:is>
          <x:t xml:space="preserve"/>
        </x:is>
      </x:c>
    </x:row>
    <x:row r="708" s="37" customFormat="1" ht="29.850000381469727" customHeight="1">
      <x:c r="A708" s="58" t="inlineStr">
        <x:is>
          <x:t xml:space="preserve">NEG-0707</x:t>
        </x:is>
      </x:c>
      <x:c r="B708" s="58" t="inlineStr">
        <x:is>
          <x:t xml:space="preserve">v5</x:t>
        </x:is>
      </x:c>
      <x:c r="C708" s="59" t="inlineStr">
        <x:is>
          <x:t xml:space="preserve">三、制度性与统计性区分</x:t>
        </x:is>
      </x:c>
      <x:c r="D708" s="59" t="inlineStr">
        <x:is>
          <x:t xml:space="preserve">3.4 空间与设施</x:t>
        </x:is>
      </x:c>
      <x:c r="E708" s="59" t="inlineStr">
        <x:is>
          <x:t xml:space="preserve">公文与规章</x:t>
        </x:is>
      </x:c>
      <x:c r="F708" s="59" t="inlineStr">
        <x:is>
          <x:t xml:space="preserve">场馆说明</x:t>
        </x:is>
      </x:c>
      <x:c r="G708" s="58" t="inlineStr">
        <x:is>
          <x:t xml:space="preserve">无</x:t>
        </x:is>
      </x:c>
      <x:c r="H708" s="58" t="str">
        <x:f>IF(LEN(I708)&lt;15,"短",IF(LEN(I708)&lt;=45,"中","长"))</x:f>
        <x:v>中</x:v>
      </x:c>
      <x:c r="I708" s="59" t="inlineStr">
        <x:is>
          <x:t xml:space="preserve">本馆设有第三卫生间，供行动不便者及异性陪护使用。</x:t>
        </x:is>
      </x:c>
      <x:c r="J708" s="59" t="str">
        <x:f>I708</x:f>
        <x:v>本馆设有第三卫生间，供行动不便者及异性陪护使用。</x:v>
      </x:c>
      <x:c r="K708" s="58" t="inlineStr">
        <x:is>
          <x:t xml:space="preserve">无需改写</x:t>
        </x:is>
      </x:c>
      <x:c r="L708" s="59" t="inlineStr">
        <x:is>
          <x:t xml:space="preserve">异性陪护</x:t>
        </x:is>
      </x:c>
      <x:c r="M708" s="59" t="inlineStr">
        <x:is>
          <x:t xml:space="preserve">设施用途说明，正是为解决陪护困境</x:t>
        </x:is>
      </x:c>
      <x:c r="N708" s="59" t="inlineStr">
        <x:is>
          <x:t xml:space="preserve">本馆设有第三卫生间，供有需要者使用</x:t>
        </x:is>
      </x:c>
      <x:c r="O708" s="58" t="inlineStr">
        <x:is>
          <x:t xml:space="preserve">难</x:t>
        </x:is>
      </x:c>
      <x:c r="P708" s="58" t="inlineStr">
        <x:is>
          <x:t xml:space="preserve">否</x:t>
        </x:is>
      </x:c>
      <x:c r="Q708" s="59" t="inlineStr">
        <x:is>
          <x:t xml:space="preserve">此处保留性别信息恰是包容性设计的说明</x:t>
        </x:is>
      </x:c>
      <x:c r="R708" s="60" t="inlineStr">
        <x:is>
          <x:t xml:space="preserve">隔离·待确认</x:t>
        </x:is>
      </x:c>
      <x:c r="S708" s="60" t="inlineStr">
        <x:is>
          <x:t xml:space="preserve"/>
        </x:is>
      </x:c>
      <x:c r="T708" s="60" t="inlineStr">
        <x:is>
          <x:t xml:space="preserve">触发词不含性别编码——判断可能依赖世界知识而非句内信息</x:t>
        </x:is>
      </x:c>
    </x:row>
    <x:row r="709" s="37" customFormat="1" ht="15" customHeight="1">
      <x:c r="A709" s="55" t="inlineStr">
        <x:is>
          <x:t xml:space="preserve">NEG-0708</x:t>
        </x:is>
      </x:c>
      <x:c r="B709" s="55" t="inlineStr">
        <x:is>
          <x:t xml:space="preserve">v5</x:t>
        </x:is>
      </x:c>
      <x:c r="C709" s="56" t="inlineStr">
        <x:is>
          <x:t xml:space="preserve">三、制度性与统计性区分</x:t>
        </x:is>
      </x:c>
      <x:c r="D709" s="56" t="inlineStr">
        <x:is>
          <x:t xml:space="preserve">3.5 统计、监测与研究</x:t>
        </x:is>
      </x:c>
      <x:c r="E709" s="56" t="inlineStr">
        <x:is>
          <x:t xml:space="preserve">学术与调研</x:t>
        </x:is>
      </x:c>
      <x:c r="F709" s="56" t="inlineStr">
        <x:is>
          <x:t xml:space="preserve">人口研究</x:t>
        </x:is>
      </x:c>
      <x:c r="G709" s="55" t="inlineStr">
        <x:is>
          <x:t xml:space="preserve">无</x:t>
        </x:is>
      </x:c>
      <x:c r="H709" s="55" t="str">
        <x:f>IF(LEN(I709)&lt;15,"短",IF(LEN(I709)&lt;=45,"中","长"))</x:f>
        <x:v>中</x:v>
      </x:c>
      <x:c r="I709" s="56" t="inlineStr">
        <x:is>
          <x:t xml:space="preserve">女性预期寿命普遍高于男性，全球平均相差约五年。</x:t>
        </x:is>
      </x:c>
      <x:c r="J709" s="56" t="str">
        <x:f>I709</x:f>
        <x:v>女性预期寿命普遍高于男性，全球平均相差约五年。</x:v>
      </x:c>
      <x:c r="K709" s="55" t="inlineStr">
        <x:is>
          <x:t xml:space="preserve">无需改写</x:t>
        </x:is>
      </x:c>
      <x:c r="L709" s="56" t="inlineStr">
        <x:is>
          <x:t xml:space="preserve">女性/男性</x:t>
        </x:is>
      </x:c>
      <x:c r="M709" s="56" t="inlineStr">
        <x:is>
          <x:t xml:space="preserve">人口学基础结论</x:t>
        </x:is>
      </x:c>
      <x:c r="N709" s="56" t="inlineStr">
        <x:is>
          <x:t xml:space="preserve">不同人群的预期寿命存在差异</x:t>
        </x:is>
      </x:c>
      <x:c r="O709" s="55" t="inlineStr">
        <x:is>
          <x:t xml:space="preserve">易</x:t>
        </x:is>
      </x:c>
      <x:c r="P709" s="55" t="inlineStr">
        <x:is>
          <x:t xml:space="preserve">否</x:t>
        </x:is>
      </x:c>
      <x:c r="Q709" s="56" t="n"/>
      <x:c r="R709" s="57" t="inlineStr">
        <x:is>
          <x:t xml:space="preserve">主集</x:t>
        </x:is>
      </x:c>
      <x:c r="S709" s="57" t="inlineStr">
        <x:is>
          <x:t xml:space="preserve">dev</x:t>
        </x:is>
      </x:c>
      <x:c r="T709" s="57" t="inlineStr">
        <x:is>
          <x:t xml:space="preserve"/>
        </x:is>
      </x:c>
    </x:row>
    <x:row r="710" s="37" customFormat="1" ht="29.850000381469727" customHeight="1">
      <x:c r="A710" s="55" t="inlineStr">
        <x:is>
          <x:t xml:space="preserve">NEG-0709</x:t>
        </x:is>
      </x:c>
      <x:c r="B710" s="55" t="inlineStr">
        <x:is>
          <x:t xml:space="preserve">v5</x:t>
        </x:is>
      </x:c>
      <x:c r="C710" s="56" t="inlineStr">
        <x:is>
          <x:t xml:space="preserve">三、制度性与统计性区分</x:t>
        </x:is>
      </x:c>
      <x:c r="D710" s="56" t="inlineStr">
        <x:is>
          <x:t xml:space="preserve">3.5 统计、监测与研究</x:t>
        </x:is>
      </x:c>
      <x:c r="E710" s="56" t="inlineStr">
        <x:is>
          <x:t xml:space="preserve">学术与调研</x:t>
        </x:is>
      </x:c>
      <x:c r="F710" s="56" t="inlineStr">
        <x:is>
          <x:t xml:space="preserve">犯罪统计</x:t>
        </x:is>
      </x:c>
      <x:c r="G710" s="55" t="inlineStr">
        <x:is>
          <x:t xml:space="preserve">无</x:t>
        </x:is>
      </x:c>
      <x:c r="H710" s="55" t="str">
        <x:f>IF(LEN(I710)&lt;15,"短",IF(LEN(I710)&lt;=45,"中","长"))</x:f>
        <x:v>中</x:v>
      </x:c>
      <x:c r="I710" s="56" t="inlineStr">
        <x:is>
          <x:t xml:space="preserve">故意伤害案中施暴者男性占 86%，受害者的性别分布相对均衡。</x:t>
        </x:is>
      </x:c>
      <x:c r="J710" s="56" t="str">
        <x:f>I710</x:f>
        <x:v>故意伤害案中施暴者男性占 86%，受害者的性别分布相对均衡。</x:v>
      </x:c>
      <x:c r="K710" s="55" t="inlineStr">
        <x:is>
          <x:t xml:space="preserve">无需改写</x:t>
        </x:is>
      </x:c>
      <x:c r="L710" s="56" t="inlineStr">
        <x:is>
          <x:t xml:space="preserve">男性/性别分布</x:t>
        </x:is>
      </x:c>
      <x:c r="M710" s="56" t="inlineStr">
        <x:is>
          <x:t xml:space="preserve">犯罪学统计结论</x:t>
        </x:is>
      </x:c>
      <x:c r="N710" s="56" t="inlineStr">
        <x:is>
          <x:t xml:space="preserve">故意伤害案的施暴者与受害者构成不同</x:t>
        </x:is>
      </x:c>
      <x:c r="O710" s="55" t="inlineStr">
        <x:is>
          <x:t xml:space="preserve">中</x:t>
        </x:is>
      </x:c>
      <x:c r="P710" s="55" t="inlineStr">
        <x:is>
          <x:t xml:space="preserve">否</x:t>
        </x:is>
      </x:c>
      <x:c r="Q710" s="56" t="n"/>
      <x:c r="R710" s="57" t="inlineStr">
        <x:is>
          <x:t xml:space="preserve">主集</x:t>
        </x:is>
      </x:c>
      <x:c r="S710" s="57" t="inlineStr">
        <x:is>
          <x:t xml:space="preserve">dev</x:t>
        </x:is>
      </x:c>
      <x:c r="T710" s="57" t="inlineStr">
        <x:is>
          <x:t xml:space="preserve"/>
        </x:is>
      </x:c>
    </x:row>
    <x:row r="711" s="37" customFormat="1" ht="15" customHeight="1">
      <x:c r="A711" s="55" t="inlineStr">
        <x:is>
          <x:t xml:space="preserve">NEG-0710</x:t>
        </x:is>
      </x:c>
      <x:c r="B711" s="55" t="inlineStr">
        <x:is>
          <x:t xml:space="preserve">v5</x:t>
        </x:is>
      </x:c>
      <x:c r="C711" s="56" t="inlineStr">
        <x:is>
          <x:t xml:space="preserve">三、制度性与统计性区分</x:t>
        </x:is>
      </x:c>
      <x:c r="D711" s="56" t="inlineStr">
        <x:is>
          <x:t xml:space="preserve">3.5 统计、监测与研究</x:t>
        </x:is>
      </x:c>
      <x:c r="E711" s="56" t="inlineStr">
        <x:is>
          <x:t xml:space="preserve">其他</x:t>
        </x:is>
      </x:c>
      <x:c r="F711" s="56" t="inlineStr">
        <x:is>
          <x:t xml:space="preserve">政治观察</x:t>
        </x:is>
      </x:c>
      <x:c r="G711" s="55" t="inlineStr">
        <x:is>
          <x:t xml:space="preserve">无</x:t>
        </x:is>
      </x:c>
      <x:c r="H711" s="55" t="str">
        <x:f>IF(LEN(I711)&lt;15,"短",IF(LEN(I711)&lt;=45,"中","长"))</x:f>
        <x:v>中</x:v>
      </x:c>
      <x:c r="I711" s="56" t="inlineStr">
        <x:is>
          <x:t xml:space="preserve">本届议会女性议员占比 31%，较上届提高 4 个百分点。</x:t>
        </x:is>
      </x:c>
      <x:c r="J711" s="56" t="str">
        <x:f>I711</x:f>
        <x:v>本届议会女性议员占比 31%，较上届提高 4 个百分点。</x:v>
      </x:c>
      <x:c r="K711" s="55" t="inlineStr">
        <x:is>
          <x:t xml:space="preserve">无需改写</x:t>
        </x:is>
      </x:c>
      <x:c r="L711" s="56" t="inlineStr">
        <x:is>
          <x:t xml:space="preserve">女性议员</x:t>
        </x:is>
      </x:c>
      <x:c r="M711" s="56" t="inlineStr">
        <x:is>
          <x:t xml:space="preserve">政治参与度指标</x:t>
        </x:is>
      </x:c>
      <x:c r="N711" s="56" t="inlineStr">
        <x:is>
          <x:t xml:space="preserve">本届议会构成较上届有所变化</x:t>
        </x:is>
      </x:c>
      <x:c r="O711" s="55" t="inlineStr">
        <x:is>
          <x:t xml:space="preserve">易</x:t>
        </x:is>
      </x:c>
      <x:c r="P711" s="55" t="inlineStr">
        <x:is>
          <x:t xml:space="preserve">否</x:t>
        </x:is>
      </x:c>
      <x:c r="Q711" s="56" t="n"/>
      <x:c r="R711" s="57" t="inlineStr">
        <x:is>
          <x:t xml:space="preserve">主集</x:t>
        </x:is>
      </x:c>
      <x:c r="S711" s="57" t="inlineStr">
        <x:is>
          <x:t xml:space="preserve">test</x:t>
        </x:is>
      </x:c>
      <x:c r="T711" s="57" t="inlineStr">
        <x:is>
          <x:t xml:space="preserve"/>
        </x:is>
      </x:c>
    </x:row>
    <x:row r="712" s="37" customFormat="1" ht="29.850000381469727" customHeight="1">
      <x:c r="A712" s="55" t="inlineStr">
        <x:is>
          <x:t xml:space="preserve">NEG-0711</x:t>
        </x:is>
      </x:c>
      <x:c r="B712" s="55" t="inlineStr">
        <x:is>
          <x:t xml:space="preserve">v5</x:t>
        </x:is>
      </x:c>
      <x:c r="C712" s="56" t="inlineStr">
        <x:is>
          <x:t xml:space="preserve">三、制度性与统计性区分</x:t>
        </x:is>
      </x:c>
      <x:c r="D712" s="56" t="inlineStr">
        <x:is>
          <x:t xml:space="preserve">3.5 统计、监测与研究</x:t>
        </x:is>
      </x:c>
      <x:c r="E712" s="56" t="inlineStr">
        <x:is>
          <x:t xml:space="preserve">其他</x:t>
        </x:is>
      </x:c>
      <x:c r="F712" s="56" t="inlineStr">
        <x:is>
          <x:t xml:space="preserve">反家暴报告</x:t>
        </x:is>
      </x:c>
      <x:c r="G712" s="55" t="inlineStr">
        <x:is>
          <x:t xml:space="preserve">无</x:t>
        </x:is>
      </x:c>
      <x:c r="H712" s="55" t="str">
        <x:f>IF(LEN(I712)&lt;15,"短",IF(LEN(I712)&lt;=45,"中","长"))</x:f>
        <x:v>中</x:v>
      </x:c>
      <x:c r="I712" s="56" t="inlineStr">
        <x:is>
          <x:t xml:space="preserve">家暴案件受害人中女性占八成以上，男性受害人报案率则明显偏低。</x:t>
        </x:is>
      </x:c>
      <x:c r="J712" s="56" t="str">
        <x:f>I712</x:f>
        <x:v>家暴案件受害人中女性占八成以上，男性受害人报案率则明显偏低。</x:v>
      </x:c>
      <x:c r="K712" s="55" t="inlineStr">
        <x:is>
          <x:t xml:space="preserve">无需改写</x:t>
        </x:is>
      </x:c>
      <x:c r="L712" s="56" t="inlineStr">
        <x:is>
          <x:t xml:space="preserve">女性/男性受害人</x:t>
        </x:is>
      </x:c>
      <x:c r="M712" s="56" t="inlineStr">
        <x:is>
          <x:t xml:space="preserve">兼顾两个方向的统计事实</x:t>
        </x:is>
      </x:c>
      <x:c r="N712" s="56" t="inlineStr">
        <x:is>
          <x:t xml:space="preserve">家暴案件受害人构成不均，部分群体报案率偏低</x:t>
        </x:is>
      </x:c>
      <x:c r="O712" s="55" t="inlineStr">
        <x:is>
          <x:t xml:space="preserve">难</x:t>
        </x:is>
      </x:c>
      <x:c r="P712" s="55" t="inlineStr">
        <x:is>
          <x:t xml:space="preserve">否</x:t>
        </x:is>
      </x:c>
      <x:c r="Q712" s="56" t="inlineStr">
        <x:is>
          <x:t xml:space="preserve">对称样本：同时保留女性占比与男性低报案率</x:t>
        </x:is>
      </x:c>
      <x:c r="R712" s="57" t="inlineStr">
        <x:is>
          <x:t xml:space="preserve">主集</x:t>
        </x:is>
      </x:c>
      <x:c r="S712" s="57" t="inlineStr">
        <x:is>
          <x:t xml:space="preserve">index</x:t>
        </x:is>
      </x:c>
      <x:c r="T712" s="57" t="inlineStr">
        <x:is>
          <x:t xml:space="preserve"/>
        </x:is>
      </x:c>
    </x:row>
    <x:row r="713" s="37" customFormat="1" ht="15" customHeight="1">
      <x:c r="A713" s="55" t="inlineStr">
        <x:is>
          <x:t xml:space="preserve">NEG-0712</x:t>
        </x:is>
      </x:c>
      <x:c r="B713" s="55" t="inlineStr">
        <x:is>
          <x:t xml:space="preserve">v5</x:t>
        </x:is>
      </x:c>
      <x:c r="C713" s="56" t="inlineStr">
        <x:is>
          <x:t xml:space="preserve">三、制度性与统计性区分</x:t>
        </x:is>
      </x:c>
      <x:c r="D713" s="56" t="inlineStr">
        <x:is>
          <x:t xml:space="preserve">3.5 统计、监测与研究</x:t>
        </x:is>
      </x:c>
      <x:c r="E713" s="56" t="inlineStr">
        <x:is>
          <x:t xml:space="preserve">学术与调研</x:t>
        </x:is>
      </x:c>
      <x:c r="F713" s="56" t="inlineStr">
        <x:is>
          <x:t xml:space="preserve">教育统计</x:t>
        </x:is>
      </x:c>
      <x:c r="G713" s="55" t="inlineStr">
        <x:is>
          <x:t xml:space="preserve">无</x:t>
        </x:is>
      </x:c>
      <x:c r="H713" s="55" t="str">
        <x:f>IF(LEN(I713)&lt;15,"短",IF(LEN(I713)&lt;=45,"中","长"))</x:f>
        <x:v>中</x:v>
      </x:c>
      <x:c r="I713" s="56" t="inlineStr">
        <x:is>
          <x:t xml:space="preserve">农村地区初中辍学率的性别差距近年已基本消除。</x:t>
        </x:is>
      </x:c>
      <x:c r="J713" s="56" t="str">
        <x:f>I713</x:f>
        <x:v>农村地区初中辍学率的性别差距近年已基本消除。</x:v>
      </x:c>
      <x:c r="K713" s="55" t="inlineStr">
        <x:is>
          <x:t xml:space="preserve">无需改写</x:t>
        </x:is>
      </x:c>
      <x:c r="L713" s="56" t="inlineStr">
        <x:is>
          <x:t xml:space="preserve">性别差距</x:t>
        </x:is>
      </x:c>
      <x:c r="M713" s="56" t="inlineStr">
        <x:is>
          <x:t xml:space="preserve">教育公平的监测指标</x:t>
        </x:is>
      </x:c>
      <x:c r="N713" s="56" t="inlineStr">
        <x:is>
          <x:t xml:space="preserve">农村地区初中辍学率的差距已基本消除</x:t>
        </x:is>
      </x:c>
      <x:c r="O713" s="55" t="inlineStr">
        <x:is>
          <x:t xml:space="preserve">中</x:t>
        </x:is>
      </x:c>
      <x:c r="P713" s="55" t="inlineStr">
        <x:is>
          <x:t xml:space="preserve">否</x:t>
        </x:is>
      </x:c>
      <x:c r="Q713" s="56" t="n"/>
      <x:c r="R713" s="57" t="inlineStr">
        <x:is>
          <x:t xml:space="preserve">主集</x:t>
        </x:is>
      </x:c>
      <x:c r="S713" s="57" t="inlineStr">
        <x:is>
          <x:t xml:space="preserve">index</x:t>
        </x:is>
      </x:c>
      <x:c r="T713" s="57" t="inlineStr">
        <x:is>
          <x:t xml:space="preserve"/>
        </x:is>
      </x:c>
    </x:row>
    <x:row r="714" s="37" customFormat="1" ht="15" customHeight="1">
      <x:c r="A714" s="55" t="inlineStr">
        <x:is>
          <x:t xml:space="preserve">NEG-0713</x:t>
        </x:is>
      </x:c>
      <x:c r="B714" s="55" t="inlineStr">
        <x:is>
          <x:t xml:space="preserve">v5</x:t>
        </x:is>
      </x:c>
      <x:c r="C714" s="56" t="inlineStr">
        <x:is>
          <x:t xml:space="preserve">三、制度性与统计性区分</x:t>
        </x:is>
      </x:c>
      <x:c r="D714" s="56" t="inlineStr">
        <x:is>
          <x:t xml:space="preserve">3.6 平权、保护与专项服务</x:t>
        </x:is>
      </x:c>
      <x:c r="E714" s="56" t="inlineStr">
        <x:is>
          <x:t xml:space="preserve">公文与规章</x:t>
        </x:is>
      </x:c>
      <x:c r="F714" s="56" t="inlineStr">
        <x:is>
          <x:t xml:space="preserve">政策文件</x:t>
        </x:is>
      </x:c>
      <x:c r="G714" s="55" t="inlineStr">
        <x:is>
          <x:t xml:space="preserve">无</x:t>
        </x:is>
      </x:c>
      <x:c r="H714" s="55" t="str">
        <x:f>IF(LEN(I714)&lt;15,"短",IF(LEN(I714)&lt;=45,"中","长"))</x:f>
        <x:v>中</x:v>
      </x:c>
      <x:c r="I714" s="56" t="inlineStr">
        <x:is>
          <x:t xml:space="preserve">重大政策出台前应当开展性别影响评估。</x:t>
        </x:is>
      </x:c>
      <x:c r="J714" s="56" t="str">
        <x:f>I714</x:f>
        <x:v>重大政策出台前应当开展性别影响评估。</x:v>
      </x:c>
      <x:c r="K714" s="55" t="inlineStr">
        <x:is>
          <x:t xml:space="preserve">无需改写</x:t>
        </x:is>
      </x:c>
      <x:c r="L714" s="56" t="inlineStr">
        <x:is>
          <x:t xml:space="preserve">性别影响评估</x:t>
        </x:is>
      </x:c>
      <x:c r="M714" s="56" t="inlineStr">
        <x:is>
          <x:t xml:space="preserve">政策工具的正式名称</x:t>
        </x:is>
      </x:c>
      <x:c r="N714" s="56" t="inlineStr">
        <x:is>
          <x:t xml:space="preserve">重大政策出台前应当开展影响评估</x:t>
        </x:is>
      </x:c>
      <x:c r="O714" s="55" t="inlineStr">
        <x:is>
          <x:t xml:space="preserve">易</x:t>
        </x:is>
      </x:c>
      <x:c r="P714" s="55" t="inlineStr">
        <x:is>
          <x:t xml:space="preserve">否</x:t>
        </x:is>
      </x:c>
      <x:c r="Q714" s="56" t="n"/>
      <x:c r="R714" s="57" t="inlineStr">
        <x:is>
          <x:t xml:space="preserve">主集</x:t>
        </x:is>
      </x:c>
      <x:c r="S714" s="57" t="inlineStr">
        <x:is>
          <x:t xml:space="preserve">index</x:t>
        </x:is>
      </x:c>
      <x:c r="T714" s="57" t="inlineStr">
        <x:is>
          <x:t xml:space="preserve"/>
        </x:is>
      </x:c>
    </x:row>
    <x:row r="715" s="37" customFormat="1" ht="15" customHeight="1">
      <x:c r="A715" s="55" t="inlineStr">
        <x:is>
          <x:t xml:space="preserve">NEG-0714</x:t>
        </x:is>
      </x:c>
      <x:c r="B715" s="55" t="inlineStr">
        <x:is>
          <x:t xml:space="preserve">v5</x:t>
        </x:is>
      </x:c>
      <x:c r="C715" s="56" t="inlineStr">
        <x:is>
          <x:t xml:space="preserve">三、制度性与统计性区分</x:t>
        </x:is>
      </x:c>
      <x:c r="D715" s="56" t="inlineStr">
        <x:is>
          <x:t xml:space="preserve">3.6 平权、保护与专项服务</x:t>
        </x:is>
      </x:c>
      <x:c r="E715" s="56" t="inlineStr">
        <x:is>
          <x:t xml:space="preserve">其他</x:t>
        </x:is>
      </x:c>
      <x:c r="F715" s="56" t="inlineStr">
        <x:is>
          <x:t xml:space="preserve">财政说明</x:t>
        </x:is>
      </x:c>
      <x:c r="G715" s="55" t="inlineStr">
        <x:is>
          <x:t xml:space="preserve">无</x:t>
        </x:is>
      </x:c>
      <x:c r="H715" s="55" t="str">
        <x:f>IF(LEN(I715)&lt;15,"短",IF(LEN(I715)&lt;=45,"中","长"))</x:f>
        <x:v>中</x:v>
      </x:c>
      <x:c r="I715" s="56" t="inlineStr">
        <x:is>
          <x:t xml:space="preserve">性别预算要求财政支出按受益人群的性别分类统计。</x:t>
        </x:is>
      </x:c>
      <x:c r="J715" s="56" t="str">
        <x:f>I715</x:f>
        <x:v>性别预算要求财政支出按受益人群的性别分类统计。</x:v>
      </x:c>
      <x:c r="K715" s="55" t="inlineStr">
        <x:is>
          <x:t xml:space="preserve">无需改写</x:t>
        </x:is>
      </x:c>
      <x:c r="L715" s="56" t="inlineStr">
        <x:is>
          <x:t xml:space="preserve">性别预算</x:t>
        </x:is>
      </x:c>
      <x:c r="M715" s="56" t="inlineStr">
        <x:is>
          <x:t xml:space="preserve">预算工具名称与操作要求</x:t>
        </x:is>
      </x:c>
      <x:c r="N715" s="56" t="inlineStr">
        <x:is>
          <x:t xml:space="preserve">该预算要求财政支出按受益人群分类统计</x:t>
        </x:is>
      </x:c>
      <x:c r="O715" s="55" t="inlineStr">
        <x:is>
          <x:t xml:space="preserve">易</x:t>
        </x:is>
      </x:c>
      <x:c r="P715" s="55" t="inlineStr">
        <x:is>
          <x:t xml:space="preserve">否</x:t>
        </x:is>
      </x:c>
      <x:c r="Q715" s="56" t="n"/>
      <x:c r="R715" s="57" t="inlineStr">
        <x:is>
          <x:t xml:space="preserve">主集</x:t>
        </x:is>
      </x:c>
      <x:c r="S715" s="57" t="inlineStr">
        <x:is>
          <x:t xml:space="preserve">index</x:t>
        </x:is>
      </x:c>
      <x:c r="T715" s="57" t="inlineStr">
        <x:is>
          <x:t xml:space="preserve"/>
        </x:is>
      </x:c>
    </x:row>
    <x:row r="716" s="37" customFormat="1" ht="15" customHeight="1">
      <x:c r="A716" s="55" t="inlineStr">
        <x:is>
          <x:t xml:space="preserve">NEG-0715</x:t>
        </x:is>
      </x:c>
      <x:c r="B716" s="55" t="inlineStr">
        <x:is>
          <x:t xml:space="preserve">v5</x:t>
        </x:is>
      </x:c>
      <x:c r="C716" s="56" t="inlineStr">
        <x:is>
          <x:t xml:space="preserve">三、制度性与统计性区分</x:t>
        </x:is>
      </x:c>
      <x:c r="D716" s="56" t="inlineStr">
        <x:is>
          <x:t xml:space="preserve">3.6 平权、保护与专项服务</x:t>
        </x:is>
      </x:c>
      <x:c r="E716" s="56" t="inlineStr">
        <x:is>
          <x:t xml:space="preserve">其他</x:t>
        </x:is>
      </x:c>
      <x:c r="F716" s="56" t="inlineStr">
        <x:is>
          <x:t xml:space="preserve">基金规则</x:t>
        </x:is>
      </x:c>
      <x:c r="G716" s="55" t="inlineStr">
        <x:is>
          <x:t xml:space="preserve">无</x:t>
        </x:is>
      </x:c>
      <x:c r="H716" s="55" t="str">
        <x:f>IF(LEN(I716)&lt;15,"短",IF(LEN(I716)&lt;=45,"中","长"))</x:f>
        <x:v>中</x:v>
      </x:c>
      <x:c r="I716" s="56" t="inlineStr">
        <x:is>
          <x:t xml:space="preserve">该创业基金对女性主导的团队给予额外加分。</x:t>
        </x:is>
      </x:c>
      <x:c r="J716" s="56" t="str">
        <x:f>I716</x:f>
        <x:v>该创业基金对女性主导的团队给予额外加分。</x:v>
      </x:c>
      <x:c r="K716" s="55" t="inlineStr">
        <x:is>
          <x:t xml:space="preserve">无需改写</x:t>
        </x:is>
      </x:c>
      <x:c r="L716" s="56" t="inlineStr">
        <x:is>
          <x:t xml:space="preserve">女性主导</x:t>
        </x:is>
      </x:c>
      <x:c r="M716" s="56" t="inlineStr">
        <x:is>
          <x:t xml:space="preserve">评审规则中的加分条件</x:t>
        </x:is>
      </x:c>
      <x:c r="N716" s="56" t="inlineStr">
        <x:is>
          <x:t xml:space="preserve">该创业基金对特定团队给予额外加分</x:t>
        </x:is>
      </x:c>
      <x:c r="O716" s="55" t="inlineStr">
        <x:is>
          <x:t xml:space="preserve">难</x:t>
        </x:is>
      </x:c>
      <x:c r="P716" s="55" t="inlineStr">
        <x:is>
          <x:t xml:space="preserve">否</x:t>
        </x:is>
      </x:c>
      <x:c r="Q716" s="56" t="n"/>
      <x:c r="R716" s="57" t="inlineStr">
        <x:is>
          <x:t xml:space="preserve">主集</x:t>
        </x:is>
      </x:c>
      <x:c r="S716" s="57" t="inlineStr">
        <x:is>
          <x:t xml:space="preserve">index</x:t>
        </x:is>
      </x:c>
      <x:c r="T716" s="57" t="inlineStr">
        <x:is>
          <x:t xml:space="preserve"/>
        </x:is>
      </x:c>
    </x:row>
    <x:row r="717" s="37" customFormat="1" ht="15" customHeight="1">
      <x:c r="A717" s="55" t="inlineStr">
        <x:is>
          <x:t xml:space="preserve">NEG-0716</x:t>
        </x:is>
      </x:c>
      <x:c r="B717" s="55" t="inlineStr">
        <x:is>
          <x:t xml:space="preserve">v5</x:t>
        </x:is>
      </x:c>
      <x:c r="C717" s="56" t="inlineStr">
        <x:is>
          <x:t xml:space="preserve">三、制度性与统计性区分</x:t>
        </x:is>
      </x:c>
      <x:c r="D717" s="56" t="inlineStr">
        <x:is>
          <x:t xml:space="preserve">3.6 平权、保护与专项服务</x:t>
        </x:is>
      </x:c>
      <x:c r="E717" s="56" t="inlineStr">
        <x:is>
          <x:t xml:space="preserve">社交与社区</x:t>
        </x:is>
      </x:c>
      <x:c r="F717" s="56" t="inlineStr">
        <x:is>
          <x:t xml:space="preserve">社区服务</x:t>
        </x:is>
      </x:c>
      <x:c r="G717" s="55" t="inlineStr">
        <x:is>
          <x:t xml:space="preserve">无</x:t>
        </x:is>
      </x:c>
      <x:c r="H717" s="55" t="str">
        <x:f>IF(LEN(I717)&lt;15,"短",IF(LEN(I717)&lt;=45,"中","长"))</x:f>
        <x:v>中</x:v>
      </x:c>
      <x:c r="I717" s="56" t="inlineStr">
        <x:is>
          <x:t xml:space="preserve">本市面向单亲父亲群体开设了育儿指导课程。</x:t>
        </x:is>
      </x:c>
      <x:c r="J717" s="56" t="str">
        <x:f>I717</x:f>
        <x:v>本市面向单亲父亲群体开设了育儿指导课程。</x:v>
      </x:c>
      <x:c r="K717" s="55" t="inlineStr">
        <x:is>
          <x:t xml:space="preserve">无需改写</x:t>
        </x:is>
      </x:c>
      <x:c r="L717" s="56" t="inlineStr">
        <x:is>
          <x:t xml:space="preserve">单亲父亲</x:t>
        </x:is>
      </x:c>
      <x:c r="M717" s="56" t="inlineStr">
        <x:is>
          <x:t xml:space="preserve">服务对象界定，针对被忽视群体</x:t>
        </x:is>
      </x:c>
      <x:c r="N717" s="56" t="inlineStr">
        <x:is>
          <x:t xml:space="preserve">本市面向单亲家庭开设了育儿指导课程</x:t>
        </x:is>
      </x:c>
      <x:c r="O717" s="55" t="inlineStr">
        <x:is>
          <x:t xml:space="preserve">难</x:t>
        </x:is>
      </x:c>
      <x:c r="P717" s="55" t="inlineStr">
        <x:is>
          <x:t xml:space="preserve">否</x:t>
        </x:is>
      </x:c>
      <x:c r="Q717" s="56" t="n"/>
      <x:c r="R717" s="57" t="inlineStr">
        <x:is>
          <x:t xml:space="preserve">主集</x:t>
        </x:is>
      </x:c>
      <x:c r="S717" s="57" t="inlineStr">
        <x:is>
          <x:t xml:space="preserve">index</x:t>
        </x:is>
      </x:c>
      <x:c r="T717" s="57" t="inlineStr">
        <x:is>
          <x:t xml:space="preserve"/>
        </x:is>
      </x:c>
    </x:row>
    <x:row r="718" s="37" customFormat="1" ht="15" customHeight="1">
      <x:c r="A718" s="55" t="inlineStr">
        <x:is>
          <x:t xml:space="preserve">NEG-0717</x:t>
        </x:is>
      </x:c>
      <x:c r="B718" s="55" t="inlineStr">
        <x:is>
          <x:t xml:space="preserve">v5</x:t>
        </x:is>
      </x:c>
      <x:c r="C718" s="56" t="inlineStr">
        <x:is>
          <x:t xml:space="preserve">三、制度性与统计性区分</x:t>
        </x:is>
      </x:c>
      <x:c r="D718" s="56" t="inlineStr">
        <x:is>
          <x:t xml:space="preserve">3.7 宗教与文化传统实践</x:t>
        </x:is>
      </x:c>
      <x:c r="E718" s="56" t="inlineStr">
        <x:is>
          <x:t xml:space="preserve">学术与调研</x:t>
        </x:is>
      </x:c>
      <x:c r="F718" s="56" t="inlineStr">
        <x:is>
          <x:t xml:space="preserve">民俗研究</x:t>
        </x:is>
      </x:c>
      <x:c r="G718" s="55" t="inlineStr">
        <x:is>
          <x:t xml:space="preserve">无</x:t>
        </x:is>
      </x:c>
      <x:c r="H718" s="55" t="str">
        <x:f>IF(LEN(I718)&lt;15,"短",IF(LEN(I718)&lt;=45,"中","长"))</x:f>
        <x:v>中</x:v>
      </x:c>
      <x:c r="I718" s="56" t="inlineStr">
        <x:is>
          <x:t xml:space="preserve">这套传统礼服分男式女式，纹样与下摆长度都不相同。</x:t>
        </x:is>
      </x:c>
      <x:c r="J718" s="56" t="str">
        <x:f>I718</x:f>
        <x:v>这套传统礼服分男式女式，纹样与下摆长度都不相同。</x:v>
      </x:c>
      <x:c r="K718" s="55" t="inlineStr">
        <x:is>
          <x:t xml:space="preserve">无需改写</x:t>
        </x:is>
      </x:c>
      <x:c r="L718" s="56" t="inlineStr">
        <x:is>
          <x:t xml:space="preserve">男式/女式</x:t>
        </x:is>
      </x:c>
      <x:c r="M718" s="56" t="inlineStr">
        <x:is>
          <x:t xml:space="preserve">形制分类</x:t>
        </x:is>
      </x:c>
      <x:c r="N718" s="56" t="inlineStr">
        <x:is>
          <x:t xml:space="preserve">这套传统礼服有多种形制</x:t>
        </x:is>
      </x:c>
      <x:c r="O718" s="55" t="inlineStr">
        <x:is>
          <x:t xml:space="preserve">中</x:t>
        </x:is>
      </x:c>
      <x:c r="P718" s="55" t="inlineStr">
        <x:is>
          <x:t xml:space="preserve">否</x:t>
        </x:is>
      </x:c>
      <x:c r="Q718" s="56" t="n"/>
      <x:c r="R718" s="57" t="inlineStr">
        <x:is>
          <x:t xml:space="preserve">主集</x:t>
        </x:is>
      </x:c>
      <x:c r="S718" s="57" t="inlineStr">
        <x:is>
          <x:t xml:space="preserve">index</x:t>
        </x:is>
      </x:c>
      <x:c r="T718" s="57" t="inlineStr">
        <x:is>
          <x:t xml:space="preserve"/>
        </x:is>
      </x:c>
    </x:row>
    <x:row r="719" s="37" customFormat="1" ht="15" customHeight="1">
      <x:c r="A719" s="58" t="inlineStr">
        <x:is>
          <x:t xml:space="preserve">NEG-0718</x:t>
        </x:is>
      </x:c>
      <x:c r="B719" s="58" t="inlineStr">
        <x:is>
          <x:t xml:space="preserve">v5</x:t>
        </x:is>
      </x:c>
      <x:c r="C719" s="59" t="inlineStr">
        <x:is>
          <x:t xml:space="preserve">四、专有名词与固定名称</x:t>
        </x:is>
      </x:c>
      <x:c r="D719" s="59" t="inlineStr">
        <x:is>
          <x:t xml:space="preserve">4.1 法律法规</x:t>
        </x:is>
      </x:c>
      <x:c r="E719" s="59" t="inlineStr">
        <x:is>
          <x:t xml:space="preserve">新闻报道</x:t>
        </x:is>
      </x:c>
      <x:c r="F719" s="59" t="inlineStr">
        <x:is>
          <x:t xml:space="preserve">法治报道</x:t>
        </x:is>
      </x:c>
      <x:c r="G719" s="58" t="inlineStr">
        <x:is>
          <x:t xml:space="preserve">无</x:t>
        </x:is>
      </x:c>
      <x:c r="H719" s="58" t="str">
        <x:f>IF(LEN(I719)&lt;15,"短",IF(LEN(I719)&lt;=45,"中","长"))</x:f>
        <x:v>中</x:v>
      </x:c>
      <x:c r="I719" s="59" t="inlineStr">
        <x:is>
          <x:t xml:space="preserve">《反家庭暴力法》将同居关系也纳入了适用范围。</x:t>
        </x:is>
      </x:c>
      <x:c r="J719" s="59" t="str">
        <x:f>I719</x:f>
        <x:v>《反家庭暴力法》将同居关系也纳入了适用范围。</x:v>
      </x:c>
      <x:c r="K719" s="58" t="inlineStr">
        <x:is>
          <x:t xml:space="preserve">无需改写</x:t>
        </x:is>
      </x:c>
      <x:c r="L719" s="59" t="inlineStr">
        <x:is>
          <x:t xml:space="preserve">反家庭暴力法</x:t>
        </x:is>
      </x:c>
      <x:c r="M719" s="59" t="inlineStr">
        <x:is>
          <x:t xml:space="preserve">法律正式名称</x:t>
        </x:is>
      </x:c>
      <x:c r="N719" s="59" t="inlineStr">
        <x:is>
          <x:t xml:space="preserve">《反暴力法》将同居关系纳入适用范围</x:t>
        </x:is>
      </x:c>
      <x:c r="O719" s="58" t="inlineStr">
        <x:is>
          <x:t xml:space="preserve">易</x:t>
        </x:is>
      </x:c>
      <x:c r="P719" s="58" t="inlineStr">
        <x:is>
          <x:t xml:space="preserve">否</x:t>
        </x:is>
      </x:c>
      <x:c r="Q719" s="59" t="n"/>
      <x:c r="R719" s="60" t="inlineStr">
        <x:is>
          <x:t xml:space="preserve">隔离·待确认</x:t>
        </x:is>
      </x:c>
      <x:c r="S719" s="60" t="inlineStr">
        <x:is>
          <x:t xml:space="preserve"/>
        </x:is>
      </x:c>
      <x:c r="T719" s="60" t="inlineStr">
        <x:is>
          <x:t xml:space="preserve">触发词不含性别编码——判断可能依赖世界知识而非句内信息</x:t>
        </x:is>
      </x:c>
    </x:row>
    <x:row r="720" s="37" customFormat="1" ht="15" customHeight="1">
      <x:c r="A720" s="55" t="inlineStr">
        <x:is>
          <x:t xml:space="preserve">NEG-0719</x:t>
        </x:is>
      </x:c>
      <x:c r="B720" s="55" t="inlineStr">
        <x:is>
          <x:t xml:space="preserve">v5</x:t>
        </x:is>
      </x:c>
      <x:c r="C720" s="56" t="inlineStr">
        <x:is>
          <x:t xml:space="preserve">四、专有名词与固定名称</x:t>
        </x:is>
      </x:c>
      <x:c r="D720" s="56" t="inlineStr">
        <x:is>
          <x:t xml:space="preserve">4.1 法律法规</x:t>
        </x:is>
      </x:c>
      <x:c r="E720" s="56" t="inlineStr">
        <x:is>
          <x:t xml:space="preserve">公文与规章</x:t>
        </x:is>
      </x:c>
      <x:c r="F720" s="56" t="inlineStr">
        <x:is>
          <x:t xml:space="preserve">合规培训</x:t>
        </x:is>
      </x:c>
      <x:c r="G720" s="55" t="inlineStr">
        <x:is>
          <x:t xml:space="preserve">无</x:t>
        </x:is>
      </x:c>
      <x:c r="H720" s="55" t="str">
        <x:f>IF(LEN(I720)&lt;15,"短",IF(LEN(I720)&lt;=45,"中","长"))</x:f>
        <x:v>中</x:v>
      </x:c>
      <x:c r="I720" s="56" t="inlineStr">
        <x:is>
          <x:t xml:space="preserve">《就业促进法》明确禁止用人单位以性别为由拒绝录用。</x:t>
        </x:is>
      </x:c>
      <x:c r="J720" s="56" t="str">
        <x:f>I720</x:f>
        <x:v>《就业促进法》明确禁止用人单位以性别为由拒绝录用。</x:v>
      </x:c>
      <x:c r="K720" s="55" t="inlineStr">
        <x:is>
          <x:t xml:space="preserve">无需改写</x:t>
        </x:is>
      </x:c>
      <x:c r="L720" s="56" t="inlineStr">
        <x:is>
          <x:t xml:space="preserve">性别</x:t>
        </x:is>
      </x:c>
      <x:c r="M720" s="56" t="inlineStr">
        <x:is>
          <x:t xml:space="preserve">法条内容</x:t>
        </x:is>
      </x:c>
      <x:c r="N720" s="56" t="inlineStr">
        <x:is>
          <x:t xml:space="preserve">《就业促进法》禁止用人单位无理由拒绝录用</x:t>
        </x:is>
      </x:c>
      <x:c r="O720" s="55" t="inlineStr">
        <x:is>
          <x:t xml:space="preserve">中</x:t>
        </x:is>
      </x:c>
      <x:c r="P720" s="55" t="inlineStr">
        <x:is>
          <x:t xml:space="preserve">否</x:t>
        </x:is>
      </x:c>
      <x:c r="Q720" s="56" t="n"/>
      <x:c r="R720" s="57" t="inlineStr">
        <x:is>
          <x:t xml:space="preserve">主集</x:t>
        </x:is>
      </x:c>
      <x:c r="S720" s="57" t="inlineStr">
        <x:is>
          <x:t xml:space="preserve">test</x:t>
        </x:is>
      </x:c>
      <x:c r="T720" s="57" t="inlineStr">
        <x:is>
          <x:t xml:space="preserve"/>
        </x:is>
      </x:c>
    </x:row>
    <x:row r="721" s="37" customFormat="1" ht="15" customHeight="1">
      <x:c r="A721" s="55" t="inlineStr">
        <x:is>
          <x:t xml:space="preserve">NEG-0720</x:t>
        </x:is>
      </x:c>
      <x:c r="B721" s="55" t="inlineStr">
        <x:is>
          <x:t xml:space="preserve">v5</x:t>
        </x:is>
      </x:c>
      <x:c r="C721" s="56" t="inlineStr">
        <x:is>
          <x:t xml:space="preserve">四、专有名词与固定名称</x:t>
        </x:is>
      </x:c>
      <x:c r="D721" s="56" t="inlineStr">
        <x:is>
          <x:t xml:space="preserve">4.1 法律法规</x:t>
        </x:is>
      </x:c>
      <x:c r="E721" s="56" t="inlineStr">
        <x:is>
          <x:t xml:space="preserve">公文与规章</x:t>
        </x:is>
      </x:c>
      <x:c r="F721" s="56" t="inlineStr">
        <x:is>
          <x:t xml:space="preserve">卫生政策</x:t>
        </x:is>
      </x:c>
      <x:c r="G721" s="55" t="inlineStr">
        <x:is>
          <x:t xml:space="preserve">无</x:t>
        </x:is>
      </x:c>
      <x:c r="H721" s="55" t="str">
        <x:f>IF(LEN(I721)&lt;15,"短",IF(LEN(I721)&lt;=45,"中","长"))</x:f>
        <x:v>中</x:v>
      </x:c>
      <x:c r="I721" s="56" t="inlineStr">
        <x:is>
          <x:t xml:space="preserve">《母婴保健法实施办法》对婚前医学检查项目作了细化。</x:t>
        </x:is>
      </x:c>
      <x:c r="J721" s="56" t="str">
        <x:f>I721</x:f>
        <x:v>《母婴保健法实施办法》对婚前医学检查项目作了细化。</x:v>
      </x:c>
      <x:c r="K721" s="55" t="inlineStr">
        <x:is>
          <x:t xml:space="preserve">无需改写</x:t>
        </x:is>
      </x:c>
      <x:c r="L721" s="56" t="inlineStr">
        <x:is>
          <x:t xml:space="preserve">母婴保健法</x:t>
        </x:is>
      </x:c>
      <x:c r="M721" s="56" t="inlineStr">
        <x:is>
          <x:t xml:space="preserve">行政法规名称</x:t>
        </x:is>
      </x:c>
      <x:c r="N721" s="56" t="inlineStr">
        <x:is>
          <x:t xml:space="preserve">《健康保障实施办法》对检查项目作了细化</x:t>
        </x:is>
      </x:c>
      <x:c r="O721" s="55" t="inlineStr">
        <x:is>
          <x:t xml:space="preserve">易</x:t>
        </x:is>
      </x:c>
      <x:c r="P721" s="55" t="inlineStr">
        <x:is>
          <x:t xml:space="preserve">否</x:t>
        </x:is>
      </x:c>
      <x:c r="Q721" s="56" t="n"/>
      <x:c r="R721" s="57" t="inlineStr">
        <x:is>
          <x:t xml:space="preserve">主集</x:t>
        </x:is>
      </x:c>
      <x:c r="S721" s="57" t="inlineStr">
        <x:is>
          <x:t xml:space="preserve">index</x:t>
        </x:is>
      </x:c>
      <x:c r="T721" s="57" t="inlineStr">
        <x:is>
          <x:t xml:space="preserve"/>
        </x:is>
      </x:c>
    </x:row>
    <x:row r="722" s="37" customFormat="1" ht="15" customHeight="1">
      <x:c r="A722" s="55" t="inlineStr">
        <x:is>
          <x:t xml:space="preserve">NEG-0721</x:t>
        </x:is>
      </x:c>
      <x:c r="B722" s="55" t="inlineStr">
        <x:is>
          <x:t xml:space="preserve">v5</x:t>
        </x:is>
      </x:c>
      <x:c r="C722" s="56" t="inlineStr">
        <x:is>
          <x:t xml:space="preserve">四、专有名词与固定名称</x:t>
        </x:is>
      </x:c>
      <x:c r="D722" s="56" t="inlineStr">
        <x:is>
          <x:t xml:space="preserve">4.2 机构、组织与场所</x:t>
        </x:is>
      </x:c>
      <x:c r="E722" s="56" t="inlineStr">
        <x:is>
          <x:t xml:space="preserve">医疗健康</x:t>
        </x:is>
      </x:c>
      <x:c r="F722" s="56" t="inlineStr">
        <x:is>
          <x:t xml:space="preserve">就医指南</x:t>
        </x:is>
      </x:c>
      <x:c r="G722" s="55" t="inlineStr">
        <x:is>
          <x:t xml:space="preserve">无</x:t>
        </x:is>
      </x:c>
      <x:c r="H722" s="55" t="str">
        <x:f>IF(LEN(I722)&lt;15,"短",IF(LEN(I722)&lt;=45,"中","长"))</x:f>
        <x:v>中</x:v>
      </x:c>
      <x:c r="I722" s="56" t="inlineStr">
        <x:is>
          <x:t xml:space="preserve">北京妇女儿童医院的儿科急诊 24 小时开放。</x:t>
        </x:is>
      </x:c>
      <x:c r="J722" s="56" t="str">
        <x:f>I722</x:f>
        <x:v>北京妇女儿童医院的儿科急诊 24 小时开放。</x:v>
      </x:c>
      <x:c r="K722" s="55" t="inlineStr">
        <x:is>
          <x:t xml:space="preserve">无需改写</x:t>
        </x:is>
      </x:c>
      <x:c r="L722" s="56" t="inlineStr">
        <x:is>
          <x:t xml:space="preserve">妇女儿童医院</x:t>
        </x:is>
      </x:c>
      <x:c r="M722" s="56" t="inlineStr">
        <x:is>
          <x:t xml:space="preserve">医院法定名称</x:t>
        </x:is>
      </x:c>
      <x:c r="N722" s="56" t="inlineStr">
        <x:is>
          <x:t xml:space="preserve">该儿童医院的急诊 24 小时开放</x:t>
        </x:is>
      </x:c>
      <x:c r="O722" s="55" t="inlineStr">
        <x:is>
          <x:t xml:space="preserve">易</x:t>
        </x:is>
      </x:c>
      <x:c r="P722" s="55" t="inlineStr">
        <x:is>
          <x:t xml:space="preserve">否</x:t>
        </x:is>
      </x:c>
      <x:c r="Q722" s="56" t="n"/>
      <x:c r="R722" s="57" t="inlineStr">
        <x:is>
          <x:t xml:space="preserve">主集</x:t>
        </x:is>
      </x:c>
      <x:c r="S722" s="57" t="inlineStr">
        <x:is>
          <x:t xml:space="preserve">index</x:t>
        </x:is>
      </x:c>
      <x:c r="T722" s="57" t="inlineStr">
        <x:is>
          <x:t xml:space="preserve"/>
        </x:is>
      </x:c>
    </x:row>
    <x:row r="723" s="37" customFormat="1" ht="15" customHeight="1">
      <x:c r="A723" s="55" t="inlineStr">
        <x:is>
          <x:t xml:space="preserve">NEG-0722</x:t>
        </x:is>
      </x:c>
      <x:c r="B723" s="55" t="inlineStr">
        <x:is>
          <x:t xml:space="preserve">v5</x:t>
        </x:is>
      </x:c>
      <x:c r="C723" s="56" t="inlineStr">
        <x:is>
          <x:t xml:space="preserve">四、专有名词与固定名称</x:t>
        </x:is>
      </x:c>
      <x:c r="D723" s="56" t="inlineStr">
        <x:is>
          <x:t xml:space="preserve">4.2 机构、组织与场所</x:t>
        </x:is>
      </x:c>
      <x:c r="E723" s="56" t="inlineStr">
        <x:is>
          <x:t xml:space="preserve">新闻报道</x:t>
        </x:is>
      </x:c>
      <x:c r="F723" s="56" t="inlineStr">
        <x:is>
          <x:t xml:space="preserve">招生新闻</x:t>
        </x:is>
      </x:c>
      <x:c r="G723" s="55" t="inlineStr">
        <x:is>
          <x:t xml:space="preserve">无</x:t>
        </x:is>
      </x:c>
      <x:c r="H723" s="55" t="str">
        <x:f>IF(LEN(I723)&lt;15,"短",IF(LEN(I723)&lt;=45,"中","长"))</x:f>
        <x:v>中</x:v>
      </x:c>
      <x:c r="I723" s="56" t="inlineStr">
        <x:is>
          <x:t xml:space="preserve">这所女子学院的护理专业今年首次招收男生。</x:t>
        </x:is>
      </x:c>
      <x:c r="J723" s="56" t="str">
        <x:f>I723</x:f>
        <x:v>这所女子学院的护理专业今年首次招收男生。</x:v>
      </x:c>
      <x:c r="K723" s="55" t="inlineStr">
        <x:is>
          <x:t xml:space="preserve">无需改写</x:t>
        </x:is>
      </x:c>
      <x:c r="L723" s="56" t="inlineStr">
        <x:is>
          <x:t xml:space="preserve">女子学院/男生</x:t>
        </x:is>
      </x:c>
      <x:c r="M723" s="56" t="inlineStr">
        <x:is>
          <x:t xml:space="preserve">校名与招生变化</x:t>
        </x:is>
      </x:c>
      <x:c r="N723" s="56" t="inlineStr">
        <x:is>
          <x:t xml:space="preserve">这所学院的护理专业今年扩大了招生范围</x:t>
        </x:is>
      </x:c>
      <x:c r="O723" s="55" t="inlineStr">
        <x:is>
          <x:t xml:space="preserve">中</x:t>
        </x:is>
      </x:c>
      <x:c r="P723" s="55" t="inlineStr">
        <x:is>
          <x:t xml:space="preserve">否</x:t>
        </x:is>
      </x:c>
      <x:c r="Q723" s="56" t="n"/>
      <x:c r="R723" s="57" t="inlineStr">
        <x:is>
          <x:t xml:space="preserve">主集</x:t>
        </x:is>
      </x:c>
      <x:c r="S723" s="57" t="inlineStr">
        <x:is>
          <x:t xml:space="preserve">test</x:t>
        </x:is>
      </x:c>
      <x:c r="T723" s="57" t="inlineStr">
        <x:is>
          <x:t xml:space="preserve"/>
        </x:is>
      </x:c>
    </x:row>
    <x:row r="724" s="37" customFormat="1" ht="15" customHeight="1">
      <x:c r="A724" s="55" t="inlineStr">
        <x:is>
          <x:t xml:space="preserve">NEG-0723</x:t>
        </x:is>
      </x:c>
      <x:c r="B724" s="55" t="inlineStr">
        <x:is>
          <x:t xml:space="preserve">v5</x:t>
        </x:is>
      </x:c>
      <x:c r="C724" s="56" t="inlineStr">
        <x:is>
          <x:t xml:space="preserve">四、专有名词与固定名称</x:t>
        </x:is>
      </x:c>
      <x:c r="D724" s="56" t="inlineStr">
        <x:is>
          <x:t xml:space="preserve">4.2 机构、组织与场所</x:t>
        </x:is>
      </x:c>
      <x:c r="E724" s="56" t="inlineStr">
        <x:is>
          <x:t xml:space="preserve">其他</x:t>
        </x:is>
      </x:c>
      <x:c r="F724" s="56" t="inlineStr">
        <x:is>
          <x:t xml:space="preserve">医院介绍</x:t>
        </x:is>
      </x:c>
      <x:c r="G724" s="55" t="inlineStr">
        <x:is>
          <x:t xml:space="preserve">无</x:t>
        </x:is>
      </x:c>
      <x:c r="H724" s="55" t="str">
        <x:f>IF(LEN(I724)&lt;15,"短",IF(LEN(I724)&lt;=45,"中","长"))</x:f>
        <x:v>中</x:v>
      </x:c>
      <x:c r="I724" s="56" t="inlineStr">
        <x:is>
          <x:t xml:space="preserve">乳腺外科从普外科独立出来只有十几年时间。</x:t>
        </x:is>
      </x:c>
      <x:c r="J724" s="56" t="str">
        <x:f>I724</x:f>
        <x:v>乳腺外科从普外科独立出来只有十几年时间。</x:v>
      </x:c>
      <x:c r="K724" s="55" t="inlineStr">
        <x:is>
          <x:t xml:space="preserve">无需改写</x:t>
        </x:is>
      </x:c>
      <x:c r="L724" s="56" t="inlineStr">
        <x:is>
          <x:t xml:space="preserve">乳腺外科</x:t>
        </x:is>
      </x:c>
      <x:c r="M724" s="56" t="inlineStr">
        <x:is>
          <x:t xml:space="preserve">科室法定名称</x:t>
        </x:is>
      </x:c>
      <x:c r="N724" s="56" t="inlineStr">
        <x:is>
          <x:t xml:space="preserve">该专科从普外科独立出来只有十几年</x:t>
        </x:is>
      </x:c>
      <x:c r="O724" s="55" t="inlineStr">
        <x:is>
          <x:t xml:space="preserve">易</x:t>
        </x:is>
      </x:c>
      <x:c r="P724" s="55" t="inlineStr">
        <x:is>
          <x:t xml:space="preserve">否</x:t>
        </x:is>
      </x:c>
      <x:c r="Q724" s="56" t="n"/>
      <x:c r="R724" s="57" t="inlineStr">
        <x:is>
          <x:t xml:space="preserve">主集</x:t>
        </x:is>
      </x:c>
      <x:c r="S724" s="57" t="inlineStr">
        <x:is>
          <x:t xml:space="preserve">test</x:t>
        </x:is>
      </x:c>
      <x:c r="T724" s="57" t="inlineStr">
        <x:is>
          <x:t xml:space="preserve"/>
        </x:is>
      </x:c>
    </x:row>
    <x:row r="725" s="37" customFormat="1" ht="15" customHeight="1">
      <x:c r="A725" s="55" t="inlineStr">
        <x:is>
          <x:t xml:space="preserve">NEG-0724</x:t>
        </x:is>
      </x:c>
      <x:c r="B725" s="55" t="inlineStr">
        <x:is>
          <x:t xml:space="preserve">v5</x:t>
        </x:is>
      </x:c>
      <x:c r="C725" s="56" t="inlineStr">
        <x:is>
          <x:t xml:space="preserve">四、专有名词与固定名称</x:t>
        </x:is>
      </x:c>
      <x:c r="D725" s="56" t="inlineStr">
        <x:is>
          <x:t xml:space="preserve">4.2 机构、组织与场所</x:t>
        </x:is>
      </x:c>
      <x:c r="E725" s="56" t="inlineStr">
        <x:is>
          <x:t xml:space="preserve">新闻报道</x:t>
        </x:is>
      </x:c>
      <x:c r="F725" s="56" t="inlineStr">
        <x:is>
          <x:t xml:space="preserve">体育新闻</x:t>
        </x:is>
      </x:c>
      <x:c r="G725" s="55" t="inlineStr">
        <x:is>
          <x:t xml:space="preserve">无</x:t>
        </x:is>
      </x:c>
      <x:c r="H725" s="55" t="str">
        <x:f>IF(LEN(I725)&lt;15,"短",IF(LEN(I725)&lt;=45,"中","长"))</x:f>
        <x:v>中</x:v>
      </x:c>
      <x:c r="I725" s="56" t="inlineStr">
        <x:is>
          <x:t xml:space="preserve">中国男子篮球职业联赛下赛季将扩军至 22 支球队。</x:t>
        </x:is>
      </x:c>
      <x:c r="J725" s="56" t="str">
        <x:f>I725</x:f>
        <x:v>中国男子篮球职业联赛下赛季将扩军至 22 支球队。</x:v>
      </x:c>
      <x:c r="K725" s="55" t="inlineStr">
        <x:is>
          <x:t xml:space="preserve">无需改写</x:t>
        </x:is>
      </x:c>
      <x:c r="L725" s="56" t="inlineStr">
        <x:is>
          <x:t xml:space="preserve">男子篮球职业联赛</x:t>
        </x:is>
      </x:c>
      <x:c r="M725" s="56" t="inlineStr">
        <x:is>
          <x:t xml:space="preserve">联赛正式名称</x:t>
        </x:is>
      </x:c>
      <x:c r="N725" s="56" t="inlineStr">
        <x:is>
          <x:t xml:space="preserve">中国篮球职业联赛下赛季将扩军</x:t>
        </x:is>
      </x:c>
      <x:c r="O725" s="55" t="inlineStr">
        <x:is>
          <x:t xml:space="preserve">易</x:t>
        </x:is>
      </x:c>
      <x:c r="P725" s="55" t="inlineStr">
        <x:is>
          <x:t xml:space="preserve">否</x:t>
        </x:is>
      </x:c>
      <x:c r="Q725" s="56" t="n"/>
      <x:c r="R725" s="57" t="inlineStr">
        <x:is>
          <x:t xml:space="preserve">主集</x:t>
        </x:is>
      </x:c>
      <x:c r="S725" s="57" t="inlineStr">
        <x:is>
          <x:t xml:space="preserve">test</x:t>
        </x:is>
      </x:c>
      <x:c r="T725" s="57" t="inlineStr">
        <x:is>
          <x:t xml:space="preserve"/>
        </x:is>
      </x:c>
    </x:row>
    <x:row r="726" s="37" customFormat="1" ht="15" customHeight="1">
      <x:c r="A726" s="58" t="inlineStr">
        <x:is>
          <x:t xml:space="preserve">NEG-0725</x:t>
        </x:is>
      </x:c>
      <x:c r="B726" s="58" t="inlineStr">
        <x:is>
          <x:t xml:space="preserve">v5</x:t>
        </x:is>
      </x:c>
      <x:c r="C726" s="59" t="inlineStr">
        <x:is>
          <x:t xml:space="preserve">四、专有名词与固定名称</x:t>
        </x:is>
      </x:c>
      <x:c r="D726" s="59" t="inlineStr">
        <x:is>
          <x:t xml:space="preserve">4.3 奖项、荣誉与称号</x:t>
        </x:is>
      </x:c>
      <x:c r="E726" s="59" t="inlineStr">
        <x:is>
          <x:t xml:space="preserve">社交与社区</x:t>
        </x:is>
      </x:c>
      <x:c r="F726" s="59" t="inlineStr">
        <x:is>
          <x:t xml:space="preserve">社区通报</x:t>
        </x:is>
      </x:c>
      <x:c r="G726" s="58" t="inlineStr">
        <x:is>
          <x:t xml:space="preserve">无</x:t>
        </x:is>
      </x:c>
      <x:c r="H726" s="58" t="str">
        <x:f>IF(LEN(I726)&lt;15,"短",IF(LEN(I726)&lt;=45,"中","长"))</x:f>
        <x:v>中</x:v>
      </x:c>
      <x:c r="I726" s="59" t="inlineStr">
        <x:is>
          <x:t xml:space="preserve">这户人家去年被评为社区“五好家庭”。</x:t>
        </x:is>
      </x:c>
      <x:c r="J726" s="59" t="str">
        <x:f>I726</x:f>
        <x:v>这户人家去年被评为社区“五好家庭”。</x:v>
      </x:c>
      <x:c r="K726" s="58" t="inlineStr">
        <x:is>
          <x:t xml:space="preserve">无需改写</x:t>
        </x:is>
      </x:c>
      <x:c r="L726" s="59" t="inlineStr">
        <x:is>
          <x:t xml:space="preserve">五好家庭</x:t>
        </x:is>
      </x:c>
      <x:c r="M726" s="59" t="inlineStr">
        <x:is>
          <x:t xml:space="preserve">评选称号名称</x:t>
        </x:is>
      </x:c>
      <x:c r="N726" s="59" t="inlineStr">
        <x:is>
          <x:t xml:space="preserve">这户人家去年被评为社区先进家庭</x:t>
        </x:is>
      </x:c>
      <x:c r="O726" s="58" t="inlineStr">
        <x:is>
          <x:t xml:space="preserve">易</x:t>
        </x:is>
      </x:c>
      <x:c r="P726" s="58" t="inlineStr">
        <x:is>
          <x:t xml:space="preserve">否</x:t>
        </x:is>
      </x:c>
      <x:c r="Q726" s="59" t="n"/>
      <x:c r="R726" s="60" t="inlineStr">
        <x:is>
          <x:t xml:space="preserve">隔离·待确认</x:t>
        </x:is>
      </x:c>
      <x:c r="S726" s="60" t="inlineStr">
        <x:is>
          <x:t xml:space="preserve"/>
        </x:is>
      </x:c>
      <x:c r="T726" s="60" t="inlineStr">
        <x:is>
          <x:t xml:space="preserve">触发词不含性别编码——判断可能依赖世界知识而非句内信息</x:t>
        </x:is>
      </x:c>
    </x:row>
    <x:row r="727" s="37" customFormat="1" ht="15" customHeight="1">
      <x:c r="A727" s="55" t="inlineStr">
        <x:is>
          <x:t xml:space="preserve">NEG-0726</x:t>
        </x:is>
      </x:c>
      <x:c r="B727" s="55" t="inlineStr">
        <x:is>
          <x:t xml:space="preserve">v5</x:t>
        </x:is>
      </x:c>
      <x:c r="C727" s="56" t="inlineStr">
        <x:is>
          <x:t xml:space="preserve">四、专有名词与固定名称</x:t>
        </x:is>
      </x:c>
      <x:c r="D727" s="56" t="inlineStr">
        <x:is>
          <x:t xml:space="preserve">4.3 奖项、荣誉与称号</x:t>
        </x:is>
      </x:c>
      <x:c r="E727" s="56" t="inlineStr">
        <x:is>
          <x:t xml:space="preserve">新闻报道</x:t>
        </x:is>
      </x:c>
      <x:c r="F727" s="56" t="inlineStr">
        <x:is>
          <x:t xml:space="preserve">颁奖报道</x:t>
        </x:is>
      </x:c>
      <x:c r="G727" s="55" t="inlineStr">
        <x:is>
          <x:t xml:space="preserve">无</x:t>
        </x:is>
      </x:c>
      <x:c r="H727" s="55" t="str">
        <x:f>IF(LEN(I727)&lt;15,"短",IF(LEN(I727)&lt;=45,"中","长"))</x:f>
        <x:v>中</x:v>
      </x:c>
      <x:c r="I727" s="56" t="inlineStr">
        <x:is>
          <x:t xml:space="preserve">他凭这个配角拿下了本届的最佳男配角。</x:t>
        </x:is>
      </x:c>
      <x:c r="J727" s="56" t="str">
        <x:f>I727</x:f>
        <x:v>他凭这个配角拿下了本届的最佳男配角。</x:v>
      </x:c>
      <x:c r="K727" s="55" t="inlineStr">
        <x:is>
          <x:t xml:space="preserve">无需改写</x:t>
        </x:is>
      </x:c>
      <x:c r="L727" s="56" t="inlineStr">
        <x:is>
          <x:t xml:space="preserve">最佳男配角</x:t>
        </x:is>
      </x:c>
      <x:c r="M727" s="56" t="inlineStr">
        <x:is>
          <x:t xml:space="preserve">奖项设置名称</x:t>
        </x:is>
      </x:c>
      <x:c r="N727" s="56" t="inlineStr">
        <x:is>
          <x:t xml:space="preserve">他凭这个配角拿下了本届的最佳配角</x:t>
        </x:is>
      </x:c>
      <x:c r="O727" s="55" t="inlineStr">
        <x:is>
          <x:t xml:space="preserve">易</x:t>
        </x:is>
      </x:c>
      <x:c r="P727" s="55" t="inlineStr">
        <x:is>
          <x:t xml:space="preserve">是</x:t>
        </x:is>
      </x:c>
      <x:c r="Q727" s="56" t="n"/>
      <x:c r="R727" s="57" t="inlineStr">
        <x:is>
          <x:t xml:space="preserve">主集</x:t>
        </x:is>
      </x:c>
      <x:c r="S727" s="57" t="inlineStr">
        <x:is>
          <x:t xml:space="preserve">test</x:t>
        </x:is>
      </x:c>
      <x:c r="T727" s="57" t="inlineStr">
        <x:is>
          <x:t xml:space="preserve"/>
        </x:is>
      </x:c>
    </x:row>
    <x:row r="728" s="37" customFormat="1" ht="15" customHeight="1">
      <x:c r="A728" s="55" t="inlineStr">
        <x:is>
          <x:t xml:space="preserve">NEG-0727</x:t>
        </x:is>
      </x:c>
      <x:c r="B728" s="55" t="inlineStr">
        <x:is>
          <x:t xml:space="preserve">v5</x:t>
        </x:is>
      </x:c>
      <x:c r="C728" s="56" t="inlineStr">
        <x:is>
          <x:t xml:space="preserve">四、专有名词与固定名称</x:t>
        </x:is>
      </x:c>
      <x:c r="D728" s="56" t="inlineStr">
        <x:is>
          <x:t xml:space="preserve">4.3 奖项、荣誉与称号</x:t>
        </x:is>
      </x:c>
      <x:c r="E728" s="56" t="inlineStr">
        <x:is>
          <x:t xml:space="preserve">新闻报道</x:t>
        </x:is>
      </x:c>
      <x:c r="F728" s="56" t="inlineStr">
        <x:is>
          <x:t xml:space="preserve">科技新闻</x:t>
        </x:is>
      </x:c>
      <x:c r="G728" s="55" t="inlineStr">
        <x:is>
          <x:t xml:space="preserve">无</x:t>
        </x:is>
      </x:c>
      <x:c r="H728" s="55" t="str">
        <x:f>IF(LEN(I728)&lt;15,"短",IF(LEN(I728)&lt;=45,"中","长"))</x:f>
        <x:v>中</x:v>
      </x:c>
      <x:c r="I728" s="56" t="inlineStr">
        <x:is>
          <x:t xml:space="preserve">中国青年女科学家奖每年评选十人，已举办二十届。</x:t>
        </x:is>
      </x:c>
      <x:c r="J728" s="56" t="str">
        <x:f>I728</x:f>
        <x:v>中国青年女科学家奖每年评选十人，已举办二十届。</x:v>
      </x:c>
      <x:c r="K728" s="55" t="inlineStr">
        <x:is>
          <x:t xml:space="preserve">无需改写</x:t>
        </x:is>
      </x:c>
      <x:c r="L728" s="56" t="inlineStr">
        <x:is>
          <x:t xml:space="preserve">女科学家奖</x:t>
        </x:is>
      </x:c>
      <x:c r="M728" s="56" t="inlineStr">
        <x:is>
          <x:t xml:space="preserve">奖项正式名称</x:t>
        </x:is>
      </x:c>
      <x:c r="N728" s="56" t="inlineStr">
        <x:is>
          <x:t xml:space="preserve">中国青年科学家奖每年评选十人</x:t>
        </x:is>
      </x:c>
      <x:c r="O728" s="55" t="inlineStr">
        <x:is>
          <x:t xml:space="preserve">易</x:t>
        </x:is>
      </x:c>
      <x:c r="P728" s="55" t="inlineStr">
        <x:is>
          <x:t xml:space="preserve">否</x:t>
        </x:is>
      </x:c>
      <x:c r="Q728" s="56" t="n"/>
      <x:c r="R728" s="57" t="inlineStr">
        <x:is>
          <x:t xml:space="preserve">主集</x:t>
        </x:is>
      </x:c>
      <x:c r="S728" s="57" t="inlineStr">
        <x:is>
          <x:t xml:space="preserve">test</x:t>
        </x:is>
      </x:c>
      <x:c r="T728" s="57" t="inlineStr">
        <x:is>
          <x:t xml:space="preserve"/>
        </x:is>
      </x:c>
    </x:row>
    <x:row r="729" s="37" customFormat="1" ht="29.850000381469727" customHeight="1">
      <x:c r="A729" s="55" t="inlineStr">
        <x:is>
          <x:t xml:space="preserve">NEG-0728</x:t>
        </x:is>
      </x:c>
      <x:c r="B729" s="55" t="inlineStr">
        <x:is>
          <x:t xml:space="preserve">v5</x:t>
        </x:is>
      </x:c>
      <x:c r="C729" s="56" t="inlineStr">
        <x:is>
          <x:t xml:space="preserve">四、专有名词与固定名称</x:t>
        </x:is>
      </x:c>
      <x:c r="D729" s="56" t="inlineStr">
        <x:is>
          <x:t xml:space="preserve">4.3 奖项、荣誉与称号</x:t>
        </x:is>
      </x:c>
      <x:c r="E729" s="56" t="inlineStr">
        <x:is>
          <x:t xml:space="preserve">新闻报道</x:t>
        </x:is>
      </x:c>
      <x:c r="F729" s="56" t="inlineStr">
        <x:is>
          <x:t xml:space="preserve">媒体观察</x:t>
        </x:is>
      </x:c>
      <x:c r="G729" s="55" t="inlineStr">
        <x:is>
          <x:t xml:space="preserve">无</x:t>
        </x:is>
      </x:c>
      <x:c r="H729" s="55" t="str">
        <x:f>IF(LEN(I729)&lt;15,"短",IF(LEN(I729)&lt;=45,"中","长"))</x:f>
        <x:v>中</x:v>
      </x:c>
      <x:c r="I729" s="56" t="inlineStr">
        <x:is>
          <x:t xml:space="preserve">“最美女医生”评选今年改成了“最美医务工作者”。</x:t>
        </x:is>
      </x:c>
      <x:c r="J729" s="56" t="str">
        <x:f>I729</x:f>
        <x:v>“最美女医生”评选今年改成了“最美医务工作者”。</x:v>
      </x:c>
      <x:c r="K729" s="55" t="inlineStr">
        <x:is>
          <x:t xml:space="preserve">无需改写</x:t>
        </x:is>
      </x:c>
      <x:c r="L729" s="56" t="inlineStr">
        <x:is>
          <x:t xml:space="preserve">最美女医生</x:t>
        </x:is>
      </x:c>
      <x:c r="M729" s="56" t="inlineStr">
        <x:is>
          <x:t xml:space="preserve">对更名过程的记述，两个名称都需保留</x:t>
        </x:is>
      </x:c>
      <x:c r="N729" s="56" t="inlineStr">
        <x:is>
          <x:t xml:space="preserve">“最美医生”评选今年更名</x:t>
        </x:is>
      </x:c>
      <x:c r="O729" s="55" t="inlineStr">
        <x:is>
          <x:t xml:space="preserve">难</x:t>
        </x:is>
      </x:c>
      <x:c r="P729" s="55" t="inlineStr">
        <x:is>
          <x:t xml:space="preserve">否</x:t>
        </x:is>
      </x:c>
      <x:c r="Q729" s="56" t="inlineStr">
        <x:is>
          <x:t xml:space="preserve">句子本身在记录一次去性别化改名</x:t>
        </x:is>
      </x:c>
      <x:c r="R729" s="57" t="inlineStr">
        <x:is>
          <x:t xml:space="preserve">主集</x:t>
        </x:is>
      </x:c>
      <x:c r="S729" s="57" t="inlineStr">
        <x:is>
          <x:t xml:space="preserve">test</x:t>
        </x:is>
      </x:c>
      <x:c r="T729" s="57" t="inlineStr">
        <x:is>
          <x:t xml:space="preserve"/>
        </x:is>
      </x:c>
    </x:row>
    <x:row r="730" s="37" customFormat="1" ht="29.850000381469727" customHeight="1">
      <x:c r="A730" s="55" t="inlineStr">
        <x:is>
          <x:t xml:space="preserve">NEG-0729</x:t>
        </x:is>
      </x:c>
      <x:c r="B730" s="55" t="inlineStr">
        <x:is>
          <x:t xml:space="preserve">v5</x:t>
        </x:is>
      </x:c>
      <x:c r="C730" s="56" t="inlineStr">
        <x:is>
          <x:t xml:space="preserve">四、专有名词与固定名称</x:t>
        </x:is>
      </x:c>
      <x:c r="D730" s="56" t="inlineStr">
        <x:is>
          <x:t xml:space="preserve">4.4 节日与纪念日</x:t>
        </x:is>
      </x:c>
      <x:c r="E730" s="56" t="inlineStr">
        <x:is>
          <x:t xml:space="preserve">其他</x:t>
        </x:is>
      </x:c>
      <x:c r="F730" s="56" t="inlineStr">
        <x:is>
          <x:t xml:space="preserve">健康倡导</x:t>
        </x:is>
      </x:c>
      <x:c r="G730" s="55" t="inlineStr">
        <x:is>
          <x:t xml:space="preserve">无</x:t>
        </x:is>
      </x:c>
      <x:c r="H730" s="55" t="str">
        <x:f>IF(LEN(I730)&lt;15,"短",IF(LEN(I730)&lt;=45,"中","长"))</x:f>
        <x:v>中</x:v>
      </x:c>
      <x:c r="I730" s="56" t="inlineStr">
        <x:is>
          <x:t xml:space="preserve">11 月 19 日是国际男人节，男性健康是其核心议题之一。</x:t>
        </x:is>
      </x:c>
      <x:c r="J730" s="56" t="str">
        <x:f>I730</x:f>
        <x:v>11 月 19 日是国际男人节，男性健康是其核心议题之一。</x:v>
      </x:c>
      <x:c r="K730" s="55" t="inlineStr">
        <x:is>
          <x:t xml:space="preserve">无需改写</x:t>
        </x:is>
      </x:c>
      <x:c r="L730" s="56" t="inlineStr">
        <x:is>
          <x:t xml:space="preserve">国际男人节/男性健康</x:t>
        </x:is>
      </x:c>
      <x:c r="M730" s="56" t="inlineStr">
        <x:is>
          <x:t xml:space="preserve">纪念日名称</x:t>
        </x:is>
      </x:c>
      <x:c r="N730" s="56" t="inlineStr">
        <x:is>
          <x:t xml:space="preserve">11 月 19 日是一个国际纪念日</x:t>
        </x:is>
      </x:c>
      <x:c r="O730" s="55" t="inlineStr">
        <x:is>
          <x:t xml:space="preserve">易</x:t>
        </x:is>
      </x:c>
      <x:c r="P730" s="55" t="inlineStr">
        <x:is>
          <x:t xml:space="preserve">否</x:t>
        </x:is>
      </x:c>
      <x:c r="Q730" s="56" t="n"/>
      <x:c r="R730" s="57" t="inlineStr">
        <x:is>
          <x:t xml:space="preserve">主集</x:t>
        </x:is>
      </x:c>
      <x:c r="S730" s="57" t="inlineStr">
        <x:is>
          <x:t xml:space="preserve">test</x:t>
        </x:is>
      </x:c>
      <x:c r="T730" s="57" t="inlineStr">
        <x:is>
          <x:t xml:space="preserve"/>
        </x:is>
      </x:c>
    </x:row>
    <x:row r="731" s="37" customFormat="1" ht="15" customHeight="1">
      <x:c r="A731" s="55" t="inlineStr">
        <x:is>
          <x:t xml:space="preserve">NEG-0730</x:t>
        </x:is>
      </x:c>
      <x:c r="B731" s="55" t="inlineStr">
        <x:is>
          <x:t xml:space="preserve">v5</x:t>
        </x:is>
      </x:c>
      <x:c r="C731" s="56" t="inlineStr">
        <x:is>
          <x:t xml:space="preserve">四、专有名词与固定名称</x:t>
        </x:is>
      </x:c>
      <x:c r="D731" s="56" t="inlineStr">
        <x:is>
          <x:t xml:space="preserve">4.4 节日与纪念日</x:t>
        </x:is>
      </x:c>
      <x:c r="E731" s="56" t="inlineStr">
        <x:is>
          <x:t xml:space="preserve">公文与规章</x:t>
        </x:is>
      </x:c>
      <x:c r="F731" s="56" t="inlineStr">
        <x:is>
          <x:t xml:space="preserve">公益宣传</x:t>
        </x:is>
      </x:c>
      <x:c r="G731" s="55" t="inlineStr">
        <x:is>
          <x:t xml:space="preserve">无</x:t>
        </x:is>
      </x:c>
      <x:c r="H731" s="55" t="str">
        <x:f>IF(LEN(I731)&lt;15,"短",IF(LEN(I731)&lt;=45,"中","长"))</x:f>
        <x:v>中</x:v>
      </x:c>
      <x:c r="I731" s="56" t="inlineStr">
        <x:is>
          <x:t xml:space="preserve">国际女童日的设立，是为了推动女童受教育权的实现。</x:t>
        </x:is>
      </x:c>
      <x:c r="J731" s="56" t="str">
        <x:f>I731</x:f>
        <x:v>国际女童日的设立，是为了推动女童受教育权的实现。</x:v>
      </x:c>
      <x:c r="K731" s="55" t="inlineStr">
        <x:is>
          <x:t xml:space="preserve">无需改写</x:t>
        </x:is>
      </x:c>
      <x:c r="L731" s="56" t="inlineStr">
        <x:is>
          <x:t xml:space="preserve">国际女童日/女童</x:t>
        </x:is>
      </x:c>
      <x:c r="M731" s="56" t="inlineStr">
        <x:is>
          <x:t xml:space="preserve">纪念日名称与设立宗旨</x:t>
        </x:is>
      </x:c>
      <x:c r="N731" s="56" t="inlineStr">
        <x:is>
          <x:t xml:space="preserve">该国际纪念日的设立是为了推动受教育权</x:t>
        </x:is>
      </x:c>
      <x:c r="O731" s="55" t="inlineStr">
        <x:is>
          <x:t xml:space="preserve">易</x:t>
        </x:is>
      </x:c>
      <x:c r="P731" s="55" t="inlineStr">
        <x:is>
          <x:t xml:space="preserve">否</x:t>
        </x:is>
      </x:c>
      <x:c r="Q731" s="56" t="n"/>
      <x:c r="R731" s="57" t="inlineStr">
        <x:is>
          <x:t xml:space="preserve">主集</x:t>
        </x:is>
      </x:c>
      <x:c r="S731" s="57" t="inlineStr">
        <x:is>
          <x:t xml:space="preserve">dev</x:t>
        </x:is>
      </x:c>
      <x:c r="T731" s="57" t="inlineStr">
        <x:is>
          <x:t xml:space="preserve"/>
        </x:is>
      </x:c>
    </x:row>
    <x:row r="732" s="37" customFormat="1" ht="29.850000381469727" customHeight="1">
      <x:c r="A732" s="55" t="inlineStr">
        <x:is>
          <x:t xml:space="preserve">NEG-0731</x:t>
        </x:is>
      </x:c>
      <x:c r="B732" s="55" t="inlineStr">
        <x:is>
          <x:t xml:space="preserve">v5</x:t>
        </x:is>
      </x:c>
      <x:c r="C732" s="56" t="inlineStr">
        <x:is>
          <x:t xml:space="preserve">四、专有名词与固定名称</x:t>
        </x:is>
      </x:c>
      <x:c r="D732" s="56" t="inlineStr">
        <x:is>
          <x:t xml:space="preserve">4.4 节日与纪念日</x:t>
        </x:is>
      </x:c>
      <x:c r="E732" s="56" t="inlineStr">
        <x:is>
          <x:t xml:space="preserve">学术与调研</x:t>
        </x:is>
      </x:c>
      <x:c r="F732" s="56" t="inlineStr">
        <x:is>
          <x:t xml:space="preserve">民俗介绍</x:t>
        </x:is>
      </x:c>
      <x:c r="G732" s="55" t="inlineStr">
        <x:is>
          <x:t xml:space="preserve">无</x:t>
        </x:is>
      </x:c>
      <x:c r="H732" s="55" t="str">
        <x:f>IF(LEN(I732)&lt;15,"短",IF(LEN(I732)&lt;=45,"中","长"))</x:f>
        <x:v>中</x:v>
      </x:c>
      <x:c r="I732" s="56" t="inlineStr">
        <x:is>
          <x:t xml:space="preserve">重阳节又称老人节，与母亲节、父亲节不同，是本土节日。</x:t>
        </x:is>
      </x:c>
      <x:c r="J732" s="56" t="str">
        <x:f>I732</x:f>
        <x:v>重阳节又称老人节，与母亲节、父亲节不同，是本土节日。</x:v>
      </x:c>
      <x:c r="K732" s="55" t="inlineStr">
        <x:is>
          <x:t xml:space="preserve">无需改写</x:t>
        </x:is>
      </x:c>
      <x:c r="L732" s="56" t="inlineStr">
        <x:is>
          <x:t xml:space="preserve">母亲节/父亲节</x:t>
        </x:is>
      </x:c>
      <x:c r="M732" s="56" t="inlineStr">
        <x:is>
          <x:t xml:space="preserve">节日名称与对比说明</x:t>
        </x:is>
      </x:c>
      <x:c r="N732" s="56" t="inlineStr">
        <x:is>
          <x:t xml:space="preserve">重阳节又称老人节，与舶来节日不同</x:t>
        </x:is>
      </x:c>
      <x:c r="O732" s="55" t="inlineStr">
        <x:is>
          <x:t xml:space="preserve">易</x:t>
        </x:is>
      </x:c>
      <x:c r="P732" s="55" t="inlineStr">
        <x:is>
          <x:t xml:space="preserve">否</x:t>
        </x:is>
      </x:c>
      <x:c r="Q732" s="56" t="n"/>
      <x:c r="R732" s="57" t="inlineStr">
        <x:is>
          <x:t xml:space="preserve">主集</x:t>
        </x:is>
      </x:c>
      <x:c r="S732" s="57" t="inlineStr">
        <x:is>
          <x:t xml:space="preserve">index</x:t>
        </x:is>
      </x:c>
      <x:c r="T732" s="57" t="inlineStr">
        <x:is>
          <x:t xml:space="preserve"/>
        </x:is>
      </x:c>
    </x:row>
    <x:row r="733" s="37" customFormat="1" ht="29.850000381469727" customHeight="1">
      <x:c r="A733" s="55" t="inlineStr">
        <x:is>
          <x:t xml:space="preserve">NEG-0732</x:t>
        </x:is>
      </x:c>
      <x:c r="B733" s="55" t="inlineStr">
        <x:is>
          <x:t xml:space="preserve">v5</x:t>
        </x:is>
      </x:c>
      <x:c r="C733" s="56" t="inlineStr">
        <x:is>
          <x:t xml:space="preserve">四、专有名词与固定名称</x:t>
        </x:is>
      </x:c>
      <x:c r="D733" s="56" t="inlineStr">
        <x:is>
          <x:t xml:space="preserve">4.5 作品名与文化产品</x:t>
        </x:is>
      </x:c>
      <x:c r="E733" s="56" t="inlineStr">
        <x:is>
          <x:t xml:space="preserve">文艺创作与评论</x:t>
        </x:is>
      </x:c>
      <x:c r="F733" s="56" t="inlineStr">
        <x:is>
          <x:t xml:space="preserve">文学介绍</x:t>
        </x:is>
      </x:c>
      <x:c r="G733" s="55" t="inlineStr">
        <x:is>
          <x:t xml:space="preserve">无</x:t>
        </x:is>
      </x:c>
      <x:c r="H733" s="55" t="str">
        <x:f>IF(LEN(I733)&lt;15,"短",IF(LEN(I733)&lt;=45,"中","长"))</x:f>
        <x:v>中</x:v>
      </x:c>
      <x:c r="I733" s="56" t="inlineStr">
        <x:is>
          <x:t xml:space="preserve">《女勇士》是汤亭亭的代表作，被视为华裔美国文学的起点之一。</x:t>
        </x:is>
      </x:c>
      <x:c r="J733" s="56" t="str">
        <x:f>I733</x:f>
        <x:v>《女勇士》是汤亭亭的代表作，被视为华裔美国文学的起点之一。</x:v>
      </x:c>
      <x:c r="K733" s="55" t="inlineStr">
        <x:is>
          <x:t xml:space="preserve">无需改写</x:t>
        </x:is>
      </x:c>
      <x:c r="L733" s="56" t="inlineStr">
        <x:is>
          <x:t xml:space="preserve">女勇士</x:t>
        </x:is>
      </x:c>
      <x:c r="M733" s="56" t="inlineStr">
        <x:is>
          <x:t xml:space="preserve">书名</x:t>
        </x:is>
      </x:c>
      <x:c r="N733" s="56" t="inlineStr">
        <x:is>
          <x:t xml:space="preserve">这部代表作被视为华裔美国文学的起点之一</x:t>
        </x:is>
      </x:c>
      <x:c r="O733" s="55" t="inlineStr">
        <x:is>
          <x:t xml:space="preserve">易</x:t>
        </x:is>
      </x:c>
      <x:c r="P733" s="55" t="inlineStr">
        <x:is>
          <x:t xml:space="preserve">否</x:t>
        </x:is>
      </x:c>
      <x:c r="Q733" s="56" t="n"/>
      <x:c r="R733" s="57" t="inlineStr">
        <x:is>
          <x:t xml:space="preserve">主集</x:t>
        </x:is>
      </x:c>
      <x:c r="S733" s="57" t="inlineStr">
        <x:is>
          <x:t xml:space="preserve">dev</x:t>
        </x:is>
      </x:c>
      <x:c r="T733" s="57" t="inlineStr">
        <x:is>
          <x:t xml:space="preserve"/>
        </x:is>
      </x:c>
    </x:row>
    <x:row r="734" s="37" customFormat="1" ht="29.850000381469727" customHeight="1">
      <x:c r="A734" s="55" t="inlineStr">
        <x:is>
          <x:t xml:space="preserve">NEG-0733</x:t>
        </x:is>
      </x:c>
      <x:c r="B734" s="55" t="inlineStr">
        <x:is>
          <x:t xml:space="preserve">v5</x:t>
        </x:is>
      </x:c>
      <x:c r="C734" s="56" t="inlineStr">
        <x:is>
          <x:t xml:space="preserve">四、专有名词与固定名称</x:t>
        </x:is>
      </x:c>
      <x:c r="D734" s="56" t="inlineStr">
        <x:is>
          <x:t xml:space="preserve">4.5 作品名与文化产品</x:t>
        </x:is>
      </x:c>
      <x:c r="E734" s="56" t="inlineStr">
        <x:is>
          <x:t xml:space="preserve">学术与调研</x:t>
        </x:is>
      </x:c>
      <x:c r="F734" s="56" t="inlineStr">
        <x:is>
          <x:t xml:space="preserve">出版观察</x:t>
        </x:is>
      </x:c>
      <x:c r="G734" s="55" t="inlineStr">
        <x:is>
          <x:t xml:space="preserve">无</x:t>
        </x:is>
      </x:c>
      <x:c r="H734" s="55" t="str">
        <x:f>IF(LEN(I734)&lt;15,"短",IF(LEN(I734)&lt;=45,"中","长"))</x:f>
        <x:v>中</x:v>
      </x:c>
      <x:c r="I734" s="56" t="inlineStr">
        <x:is>
          <x:t xml:space="preserve">《男人来自火星，女人来自金星》曾长期占据畅销榜前列。</x:t>
        </x:is>
      </x:c>
      <x:c r="J734" s="56" t="str">
        <x:f>I734</x:f>
        <x:v>《男人来自火星，女人来自金星》曾长期占据畅销榜前列。</x:v>
      </x:c>
      <x:c r="K734" s="55" t="inlineStr">
        <x:is>
          <x:t xml:space="preserve">无需改写</x:t>
        </x:is>
      </x:c>
      <x:c r="L734" s="56" t="inlineStr">
        <x:is>
          <x:t xml:space="preserve">男人来自火星</x:t>
        </x:is>
      </x:c>
      <x:c r="M734" s="56" t="inlineStr">
        <x:is>
          <x:t xml:space="preserve">书名</x:t>
        </x:is>
      </x:c>
      <x:c r="N734" s="56" t="inlineStr">
        <x:is>
          <x:t xml:space="preserve">这本两性关系读物曾长期占据畅销榜</x:t>
        </x:is>
      </x:c>
      <x:c r="O734" s="55" t="inlineStr">
        <x:is>
          <x:t xml:space="preserve">易</x:t>
        </x:is>
      </x:c>
      <x:c r="P734" s="55" t="inlineStr">
        <x:is>
          <x:t xml:space="preserve">否</x:t>
        </x:is>
      </x:c>
      <x:c r="Q734" s="56" t="n"/>
      <x:c r="R734" s="57" t="inlineStr">
        <x:is>
          <x:t xml:space="preserve">主集</x:t>
        </x:is>
      </x:c>
      <x:c r="S734" s="57" t="inlineStr">
        <x:is>
          <x:t xml:space="preserve">index</x:t>
        </x:is>
      </x:c>
      <x:c r="T734" s="57" t="inlineStr">
        <x:is>
          <x:t xml:space="preserve"/>
        </x:is>
      </x:c>
    </x:row>
    <x:row r="735" s="37" customFormat="1" ht="15" customHeight="1">
      <x:c r="A735" s="55" t="inlineStr">
        <x:is>
          <x:t xml:space="preserve">NEG-0734</x:t>
        </x:is>
      </x:c>
      <x:c r="B735" s="55" t="inlineStr">
        <x:is>
          <x:t xml:space="preserve">v5</x:t>
        </x:is>
      </x:c>
      <x:c r="C735" s="56" t="inlineStr">
        <x:is>
          <x:t xml:space="preserve">四、专有名词与固定名称</x:t>
        </x:is>
      </x:c>
      <x:c r="D735" s="56" t="inlineStr">
        <x:is>
          <x:t xml:space="preserve">4.5 作品名与文化产品</x:t>
        </x:is>
      </x:c>
      <x:c r="E735" s="56" t="inlineStr">
        <x:is>
          <x:t xml:space="preserve">文艺创作与评论</x:t>
        </x:is>
      </x:c>
      <x:c r="F735" s="56" t="inlineStr">
        <x:is>
          <x:t xml:space="preserve">行业评论</x:t>
        </x:is>
      </x:c>
      <x:c r="G735" s="55" t="inlineStr">
        <x:is>
          <x:t xml:space="preserve">无</x:t>
        </x:is>
      </x:c>
      <x:c r="H735" s="55" t="str">
        <x:f>IF(LEN(I735)&lt;15,"短",IF(LEN(I735)&lt;=45,"中","长"))</x:f>
        <x:v>中</x:v>
      </x:c>
      <x:c r="I735" s="56" t="inlineStr">
        <x:is>
          <x:t xml:space="preserve">“大女主”剧近几年数量明显增加，质量却参差不齐。</x:t>
        </x:is>
      </x:c>
      <x:c r="J735" s="56" t="str">
        <x:f>I735</x:f>
        <x:v>“大女主”剧近几年数量明显增加，质量却参差不齐。</x:v>
      </x:c>
      <x:c r="K735" s="55" t="inlineStr">
        <x:is>
          <x:t xml:space="preserve">无需改写</x:t>
        </x:is>
      </x:c>
      <x:c r="L735" s="56" t="inlineStr">
        <x:is>
          <x:t xml:space="preserve">大女主</x:t>
        </x:is>
      </x:c>
      <x:c r="M735" s="56" t="inlineStr">
        <x:is>
          <x:t xml:space="preserve">行业通用品类名</x:t>
        </x:is>
      </x:c>
      <x:c r="N735" s="56" t="inlineStr">
        <x:is>
          <x:t xml:space="preserve">女性主角剧近几年数量明显增加</x:t>
        </x:is>
      </x:c>
      <x:c r="O735" s="55" t="inlineStr">
        <x:is>
          <x:t xml:space="preserve">中</x:t>
        </x:is>
      </x:c>
      <x:c r="P735" s="55" t="inlineStr">
        <x:is>
          <x:t xml:space="preserve">否</x:t>
        </x:is>
      </x:c>
      <x:c r="Q735" s="56" t="n"/>
      <x:c r="R735" s="57" t="inlineStr">
        <x:is>
          <x:t xml:space="preserve">主集</x:t>
        </x:is>
      </x:c>
      <x:c r="S735" s="57" t="inlineStr">
        <x:is>
          <x:t xml:space="preserve">index</x:t>
        </x:is>
      </x:c>
      <x:c r="T735" s="57" t="inlineStr">
        <x:is>
          <x:t xml:space="preserve"/>
        </x:is>
      </x:c>
    </x:row>
    <x:row r="736" s="37" customFormat="1" ht="15" customHeight="1">
      <x:c r="A736" s="55" t="inlineStr">
        <x:is>
          <x:t xml:space="preserve">NEG-0735</x:t>
        </x:is>
      </x:c>
      <x:c r="B736" s="55" t="inlineStr">
        <x:is>
          <x:t xml:space="preserve">v5</x:t>
        </x:is>
      </x:c>
      <x:c r="C736" s="56" t="inlineStr">
        <x:is>
          <x:t xml:space="preserve">四、专有名词与固定名称</x:t>
        </x:is>
      </x:c>
      <x:c r="D736" s="56" t="inlineStr">
        <x:is>
          <x:t xml:space="preserve">4.5 作品名与文化产品</x:t>
        </x:is>
      </x:c>
      <x:c r="E736" s="56" t="inlineStr">
        <x:is>
          <x:t xml:space="preserve">新闻报道</x:t>
        </x:is>
      </x:c>
      <x:c r="F736" s="56" t="inlineStr">
        <x:is>
          <x:t xml:space="preserve">综艺资讯</x:t>
        </x:is>
      </x:c>
      <x:c r="G736" s="55" t="inlineStr">
        <x:is>
          <x:t xml:space="preserve">无</x:t>
        </x:is>
      </x:c>
      <x:c r="H736" s="55" t="str">
        <x:f>IF(LEN(I736)&lt;15,"短",IF(LEN(I736)&lt;=45,"中","长"))</x:f>
        <x:v>中</x:v>
      </x:c>
      <x:c r="I736" s="56" t="inlineStr">
        <x:is>
          <x:t xml:space="preserve">《男人帮》第二季的嘉宾阵容已经公布。</x:t>
        </x:is>
      </x:c>
      <x:c r="J736" s="56" t="str">
        <x:f>I736</x:f>
        <x:v>《男人帮》第二季的嘉宾阵容已经公布。</x:v>
      </x:c>
      <x:c r="K736" s="55" t="inlineStr">
        <x:is>
          <x:t xml:space="preserve">无需改写</x:t>
        </x:is>
      </x:c>
      <x:c r="L736" s="56" t="inlineStr">
        <x:is>
          <x:t xml:space="preserve">男人帮</x:t>
        </x:is>
      </x:c>
      <x:c r="M736" s="56" t="inlineStr">
        <x:is>
          <x:t xml:space="preserve">节目名</x:t>
        </x:is>
      </x:c>
      <x:c r="N736" s="56" t="inlineStr">
        <x:is>
          <x:t xml:space="preserve">该综艺第二季的嘉宾阵容已经公布</x:t>
        </x:is>
      </x:c>
      <x:c r="O736" s="55" t="inlineStr">
        <x:is>
          <x:t xml:space="preserve">易</x:t>
        </x:is>
      </x:c>
      <x:c r="P736" s="55" t="inlineStr">
        <x:is>
          <x:t xml:space="preserve">否</x:t>
        </x:is>
      </x:c>
      <x:c r="Q736" s="56" t="n"/>
      <x:c r="R736" s="57" t="inlineStr">
        <x:is>
          <x:t xml:space="preserve">主集</x:t>
        </x:is>
      </x:c>
      <x:c r="S736" s="57" t="inlineStr">
        <x:is>
          <x:t xml:space="preserve">dev</x:t>
        </x:is>
      </x:c>
      <x:c r="T736" s="57" t="inlineStr">
        <x:is>
          <x:t xml:space="preserve"/>
        </x:is>
      </x:c>
    </x:row>
    <x:row r="737" s="37" customFormat="1" ht="29.850000381469727" customHeight="1">
      <x:c r="A737" s="58" t="inlineStr">
        <x:is>
          <x:t xml:space="preserve">NEG-0736</x:t>
        </x:is>
      </x:c>
      <x:c r="B737" s="58" t="inlineStr">
        <x:is>
          <x:t xml:space="preserve">v5</x:t>
        </x:is>
      </x:c>
      <x:c r="C737" s="59" t="inlineStr">
        <x:is>
          <x:t xml:space="preserve">四、专有名词与固定名称</x:t>
        </x:is>
      </x:c>
      <x:c r="D737" s="59" t="inlineStr">
        <x:is>
          <x:t xml:space="preserve">4.6 历史与制度术语</x:t>
        </x:is>
      </x:c>
      <x:c r="E737" s="59" t="inlineStr">
        <x:is>
          <x:t xml:space="preserve">法律与司法</x:t>
        </x:is>
      </x:c>
      <x:c r="F737" s="59" t="inlineStr">
        <x:is>
          <x:t xml:space="preserve">法制史</x:t>
        </x:is>
      </x:c>
      <x:c r="G737" s="58" t="inlineStr">
        <x:is>
          <x:t xml:space="preserve">无</x:t>
        </x:is>
      </x:c>
      <x:c r="H737" s="58" t="str">
        <x:f>IF(LEN(I737)&lt;15,"短",IF(LEN(I737)&lt;=45,"中","长"))</x:f>
        <x:v>中</x:v>
      </x:c>
      <x:c r="I737" s="59" t="inlineStr">
        <x:is>
          <x:t xml:space="preserve">纳妾在民国《民法》中已无法律地位，事实上却仍然存在。</x:t>
        </x:is>
      </x:c>
      <x:c r="J737" s="59" t="str">
        <x:f>I737</x:f>
        <x:v>纳妾在民国《民法》中已无法律地位，事实上却仍然存在。</x:v>
      </x:c>
      <x:c r="K737" s="58" t="inlineStr">
        <x:is>
          <x:t xml:space="preserve">无需改写</x:t>
        </x:is>
      </x:c>
      <x:c r="L737" s="59" t="inlineStr">
        <x:is>
          <x:t xml:space="preserve">纳妾</x:t>
        </x:is>
      </x:c>
      <x:c r="M737" s="59" t="inlineStr">
        <x:is>
          <x:t xml:space="preserve">历史制度名称，且句子含批判</x:t>
        </x:is>
      </x:c>
      <x:c r="N737" s="59" t="inlineStr">
        <x:is>
          <x:t xml:space="preserve">该旧俗在民国《民法》中已无法律地位</x:t>
        </x:is>
      </x:c>
      <x:c r="O737" s="58" t="inlineStr">
        <x:is>
          <x:t xml:space="preserve">易</x:t>
        </x:is>
      </x:c>
      <x:c r="P737" s="58" t="inlineStr">
        <x:is>
          <x:t xml:space="preserve">否</x:t>
        </x:is>
      </x:c>
      <x:c r="Q737" s="59" t="n"/>
      <x:c r="R737" s="60" t="inlineStr">
        <x:is>
          <x:t xml:space="preserve">隔离·待确认</x:t>
        </x:is>
      </x:c>
      <x:c r="S737" s="60" t="inlineStr">
        <x:is>
          <x:t xml:space="preserve"/>
        </x:is>
      </x:c>
      <x:c r="T737" s="60" t="inlineStr">
        <x:is>
          <x:t xml:space="preserve">触发词不含性别编码——判断可能依赖世界知识而非句内信息</x:t>
        </x:is>
      </x:c>
    </x:row>
    <x:row r="738" s="37" customFormat="1" ht="29.850000381469727" customHeight="1">
      <x:c r="A738" s="55" t="inlineStr">
        <x:is>
          <x:t xml:space="preserve">NEG-0737</x:t>
        </x:is>
      </x:c>
      <x:c r="B738" s="55" t="inlineStr">
        <x:is>
          <x:t xml:space="preserve">v5</x:t>
        </x:is>
      </x:c>
      <x:c r="C738" s="56" t="inlineStr">
        <x:is>
          <x:t xml:space="preserve">四、专有名词与固定名称</x:t>
        </x:is>
      </x:c>
      <x:c r="D738" s="56" t="inlineStr">
        <x:is>
          <x:t xml:space="preserve">4.6 历史与制度术语</x:t>
        </x:is>
      </x:c>
      <x:c r="E738" s="56" t="inlineStr">
        <x:is>
          <x:t xml:space="preserve">法律与司法</x:t>
        </x:is>
      </x:c>
      <x:c r="F738" s="56" t="inlineStr">
        <x:is>
          <x:t xml:space="preserve">法制史</x:t>
        </x:is>
      </x:c>
      <x:c r="G738" s="55" t="inlineStr">
        <x:is>
          <x:t xml:space="preserve">无</x:t>
        </x:is>
      </x:c>
      <x:c r="H738" s="55" t="str">
        <x:f>IF(LEN(I738)&lt;15,"短",IF(LEN(I738)&lt;=45,"中","长"))</x:f>
        <x:v>中</x:v>
      </x:c>
      <x:c r="I738" s="56" t="inlineStr">
        <x:is>
          <x:t xml:space="preserve">休妻在唐律中有“七出”之条，同时也有“三不去”的限制。</x:t>
        </x:is>
      </x:c>
      <x:c r="J738" s="56" t="str">
        <x:f>I738</x:f>
        <x:v>休妻在唐律中有“七出”之条，同时也有“三不去”的限制。</x:v>
      </x:c>
      <x:c r="K738" s="55" t="inlineStr">
        <x:is>
          <x:t xml:space="preserve">无需改写</x:t>
        </x:is>
      </x:c>
      <x:c r="L738" s="56" t="inlineStr">
        <x:is>
          <x:t xml:space="preserve">休妻/七出/三不去</x:t>
        </x:is>
      </x:c>
      <x:c r="M738" s="56" t="inlineStr">
        <x:is>
          <x:t xml:space="preserve">唐律的法定制度术语</x:t>
        </x:is>
      </x:c>
      <x:c r="N738" s="56" t="inlineStr">
        <x:is>
          <x:t xml:space="preserve">古代离异制度既有条件也有限制</x:t>
        </x:is>
      </x:c>
      <x:c r="O738" s="55" t="inlineStr">
        <x:is>
          <x:t xml:space="preserve">易</x:t>
        </x:is>
      </x:c>
      <x:c r="P738" s="55" t="inlineStr">
        <x:is>
          <x:t xml:space="preserve">否</x:t>
        </x:is>
      </x:c>
      <x:c r="Q738" s="56" t="n"/>
      <x:c r="R738" s="57" t="inlineStr">
        <x:is>
          <x:t xml:space="preserve">主集</x:t>
        </x:is>
      </x:c>
      <x:c r="S738" s="57" t="inlineStr">
        <x:is>
          <x:t xml:space="preserve">index</x:t>
        </x:is>
      </x:c>
      <x:c r="T738" s="57" t="inlineStr">
        <x:is>
          <x:t xml:space="preserve"/>
        </x:is>
      </x:c>
    </x:row>
    <x:row r="739" s="37" customFormat="1" ht="15" customHeight="1">
      <x:c r="A739" s="55" t="inlineStr">
        <x:is>
          <x:t xml:space="preserve">NEG-0738</x:t>
        </x:is>
      </x:c>
      <x:c r="B739" s="55" t="inlineStr">
        <x:is>
          <x:t xml:space="preserve">v5</x:t>
        </x:is>
      </x:c>
      <x:c r="C739" s="56" t="inlineStr">
        <x:is>
          <x:t xml:space="preserve">四、专有名词与固定名称</x:t>
        </x:is>
      </x:c>
      <x:c r="D739" s="56" t="inlineStr">
        <x:is>
          <x:t xml:space="preserve">4.6 历史与制度术语</x:t>
        </x:is>
      </x:c>
      <x:c r="E739" s="56" t="inlineStr">
        <x:is>
          <x:t xml:space="preserve">其他</x:t>
        </x:is>
      </x:c>
      <x:c r="F739" s="56" t="inlineStr">
        <x:is>
          <x:t xml:space="preserve">社会史</x:t>
        </x:is>
      </x:c>
      <x:c r="G739" s="55" t="inlineStr">
        <x:is>
          <x:t xml:space="preserve">无</x:t>
        </x:is>
      </x:c>
      <x:c r="H739" s="55" t="str">
        <x:f>IF(LEN(I739)&lt;15,"短",IF(LEN(I739)&lt;=45,"中","长"))</x:f>
        <x:v>中</x:v>
      </x:c>
      <x:c r="I739" s="56" t="inlineStr">
        <x:is>
          <x:t xml:space="preserve">女户是宋代户籍中的一类，指户内无男性成丁的家庭。</x:t>
        </x:is>
      </x:c>
      <x:c r="J739" s="56" t="str">
        <x:f>I739</x:f>
        <x:v>女户是宋代户籍中的一类，指户内无男性成丁的家庭。</x:v>
      </x:c>
      <x:c r="K739" s="55" t="inlineStr">
        <x:is>
          <x:t xml:space="preserve">无需改写</x:t>
        </x:is>
      </x:c>
      <x:c r="L739" s="56" t="inlineStr">
        <x:is>
          <x:t xml:space="preserve">女户/男性成丁</x:t>
        </x:is>
      </x:c>
      <x:c r="M739" s="56" t="inlineStr">
        <x:is>
          <x:t xml:space="preserve">历史户籍制度术语</x:t>
        </x:is>
      </x:c>
      <x:c r="N739" s="56" t="inlineStr">
        <x:is>
          <x:t xml:space="preserve">这是宋代户籍中的一类特殊家庭</x:t>
        </x:is>
      </x:c>
      <x:c r="O739" s="55" t="inlineStr">
        <x:is>
          <x:t xml:space="preserve">易</x:t>
        </x:is>
      </x:c>
      <x:c r="P739" s="55" t="inlineStr">
        <x:is>
          <x:t xml:space="preserve">否</x:t>
        </x:is>
      </x:c>
      <x:c r="Q739" s="56" t="n"/>
      <x:c r="R739" s="57" t="inlineStr">
        <x:is>
          <x:t xml:space="preserve">主集</x:t>
        </x:is>
      </x:c>
      <x:c r="S739" s="57" t="inlineStr">
        <x:is>
          <x:t xml:space="preserve">index</x:t>
        </x:is>
      </x:c>
      <x:c r="T739" s="57" t="inlineStr">
        <x:is>
          <x:t xml:space="preserve"/>
        </x:is>
      </x:c>
    </x:row>
    <x:row r="740" s="37" customFormat="1" ht="15" customHeight="1">
      <x:c r="A740" s="55" t="inlineStr">
        <x:is>
          <x:t xml:space="preserve">NEG-0739</x:t>
        </x:is>
      </x:c>
      <x:c r="B740" s="55" t="inlineStr">
        <x:is>
          <x:t xml:space="preserve">v5</x:t>
        </x:is>
      </x:c>
      <x:c r="C740" s="56" t="inlineStr">
        <x:is>
          <x:t xml:space="preserve">四、专有名词与固定名称</x:t>
        </x:is>
      </x:c>
      <x:c r="D740" s="56" t="inlineStr">
        <x:is>
          <x:t xml:space="preserve">4.6 历史与制度术语</x:t>
        </x:is>
      </x:c>
      <x:c r="E740" s="56" t="inlineStr">
        <x:is>
          <x:t xml:space="preserve">公文与规章</x:t>
        </x:is>
      </x:c>
      <x:c r="F740" s="56" t="inlineStr">
        <x:is>
          <x:t xml:space="preserve">制度史</x:t>
        </x:is>
      </x:c>
      <x:c r="G740" s="55" t="inlineStr">
        <x:is>
          <x:t xml:space="preserve">无</x:t>
        </x:is>
      </x:c>
      <x:c r="H740" s="55" t="str">
        <x:f>IF(LEN(I740)&lt;15,"短",IF(LEN(I740)&lt;=45,"中","长"))</x:f>
        <x:v>中</x:v>
      </x:c>
      <x:c r="I740" s="56" t="inlineStr">
        <x:is>
          <x:t xml:space="preserve">诰命夫人的封赠制度在明清两代都有详细规定。</x:t>
        </x:is>
      </x:c>
      <x:c r="J740" s="56" t="str">
        <x:f>I740</x:f>
        <x:v>诰命夫人的封赠制度在明清两代都有详细规定。</x:v>
      </x:c>
      <x:c r="K740" s="55" t="inlineStr">
        <x:is>
          <x:t xml:space="preserve">无需改写</x:t>
        </x:is>
      </x:c>
      <x:c r="L740" s="56" t="inlineStr">
        <x:is>
          <x:t xml:space="preserve">诰命夫人</x:t>
        </x:is>
      </x:c>
      <x:c r="M740" s="56" t="inlineStr">
        <x:is>
          <x:t xml:space="preserve">历史封赠制度名称</x:t>
        </x:is>
      </x:c>
      <x:c r="N740" s="56" t="inlineStr">
        <x:is>
          <x:t xml:space="preserve">该封赠制度在明清两代都有详细规定</x:t>
        </x:is>
      </x:c>
      <x:c r="O740" s="55" t="inlineStr">
        <x:is>
          <x:t xml:space="preserve">易</x:t>
        </x:is>
      </x:c>
      <x:c r="P740" s="55" t="inlineStr">
        <x:is>
          <x:t xml:space="preserve">否</x:t>
        </x:is>
      </x:c>
      <x:c r="Q740" s="56" t="n"/>
      <x:c r="R740" s="57" t="inlineStr">
        <x:is>
          <x:t xml:space="preserve">主集</x:t>
        </x:is>
      </x:c>
      <x:c r="S740" s="57" t="inlineStr">
        <x:is>
          <x:t xml:space="preserve">index</x:t>
        </x:is>
      </x:c>
      <x:c r="T740" s="57" t="inlineStr">
        <x:is>
          <x:t xml:space="preserve"/>
        </x:is>
      </x:c>
    </x:row>
    <x:row r="741" s="37" customFormat="1" ht="15" customHeight="1">
      <x:c r="A741" s="55" t="inlineStr">
        <x:is>
          <x:t xml:space="preserve">NEG-0740</x:t>
        </x:is>
      </x:c>
      <x:c r="B741" s="55" t="inlineStr">
        <x:is>
          <x:t xml:space="preserve">v5</x:t>
        </x:is>
      </x:c>
      <x:c r="C741" s="56" t="inlineStr">
        <x:is>
          <x:t xml:space="preserve">四、专有名词与固定名称</x:t>
        </x:is>
      </x:c>
      <x:c r="D741" s="56" t="inlineStr">
        <x:is>
          <x:t xml:space="preserve">4.6 历史与制度术语</x:t>
        </x:is>
      </x:c>
      <x:c r="E741" s="56" t="inlineStr">
        <x:is>
          <x:t xml:space="preserve">学术与调研</x:t>
        </x:is>
      </x:c>
      <x:c r="F741" s="56" t="inlineStr">
        <x:is>
          <x:t xml:space="preserve">考古发现</x:t>
        </x:is>
      </x:c>
      <x:c r="G741" s="55" t="inlineStr">
        <x:is>
          <x:t xml:space="preserve">无</x:t>
        </x:is>
      </x:c>
      <x:c r="H741" s="55" t="str">
        <x:f>IF(LEN(I741)&lt;15,"短",IF(LEN(I741)&lt;=45,"中","长"))</x:f>
        <x:v>中</x:v>
      </x:c>
      <x:c r="I741" s="56" t="inlineStr">
        <x:is>
          <x:t xml:space="preserve">妇好墓的发掘，改变了学界对商代女性地位的既有认识。</x:t>
        </x:is>
      </x:c>
      <x:c r="J741" s="56" t="str">
        <x:f>I741</x:f>
        <x:v>妇好墓的发掘，改变了学界对商代女性地位的既有认识。</x:v>
      </x:c>
      <x:c r="K741" s="55" t="inlineStr">
        <x:is>
          <x:t xml:space="preserve">无需改写</x:t>
        </x:is>
      </x:c>
      <x:c r="L741" s="56" t="inlineStr">
        <x:is>
          <x:t xml:space="preserve">妇好/女性地位</x:t>
        </x:is>
      </x:c>
      <x:c r="M741" s="56" t="inlineStr">
        <x:is>
          <x:t xml:space="preserve">墓主专名与研究结论</x:t>
        </x:is>
      </x:c>
      <x:c r="N741" s="56" t="inlineStr">
        <x:is>
          <x:t xml:space="preserve">这座墓的发掘改变了学界对商代社会的认识</x:t>
        </x:is>
      </x:c>
      <x:c r="O741" s="55" t="inlineStr">
        <x:is>
          <x:t xml:space="preserve">中</x:t>
        </x:is>
      </x:c>
      <x:c r="P741" s="55" t="inlineStr">
        <x:is>
          <x:t xml:space="preserve">否</x:t>
        </x:is>
      </x:c>
      <x:c r="Q741" s="56" t="n"/>
      <x:c r="R741" s="57" t="inlineStr">
        <x:is>
          <x:t xml:space="preserve">主集</x:t>
        </x:is>
      </x:c>
      <x:c r="S741" s="57" t="inlineStr">
        <x:is>
          <x:t xml:space="preserve">test</x:t>
        </x:is>
      </x:c>
      <x:c r="T741" s="57" t="inlineStr">
        <x:is>
          <x:t xml:space="preserve"/>
        </x:is>
      </x:c>
    </x:row>
    <x:row r="742" s="37" customFormat="1" ht="29.850000381469727" customHeight="1">
      <x:c r="A742" s="55" t="inlineStr">
        <x:is>
          <x:t xml:space="preserve">NEG-0741</x:t>
        </x:is>
      </x:c>
      <x:c r="B742" s="55" t="inlineStr">
        <x:is>
          <x:t xml:space="preserve">v5</x:t>
        </x:is>
      </x:c>
      <x:c r="C742" s="56" t="inlineStr">
        <x:is>
          <x:t xml:space="preserve">四、专有名词与固定名称</x:t>
        </x:is>
      </x:c>
      <x:c r="D742" s="56" t="inlineStr">
        <x:is>
          <x:t xml:space="preserve">4.6 历史与制度术语</x:t>
        </x:is>
      </x:c>
      <x:c r="E742" s="56" t="inlineStr">
        <x:is>
          <x:t xml:space="preserve">其他</x:t>
        </x:is>
      </x:c>
      <x:c r="F742" s="56" t="inlineStr">
        <x:is>
          <x:t xml:space="preserve">古籍讲读</x:t>
        </x:is>
      </x:c>
      <x:c r="G742" s="55" t="inlineStr">
        <x:is>
          <x:t xml:space="preserve">无</x:t>
        </x:is>
      </x:c>
      <x:c r="H742" s="55" t="str">
        <x:f>IF(LEN(I742)&lt;15,"短",IF(LEN(I742)&lt;=45,"中","长"))</x:f>
        <x:v>中</x:v>
      </x:c>
      <x:c r="I742" s="56" t="inlineStr">
        <x:is>
          <x:t xml:space="preserve">“男女授受不亲”出自《孟子》，原文其实有具体的语境限定。</x:t>
        </x:is>
      </x:c>
      <x:c r="J742" s="56" t="str">
        <x:f>I742</x:f>
        <x:v>“男女授受不亲”出自《孟子》，原文其实有具体的语境限定。</x:v>
      </x:c>
      <x:c r="K742" s="55" t="inlineStr">
        <x:is>
          <x:t xml:space="preserve">无需改写</x:t>
        </x:is>
      </x:c>
      <x:c r="L742" s="56" t="inlineStr">
        <x:is>
          <x:t xml:space="preserve">男女授受不亲</x:t>
        </x:is>
      </x:c>
      <x:c r="M742" s="56" t="inlineStr">
        <x:is>
          <x:t xml:space="preserve">经典成句，且句子在澄清其被误用</x:t>
        </x:is>
      </x:c>
      <x:c r="N742" s="56" t="inlineStr">
        <x:is>
          <x:t xml:space="preserve">这句常被引用的话出自《孟子》</x:t>
        </x:is>
      </x:c>
      <x:c r="O742" s="55" t="inlineStr">
        <x:is>
          <x:t xml:space="preserve">中</x:t>
        </x:is>
      </x:c>
      <x:c r="P742" s="55" t="inlineStr">
        <x:is>
          <x:t xml:space="preserve">否</x:t>
        </x:is>
      </x:c>
      <x:c r="Q742" s="56" t="n"/>
      <x:c r="R742" s="57" t="inlineStr">
        <x:is>
          <x:t xml:space="preserve">主集</x:t>
        </x:is>
      </x:c>
      <x:c r="S742" s="57" t="inlineStr">
        <x:is>
          <x:t xml:space="preserve">index</x:t>
        </x:is>
      </x:c>
      <x:c r="T742" s="57" t="inlineStr">
        <x:is>
          <x:t xml:space="preserve"/>
        </x:is>
      </x:c>
    </x:row>
    <x:row r="743" s="37" customFormat="1" ht="29.850000381469727" customHeight="1">
      <x:c r="A743" s="58" t="inlineStr">
        <x:is>
          <x:t xml:space="preserve">NEG-0742</x:t>
        </x:is>
      </x:c>
      <x:c r="B743" s="58" t="inlineStr">
        <x:is>
          <x:t xml:space="preserve">v5</x:t>
        </x:is>
      </x:c>
      <x:c r="C743" s="59" t="inlineStr">
        <x:is>
          <x:t xml:space="preserve">四、专有名词与固定名称</x:t>
        </x:is>
      </x:c>
      <x:c r="D743" s="59" t="inlineStr">
        <x:is>
          <x:t xml:space="preserve">4.6 历史与制度术语</x:t>
        </x:is>
      </x:c>
      <x:c r="E743" s="59" t="inlineStr">
        <x:is>
          <x:t xml:space="preserve">其他</x:t>
        </x:is>
      </x:c>
      <x:c r="F743" s="59" t="inlineStr">
        <x:is>
          <x:t xml:space="preserve">思想史</x:t>
        </x:is>
      </x:c>
      <x:c r="G743" s="58" t="inlineStr">
        <x:is>
          <x:t xml:space="preserve">无</x:t>
        </x:is>
      </x:c>
      <x:c r="H743" s="58" t="str">
        <x:f>IF(LEN(I743)&lt;15,"短",IF(LEN(I743)&lt;=45,"中","长"))</x:f>
        <x:v>中</x:v>
      </x:c>
      <x:c r="I743" s="59" t="inlineStr">
        <x:is>
          <x:t xml:space="preserve">“三从四德”是后世归纳的说法，并非某一部经典的原文。</x:t>
        </x:is>
      </x:c>
      <x:c r="J743" s="59" t="str">
        <x:f>I743</x:f>
        <x:v>“三从四德”是后世归纳的说法，并非某一部经典的原文。</x:v>
      </x:c>
      <x:c r="K743" s="58" t="inlineStr">
        <x:is>
          <x:t xml:space="preserve">无需改写</x:t>
        </x:is>
      </x:c>
      <x:c r="L743" s="59" t="inlineStr">
        <x:is>
          <x:t xml:space="preserve">三从四德</x:t>
        </x:is>
      </x:c>
      <x:c r="M743" s="59" t="inlineStr">
        <x:is>
          <x:t xml:space="preserve">历史概念，句子本身在作考辨</x:t>
        </x:is>
      </x:c>
      <x:c r="N743" s="59" t="inlineStr">
        <x:is>
          <x:t xml:space="preserve">这一说法是后世归纳的，并非经典原文</x:t>
        </x:is>
      </x:c>
      <x:c r="O743" s="58" t="inlineStr">
        <x:is>
          <x:t xml:space="preserve">中</x:t>
        </x:is>
      </x:c>
      <x:c r="P743" s="58" t="inlineStr">
        <x:is>
          <x:t xml:space="preserve">否</x:t>
        </x:is>
      </x:c>
      <x:c r="Q743" s="59" t="n"/>
      <x:c r="R743" s="60" t="inlineStr">
        <x:is>
          <x:t xml:space="preserve">隔离·待确认</x:t>
        </x:is>
      </x:c>
      <x:c r="S743" s="60" t="inlineStr">
        <x:is>
          <x:t xml:space="preserve"/>
        </x:is>
      </x:c>
      <x:c r="T743" s="60" t="inlineStr">
        <x:is>
          <x:t xml:space="preserve">触发词不含性别编码——判断可能依赖世界知识而非句内信息</x:t>
        </x:is>
      </x:c>
    </x:row>
    <x:row r="744" s="37" customFormat="1" ht="15" customHeight="1">
      <x:c r="A744" s="55" t="inlineStr">
        <x:is>
          <x:t xml:space="preserve">NEG-0743</x:t>
        </x:is>
      </x:c>
      <x:c r="B744" s="55" t="inlineStr">
        <x:is>
          <x:t xml:space="preserve">v5</x:t>
        </x:is>
      </x:c>
      <x:c r="C744" s="56" t="inlineStr">
        <x:is>
          <x:t xml:space="preserve">四、专有名词与固定名称</x:t>
        </x:is>
      </x:c>
      <x:c r="D744" s="56" t="inlineStr">
        <x:is>
          <x:t xml:space="preserve">4.7 学术与批判性概念</x:t>
        </x:is>
      </x:c>
      <x:c r="E744" s="56" t="inlineStr">
        <x:is>
          <x:t xml:space="preserve">学术与调研</x:t>
        </x:is>
      </x:c>
      <x:c r="F744" s="56" t="inlineStr">
        <x:is>
          <x:t xml:space="preserve">人类学</x:t>
        </x:is>
      </x:c>
      <x:c r="G744" s="55" t="inlineStr">
        <x:is>
          <x:t xml:space="preserve">无</x:t>
        </x:is>
      </x:c>
      <x:c r="H744" s="55" t="str">
        <x:f>IF(LEN(I744)&lt;15,"短",IF(LEN(I744)&lt;=45,"中","长"))</x:f>
        <x:v>中</x:v>
      </x:c>
      <x:c r="I744" s="56" t="inlineStr">
        <x:is>
          <x:t xml:space="preserve">母权制假说在人类学界早已不再被普遍接受。</x:t>
        </x:is>
      </x:c>
      <x:c r="J744" s="56" t="str">
        <x:f>I744</x:f>
        <x:v>母权制假说在人类学界早已不再被普遍接受。</x:v>
      </x:c>
      <x:c r="K744" s="55" t="inlineStr">
        <x:is>
          <x:t xml:space="preserve">无需改写</x:t>
        </x:is>
      </x:c>
      <x:c r="L744" s="56" t="inlineStr">
        <x:is>
          <x:t xml:space="preserve">母权制</x:t>
        </x:is>
      </x:c>
      <x:c r="M744" s="56" t="inlineStr">
        <x:is>
          <x:t xml:space="preserve">学术概念名称</x:t>
        </x:is>
      </x:c>
      <x:c r="N744" s="56" t="inlineStr">
        <x:is>
          <x:t xml:space="preserve">该假说在人类学界早已不被普遍接受</x:t>
        </x:is>
      </x:c>
      <x:c r="O744" s="55" t="inlineStr">
        <x:is>
          <x:t xml:space="preserve">中</x:t>
        </x:is>
      </x:c>
      <x:c r="P744" s="55" t="inlineStr">
        <x:is>
          <x:t xml:space="preserve">否</x:t>
        </x:is>
      </x:c>
      <x:c r="Q744" s="56" t="n"/>
      <x:c r="R744" s="57" t="inlineStr">
        <x:is>
          <x:t xml:space="preserve">主集</x:t>
        </x:is>
      </x:c>
      <x:c r="S744" s="57" t="inlineStr">
        <x:is>
          <x:t xml:space="preserve">dev</x:t>
        </x:is>
      </x:c>
      <x:c r="T744" s="57" t="inlineStr">
        <x:is>
          <x:t xml:space="preserve"/>
        </x:is>
      </x:c>
    </x:row>
    <x:row r="745" s="37" customFormat="1" ht="29.850000381469727" customHeight="1">
      <x:c r="A745" s="55" t="inlineStr">
        <x:is>
          <x:t xml:space="preserve">NEG-0744</x:t>
        </x:is>
      </x:c>
      <x:c r="B745" s="55" t="inlineStr">
        <x:is>
          <x:t xml:space="preserve">v5</x:t>
        </x:is>
      </x:c>
      <x:c r="C745" s="56" t="inlineStr">
        <x:is>
          <x:t xml:space="preserve">四、专有名词与固定名称</x:t>
        </x:is>
      </x:c>
      <x:c r="D745" s="56" t="inlineStr">
        <x:is>
          <x:t xml:space="preserve">4.7 学术与批判性概念</x:t>
        </x:is>
      </x:c>
      <x:c r="E745" s="56" t="inlineStr">
        <x:is>
          <x:t xml:space="preserve">学术与调研</x:t>
        </x:is>
      </x:c>
      <x:c r="F745" s="56" t="inlineStr">
        <x:is>
          <x:t xml:space="preserve">性别研究</x:t>
        </x:is>
      </x:c>
      <x:c r="G745" s="55" t="inlineStr">
        <x:is>
          <x:t xml:space="preserve">无</x:t>
        </x:is>
      </x:c>
      <x:c r="H745" s="55" t="str">
        <x:f>IF(LEN(I745)&lt;15,"短",IF(LEN(I745)&lt;=45,"中","长"))</x:f>
        <x:v>中</x:v>
      </x:c>
      <x:c r="I745" s="56" t="inlineStr">
        <x:is>
          <x:t xml:space="preserve">“男性气质”研究关注的是男性同样受到的规范约束。</x:t>
        </x:is>
      </x:c>
      <x:c r="J745" s="56" t="str">
        <x:f>I745</x:f>
        <x:v>“男性气质”研究关注的是男性同样受到的规范约束。</x:v>
      </x:c>
      <x:c r="K745" s="55" t="inlineStr">
        <x:is>
          <x:t xml:space="preserve">无需改写</x:t>
        </x:is>
      </x:c>
      <x:c r="L745" s="56" t="inlineStr">
        <x:is>
          <x:t xml:space="preserve">男性气质/男性</x:t>
        </x:is>
      </x:c>
      <x:c r="M745" s="56" t="inlineStr">
        <x:is>
          <x:t xml:space="preserve">学术领域名称与研究对象</x:t>
        </x:is>
      </x:c>
      <x:c r="N745" s="56" t="inlineStr">
        <x:is>
          <x:t xml:space="preserve">该领域研究关注的是人们受到的规范约束</x:t>
        </x:is>
      </x:c>
      <x:c r="O745" s="55" t="inlineStr">
        <x:is>
          <x:t xml:space="preserve">难</x:t>
        </x:is>
      </x:c>
      <x:c r="P745" s="55" t="inlineStr">
        <x:is>
          <x:t xml:space="preserve">否</x:t>
        </x:is>
      </x:c>
      <x:c r="Q745" s="56" t="inlineStr">
        <x:is>
          <x:t xml:space="preserve">删去性别会使整个研究领域失去所指</x:t>
        </x:is>
      </x:c>
      <x:c r="R745" s="57" t="inlineStr">
        <x:is>
          <x:t xml:space="preserve">主集</x:t>
        </x:is>
      </x:c>
      <x:c r="S745" s="57" t="inlineStr">
        <x:is>
          <x:t xml:space="preserve">index</x:t>
        </x:is>
      </x:c>
      <x:c r="T745" s="57" t="inlineStr">
        <x:is>
          <x:t xml:space="preserve"/>
        </x:is>
      </x:c>
    </x:row>
    <x:row r="746" s="37" customFormat="1" ht="15" customHeight="1">
      <x:c r="A746" s="55" t="inlineStr">
        <x:is>
          <x:t xml:space="preserve">NEG-0745</x:t>
        </x:is>
      </x:c>
      <x:c r="B746" s="55" t="inlineStr">
        <x:is>
          <x:t xml:space="preserve">v5</x:t>
        </x:is>
      </x:c>
      <x:c r="C746" s="56" t="inlineStr">
        <x:is>
          <x:t xml:space="preserve">四、专有名词与固定名称</x:t>
        </x:is>
      </x:c>
      <x:c r="D746" s="56" t="inlineStr">
        <x:is>
          <x:t xml:space="preserve">4.7 学术与批判性概念</x:t>
        </x:is>
      </x:c>
      <x:c r="E746" s="56" t="inlineStr">
        <x:is>
          <x:t xml:space="preserve">其他</x:t>
        </x:is>
      </x:c>
      <x:c r="F746" s="56" t="inlineStr">
        <x:is>
          <x:t xml:space="preserve">劳动社会学</x:t>
        </x:is>
      </x:c>
      <x:c r="G746" s="55" t="inlineStr">
        <x:is>
          <x:t xml:space="preserve">无</x:t>
        </x:is>
      </x:c>
      <x:c r="H746" s="55" t="str">
        <x:f>IF(LEN(I746)&lt;15,"短",IF(LEN(I746)&lt;=45,"中","长"))</x:f>
        <x:v>中</x:v>
      </x:c>
      <x:c r="I746" s="56" t="inlineStr">
        <x:is>
          <x:t xml:space="preserve">“粉领”指的是以女性从业者为主的服务性白领职业。</x:t>
        </x:is>
      </x:c>
      <x:c r="J746" s="56" t="str">
        <x:f>I746</x:f>
        <x:v>“粉领”指的是以女性从业者为主的服务性白领职业。</x:v>
      </x:c>
      <x:c r="K746" s="55" t="inlineStr">
        <x:is>
          <x:t xml:space="preserve">无需改写</x:t>
        </x:is>
      </x:c>
      <x:c r="L746" s="56" t="inlineStr">
        <x:is>
          <x:t xml:space="preserve">粉领/女性</x:t>
        </x:is>
      </x:c>
      <x:c r="M746" s="56" t="inlineStr">
        <x:is>
          <x:t xml:space="preserve">术语定义</x:t>
        </x:is>
      </x:c>
      <x:c r="N746" s="56" t="inlineStr">
        <x:is>
          <x:t xml:space="preserve">该术语指的是一类服务性白领职业</x:t>
        </x:is>
      </x:c>
      <x:c r="O746" s="55" t="inlineStr">
        <x:is>
          <x:t xml:space="preserve">难</x:t>
        </x:is>
      </x:c>
      <x:c r="P746" s="55" t="inlineStr">
        <x:is>
          <x:t xml:space="preserve">否</x:t>
        </x:is>
      </x:c>
      <x:c r="Q746" s="56" t="n"/>
      <x:c r="R746" s="57" t="inlineStr">
        <x:is>
          <x:t xml:space="preserve">主集</x:t>
        </x:is>
      </x:c>
      <x:c r="S746" s="57" t="inlineStr">
        <x:is>
          <x:t xml:space="preserve">index</x:t>
        </x:is>
      </x:c>
      <x:c r="T746" s="57" t="inlineStr">
        <x:is>
          <x:t xml:space="preserve"/>
        </x:is>
      </x:c>
    </x:row>
    <x:row r="747" s="37" customFormat="1" ht="15" customHeight="1">
      <x:c r="A747" s="58" t="inlineStr">
        <x:is>
          <x:t xml:space="preserve">NEG-0746</x:t>
        </x:is>
      </x:c>
      <x:c r="B747" s="58" t="inlineStr">
        <x:is>
          <x:t xml:space="preserve">v5</x:t>
        </x:is>
      </x:c>
      <x:c r="C747" s="59" t="inlineStr">
        <x:is>
          <x:t xml:space="preserve">四、专有名词与固定名称</x:t>
        </x:is>
      </x:c>
      <x:c r="D747" s="59" t="inlineStr">
        <x:is>
          <x:t xml:space="preserve">4.7 学术与批判性概念</x:t>
        </x:is>
      </x:c>
      <x:c r="E747" s="59" t="inlineStr">
        <x:is>
          <x:t xml:space="preserve">公文与规章</x:t>
        </x:is>
      </x:c>
      <x:c r="F747" s="59" t="inlineStr">
        <x:is>
          <x:t xml:space="preserve">社会政策</x:t>
        </x:is>
      </x:c>
      <x:c r="G747" s="58" t="inlineStr">
        <x:is>
          <x:t xml:space="preserve">无</x:t>
        </x:is>
      </x:c>
      <x:c r="H747" s="58" t="str">
        <x:f>IF(LEN(I747)&lt;15,"短",IF(LEN(I747)&lt;=45,"中","长"))</x:f>
        <x:v>中</x:v>
      </x:c>
      <x:c r="I747" s="59" t="inlineStr">
        <x:is>
          <x:t xml:space="preserve">“照护赤字”描述的是社会照护需求与供给之间的缺口。</x:t>
        </x:is>
      </x:c>
      <x:c r="J747" s="59" t="str">
        <x:f>I747</x:f>
        <x:v>“照护赤字”描述的是社会照护需求与供给之间的缺口。</x:v>
      </x:c>
      <x:c r="K747" s="58" t="inlineStr">
        <x:is>
          <x:t xml:space="preserve">无需改写</x:t>
        </x:is>
      </x:c>
      <x:c r="L747" s="59" t="inlineStr">
        <x:is>
          <x:t xml:space="preserve">照护赤字</x:t>
        </x:is>
      </x:c>
      <x:c r="M747" s="59" t="inlineStr">
        <x:is>
          <x:t xml:space="preserve">术语定义</x:t>
        </x:is>
      </x:c>
      <x:c r="N747" s="59" t="inlineStr">
        <x:is>
          <x:t xml:space="preserve">该概念描述的是需求与供给之间的缺口</x:t>
        </x:is>
      </x:c>
      <x:c r="O747" s="58" t="inlineStr">
        <x:is>
          <x:t xml:space="preserve">易</x:t>
        </x:is>
      </x:c>
      <x:c r="P747" s="58" t="inlineStr">
        <x:is>
          <x:t xml:space="preserve">否</x:t>
        </x:is>
      </x:c>
      <x:c r="Q747" s="59" t="n"/>
      <x:c r="R747" s="60" t="inlineStr">
        <x:is>
          <x:t xml:space="preserve">隔离·待确认</x:t>
        </x:is>
      </x:c>
      <x:c r="S747" s="60" t="inlineStr">
        <x:is>
          <x:t xml:space="preserve"/>
        </x:is>
      </x:c>
      <x:c r="T747" s="60" t="inlineStr">
        <x:is>
          <x:t xml:space="preserve">触发词不含性别编码——判断可能依赖世界知识而非句内信息</x:t>
        </x:is>
      </x:c>
    </x:row>
    <x:row r="748" s="37" customFormat="1" ht="29.850000381469727" customHeight="1">
      <x:c r="A748" s="55" t="inlineStr">
        <x:is>
          <x:t xml:space="preserve">NEG-0747</x:t>
        </x:is>
      </x:c>
      <x:c r="B748" s="55" t="inlineStr">
        <x:is>
          <x:t xml:space="preserve">v5</x:t>
        </x:is>
      </x:c>
      <x:c r="C748" s="56" t="inlineStr">
        <x:is>
          <x:t xml:space="preserve">四、专有名词与固定名称</x:t>
        </x:is>
      </x:c>
      <x:c r="D748" s="56" t="inlineStr">
        <x:is>
          <x:t xml:space="preserve">4.7 学术与批判性概念</x:t>
        </x:is>
      </x:c>
      <x:c r="E748" s="56" t="inlineStr">
        <x:is>
          <x:t xml:space="preserve">学术与调研</x:t>
        </x:is>
      </x:c>
      <x:c r="F748" s="56" t="inlineStr">
        <x:is>
          <x:t xml:space="preserve">性别研究</x:t>
        </x:is>
      </x:c>
      <x:c r="G748" s="55" t="inlineStr">
        <x:is>
          <x:t xml:space="preserve">无</x:t>
        </x:is>
      </x:c>
      <x:c r="H748" s="55" t="str">
        <x:f>IF(LEN(I748)&lt;15,"短",IF(LEN(I748)&lt;=45,"中","长"))</x:f>
        <x:v>中</x:v>
      </x:c>
      <x:c r="I748" s="56" t="inlineStr">
        <x:is>
          <x:t xml:space="preserve">“荡妇羞辱”与“处女情结”在同一套观念体系里互为表里。</x:t>
        </x:is>
      </x:c>
      <x:c r="J748" s="56" t="str">
        <x:f>I748</x:f>
        <x:v>“荡妇羞辱”与“处女情结”在同一套观念体系里互为表里。</x:v>
      </x:c>
      <x:c r="K748" s="55" t="inlineStr">
        <x:is>
          <x:t xml:space="preserve">无需改写</x:t>
        </x:is>
      </x:c>
      <x:c r="L748" s="56" t="inlineStr">
        <x:is>
          <x:t xml:space="preserve">荡妇羞辱/处女情结</x:t>
        </x:is>
      </x:c>
      <x:c r="M748" s="56" t="inlineStr">
        <x:is>
          <x:t xml:space="preserve">批判性学术术语，是分析对象</x:t>
        </x:is>
      </x:c>
      <x:c r="N748" s="56" t="inlineStr">
        <x:is>
          <x:t xml:space="preserve">两种相关观念在同一体系里互为表里</x:t>
        </x:is>
      </x:c>
      <x:c r="O748" s="55" t="inlineStr">
        <x:is>
          <x:t xml:space="preserve">难</x:t>
        </x:is>
      </x:c>
      <x:c r="P748" s="55" t="inlineStr">
        <x:is>
          <x:t xml:space="preserve">否</x:t>
        </x:is>
      </x:c>
      <x:c r="Q748" s="56" t="n"/>
      <x:c r="R748" s="57" t="inlineStr">
        <x:is>
          <x:t xml:space="preserve">主集</x:t>
        </x:is>
      </x:c>
      <x:c r="S748" s="57" t="inlineStr">
        <x:is>
          <x:t xml:space="preserve">dev</x:t>
        </x:is>
      </x:c>
      <x:c r="T748" s="57" t="inlineStr">
        <x:is>
          <x:t xml:space="preserve"/>
        </x:is>
      </x:c>
    </x:row>
    <x:row r="749" s="37" customFormat="1" ht="15" customHeight="1">
      <x:c r="A749" s="55" t="inlineStr">
        <x:is>
          <x:t xml:space="preserve">NEG-0748</x:t>
        </x:is>
      </x:c>
      <x:c r="B749" s="55" t="inlineStr">
        <x:is>
          <x:t xml:space="preserve">v5</x:t>
        </x:is>
      </x:c>
      <x:c r="C749" s="56" t="inlineStr">
        <x:is>
          <x:t xml:space="preserve">四、专有名词与固定名称</x:t>
        </x:is>
      </x:c>
      <x:c r="D749" s="56" t="inlineStr">
        <x:is>
          <x:t xml:space="preserve">4.8 品牌、产品与商业名称</x:t>
        </x:is>
      </x:c>
      <x:c r="E749" s="56" t="inlineStr">
        <x:is>
          <x:t xml:space="preserve">其他</x:t>
        </x:is>
      </x:c>
      <x:c r="F749" s="56" t="inlineStr">
        <x:is>
          <x:t xml:space="preserve">城市观察</x:t>
        </x:is>
      </x:c>
      <x:c r="G749" s="55" t="inlineStr">
        <x:is>
          <x:t xml:space="preserve">无</x:t>
        </x:is>
      </x:c>
      <x:c r="H749" s="55" t="str">
        <x:f>IF(LEN(I749)&lt;15,"短",IF(LEN(I749)&lt;=45,"中","长"))</x:f>
        <x:v>中</x:v>
      </x:c>
      <x:c r="I749" s="56" t="inlineStr">
        <x:is>
          <x:t xml:space="preserve">这家老百货至今保留着“男装部”“女鞋区”的旧称呼。</x:t>
        </x:is>
      </x:c>
      <x:c r="J749" s="56" t="str">
        <x:f>I749</x:f>
        <x:v>这家老百货至今保留着“男装部”“女鞋区”的旧称呼。</x:v>
      </x:c>
      <x:c r="K749" s="55" t="inlineStr">
        <x:is>
          <x:t xml:space="preserve">无需改写</x:t>
        </x:is>
      </x:c>
      <x:c r="L749" s="56" t="inlineStr">
        <x:is>
          <x:t xml:space="preserve">男装部/女鞋区</x:t>
        </x:is>
      </x:c>
      <x:c r="M749" s="56" t="inlineStr">
        <x:is>
          <x:t xml:space="preserve">对既有标识的记述</x:t>
        </x:is>
      </x:c>
      <x:c r="N749" s="56" t="inlineStr">
        <x:is>
          <x:t xml:space="preserve">这家老百货至今保留着旧式分区称呼</x:t>
        </x:is>
      </x:c>
      <x:c r="O749" s="55" t="inlineStr">
        <x:is>
          <x:t xml:space="preserve">中</x:t>
        </x:is>
      </x:c>
      <x:c r="P749" s="55" t="inlineStr">
        <x:is>
          <x:t xml:space="preserve">否</x:t>
        </x:is>
      </x:c>
      <x:c r="Q749" s="56" t="n"/>
      <x:c r="R749" s="57" t="inlineStr">
        <x:is>
          <x:t xml:space="preserve">主集</x:t>
        </x:is>
      </x:c>
      <x:c r="S749" s="57" t="inlineStr">
        <x:is>
          <x:t xml:space="preserve">test</x:t>
        </x:is>
      </x:c>
      <x:c r="T749" s="57" t="inlineStr">
        <x:is>
          <x:t xml:space="preserve"/>
        </x:is>
      </x:c>
    </x:row>
    <x:row r="750" s="37" customFormat="1" ht="29.850000381469727" customHeight="1">
      <x:c r="A750" s="55" t="inlineStr">
        <x:is>
          <x:t xml:space="preserve">NEG-0749</x:t>
        </x:is>
      </x:c>
      <x:c r="B750" s="55" t="inlineStr">
        <x:is>
          <x:t xml:space="preserve">v5</x:t>
        </x:is>
      </x:c>
      <x:c r="C750" s="56" t="inlineStr">
        <x:is>
          <x:t xml:space="preserve">四、专有名词与固定名称</x:t>
        </x:is>
      </x:c>
      <x:c r="D750" s="56" t="inlineStr">
        <x:is>
          <x:t xml:space="preserve">4.8 品牌、产品与商业名称</x:t>
        </x:is>
      </x:c>
      <x:c r="E750" s="56" t="inlineStr">
        <x:is>
          <x:t xml:space="preserve">其他</x:t>
        </x:is>
      </x:c>
      <x:c r="F750" s="56" t="inlineStr">
        <x:is>
          <x:t xml:space="preserve">营销批评</x:t>
        </x:is>
      </x:c>
      <x:c r="G750" s="55" t="inlineStr">
        <x:is>
          <x:t xml:space="preserve">无</x:t>
        </x:is>
      </x:c>
      <x:c r="H750" s="55" t="str">
        <x:f>IF(LEN(I750)&lt;15,"短",IF(LEN(I750)&lt;=45,"中","长"))</x:f>
        <x:v>中</x:v>
      </x:c>
      <x:c r="I750" s="56" t="inlineStr">
        <x:is>
          <x:t xml:space="preserve">“她力量”“他经济”这类造词，近两年在文案里已经泛滥。</x:t>
        </x:is>
      </x:c>
      <x:c r="J750" s="56" t="str">
        <x:f>I750</x:f>
        <x:v>“她力量”“他经济”这类造词，近两年在文案里已经泛滥。</x:v>
      </x:c>
      <x:c r="K750" s="55" t="inlineStr">
        <x:is>
          <x:t xml:space="preserve">无需改写</x:t>
        </x:is>
      </x:c>
      <x:c r="L750" s="56" t="inlineStr">
        <x:is>
          <x:t xml:space="preserve">她力量/他经济</x:t>
        </x:is>
      </x:c>
      <x:c r="M750" s="56" t="inlineStr">
        <x:is>
          <x:t xml:space="preserve">被批评的营销造词</x:t>
        </x:is>
      </x:c>
      <x:c r="N750" s="56" t="inlineStr">
        <x:is>
          <x:t xml:space="preserve">这类性别化造词近两年在文案里已经泛滥</x:t>
        </x:is>
      </x:c>
      <x:c r="O750" s="55" t="inlineStr">
        <x:is>
          <x:t xml:space="preserve">难</x:t>
        </x:is>
      </x:c>
      <x:c r="P750" s="55" t="inlineStr">
        <x:is>
          <x:t xml:space="preserve">否</x:t>
        </x:is>
      </x:c>
      <x:c r="Q750" s="56" t="n"/>
      <x:c r="R750" s="57" t="inlineStr">
        <x:is>
          <x:t xml:space="preserve">主集</x:t>
        </x:is>
      </x:c>
      <x:c r="S750" s="57" t="inlineStr">
        <x:is>
          <x:t xml:space="preserve">test</x:t>
        </x:is>
      </x:c>
      <x:c r="T750" s="57" t="inlineStr">
        <x:is>
          <x:t xml:space="preserve"/>
        </x:is>
      </x:c>
    </x:row>
    <x:row r="751" s="37" customFormat="1" ht="15" customHeight="1">
      <x:c r="A751" s="55" t="inlineStr">
        <x:is>
          <x:t xml:space="preserve">NEG-0750</x:t>
        </x:is>
      </x:c>
      <x:c r="B751" s="55" t="inlineStr">
        <x:is>
          <x:t xml:space="preserve">v5</x:t>
        </x:is>
      </x:c>
      <x:c r="C751" s="56" t="inlineStr">
        <x:is>
          <x:t xml:space="preserve">四、专有名词与固定名称</x:t>
        </x:is>
      </x:c>
      <x:c r="D751" s="56" t="inlineStr">
        <x:is>
          <x:t xml:space="preserve">4.8 品牌、产品与商业名称</x:t>
        </x:is>
      </x:c>
      <x:c r="E751" s="56" t="inlineStr">
        <x:is>
          <x:t xml:space="preserve">其他</x:t>
        </x:is>
      </x:c>
      <x:c r="F751" s="56" t="inlineStr">
        <x:is>
          <x:t xml:space="preserve">电商数据</x:t>
        </x:is>
      </x:c>
      <x:c r="G751" s="55" t="inlineStr">
        <x:is>
          <x:t xml:space="preserve">无</x:t>
        </x:is>
      </x:c>
      <x:c r="H751" s="55" t="str">
        <x:f>IF(LEN(I751)&lt;15,"短",IF(LEN(I751)&lt;=45,"中","长"))</x:f>
        <x:v>中</x:v>
      </x:c>
      <x:c r="I751" s="56" t="inlineStr">
        <x:is>
          <x:t xml:space="preserve">母婴品类的客单价高于平台平均水平约四成。</x:t>
        </x:is>
      </x:c>
      <x:c r="J751" s="56" t="str">
        <x:f>I751</x:f>
        <x:v>母婴品类的客单价高于平台平均水平约四成。</x:v>
      </x:c>
      <x:c r="K751" s="55" t="inlineStr">
        <x:is>
          <x:t xml:space="preserve">无需改写</x:t>
        </x:is>
      </x:c>
      <x:c r="L751" s="56" t="inlineStr">
        <x:is>
          <x:t xml:space="preserve">母婴品类</x:t>
        </x:is>
      </x:c>
      <x:c r="M751" s="56" t="inlineStr">
        <x:is>
          <x:t xml:space="preserve">商品类目名称</x:t>
        </x:is>
      </x:c>
      <x:c r="N751" s="56" t="inlineStr">
        <x:is>
          <x:t xml:space="preserve">该品类的客单价高于平台平均水平</x:t>
        </x:is>
      </x:c>
      <x:c r="O751" s="55" t="inlineStr">
        <x:is>
          <x:t xml:space="preserve">易</x:t>
        </x:is>
      </x:c>
      <x:c r="P751" s="55" t="inlineStr">
        <x:is>
          <x:t xml:space="preserve">否</x:t>
        </x:is>
      </x:c>
      <x:c r="Q751" s="56" t="n"/>
      <x:c r="R751" s="57" t="inlineStr">
        <x:is>
          <x:t xml:space="preserve">主集</x:t>
        </x:is>
      </x:c>
      <x:c r="S751" s="57" t="inlineStr">
        <x:is>
          <x:t xml:space="preserve">index</x:t>
        </x:is>
      </x:c>
      <x:c r="T751" s="57" t="inlineStr">
        <x:is>
          <x:t xml:space="preserve"/>
        </x:is>
      </x:c>
    </x:row>
    <x:row r="752" s="37" customFormat="1" ht="29.850000381469727" customHeight="1">
      <x:c r="A752" s="58" t="inlineStr">
        <x:is>
          <x:t xml:space="preserve">NEG-0751</x:t>
        </x:is>
      </x:c>
      <x:c r="B752" s="58" t="inlineStr">
        <x:is>
          <x:t xml:space="preserve">v5</x:t>
        </x:is>
      </x:c>
      <x:c r="C752" s="59" t="inlineStr">
        <x:is>
          <x:t xml:space="preserve">四、专有名词与固定名称</x:t>
        </x:is>
      </x:c>
      <x:c r="D752" s="59" t="inlineStr">
        <x:is>
          <x:t xml:space="preserve">4.8 品牌、产品与商业名称</x:t>
        </x:is>
      </x:c>
      <x:c r="E752" s="59" t="inlineStr">
        <x:is>
          <x:t xml:space="preserve">商业与产品</x:t>
        </x:is>
      </x:c>
      <x:c r="F752" s="59" t="inlineStr">
        <x:is>
          <x:t xml:space="preserve">品牌规范</x:t>
        </x:is>
      </x:c>
      <x:c r="G752" s="58" t="inlineStr">
        <x:is>
          <x:t xml:space="preserve">无</x:t>
        </x:is>
      </x:c>
      <x:c r="H752" s="58" t="str">
        <x:f>IF(LEN(I752)&lt;15,"短",IF(LEN(I752)&lt;=45,"中","长"))</x:f>
        <x:v>中</x:v>
      </x:c>
      <x:c r="I752" s="59" t="inlineStr">
        <x:is>
          <x:t xml:space="preserve">这条产品线的注册名是“绅士系列”，宣传物料中不得改写。</x:t>
        </x:is>
      </x:c>
      <x:c r="J752" s="59" t="str">
        <x:f>I752</x:f>
        <x:v>这条产品线的注册名是“绅士系列”，宣传物料中不得改写。</x:v>
      </x:c>
      <x:c r="K752" s="58" t="inlineStr">
        <x:is>
          <x:t xml:space="preserve">无需改写</x:t>
        </x:is>
      </x:c>
      <x:c r="L752" s="59" t="inlineStr">
        <x:is>
          <x:t xml:space="preserve">绅士系列</x:t>
        </x:is>
      </x:c>
      <x:c r="M752" s="59" t="inlineStr">
        <x:is>
          <x:t xml:space="preserve">注册名称受法律保护</x:t>
        </x:is>
      </x:c>
      <x:c r="N752" s="59" t="inlineStr">
        <x:is>
          <x:t xml:space="preserve">这条产品线的注册名不得改写</x:t>
        </x:is>
      </x:c>
      <x:c r="O752" s="58" t="inlineStr">
        <x:is>
          <x:t xml:space="preserve">易</x:t>
        </x:is>
      </x:c>
      <x:c r="P752" s="58" t="inlineStr">
        <x:is>
          <x:t xml:space="preserve">否</x:t>
        </x:is>
      </x:c>
      <x:c r="Q752" s="59" t="n"/>
      <x:c r="R752" s="60" t="inlineStr">
        <x:is>
          <x:t xml:space="preserve">隔离·待确认</x:t>
        </x:is>
      </x:c>
      <x:c r="S752" s="60" t="inlineStr">
        <x:is>
          <x:t xml:space="preserve"/>
        </x:is>
      </x:c>
      <x:c r="T752" s="60" t="inlineStr">
        <x:is>
          <x:t xml:space="preserve">触发词不含性别编码——判断可能依赖世界知识而非句内信息</x:t>
        </x:is>
      </x:c>
    </x:row>
    <x:row r="753" s="37" customFormat="1" ht="29.850000381469727" customHeight="1">
      <x:c r="A753" s="55" t="inlineStr">
        <x:is>
          <x:t xml:space="preserve">NEG-0752</x:t>
        </x:is>
      </x:c>
      <x:c r="B753" s="55" t="inlineStr">
        <x:is>
          <x:t xml:space="preserve">v5</x:t>
        </x:is>
      </x:c>
      <x:c r="C753" s="56" t="inlineStr">
        <x:is>
          <x:t xml:space="preserve">五、引用与转述</x:t>
        </x:is>
      </x:c>
      <x:c r="D753" s="56" t="inlineStr">
        <x:is>
          <x:t xml:space="preserve">5.1 直接引语</x:t>
        </x:is>
      </x:c>
      <x:c r="E753" s="56" t="inlineStr">
        <x:is>
          <x:t xml:space="preserve">社交与社区</x:t>
        </x:is>
      </x:c>
      <x:c r="F753" s="56" t="inlineStr">
        <x:is>
          <x:t xml:space="preserve">社交媒体</x:t>
        </x:is>
      </x:c>
      <x:c r="G753" s="55" t="inlineStr">
        <x:is>
          <x:t xml:space="preserve">无</x:t>
        </x:is>
      </x:c>
      <x:c r="H753" s="55" t="str">
        <x:f>IF(LEN(I753)&lt;15,"短",IF(LEN(I753)&lt;=45,"中","长"))</x:f>
        <x:v>中</x:v>
      </x:c>
      <x:c r="I753" s="56" t="inlineStr">
        <x:is>
          <x:t xml:space="preserve">原博那句“我妈这辈子没为自己活过一天”，转发量过了十万。</x:t>
        </x:is>
      </x:c>
      <x:c r="J753" s="56" t="str">
        <x:f>I753</x:f>
        <x:v>原博那句“我妈这辈子没为自己活过一天”，转发量过了十万。</x:v>
      </x:c>
      <x:c r="K753" s="55" t="inlineStr">
        <x:is>
          <x:t xml:space="preserve">无需改写</x:t>
        </x:is>
      </x:c>
      <x:c r="L753" s="56" t="inlineStr">
        <x:is>
          <x:t xml:space="preserve">我妈</x:t>
        </x:is>
      </x:c>
      <x:c r="M753" s="56" t="inlineStr">
        <x:is>
          <x:t xml:space="preserve">被引用的原文</x:t>
        </x:is>
      </x:c>
      <x:c r="N753" s="56" t="inlineStr">
        <x:is>
          <x:t xml:space="preserve">原博关于母亲一生的那句话转发量过十万</x:t>
        </x:is>
      </x:c>
      <x:c r="O753" s="55" t="inlineStr">
        <x:is>
          <x:t xml:space="preserve">难</x:t>
        </x:is>
      </x:c>
      <x:c r="P753" s="55" t="inlineStr">
        <x:is>
          <x:t xml:space="preserve">否</x:t>
        </x:is>
      </x:c>
      <x:c r="Q753" s="56" t="n"/>
      <x:c r="R753" s="57" t="inlineStr">
        <x:is>
          <x:t xml:space="preserve">主集</x:t>
        </x:is>
      </x:c>
      <x:c r="S753" s="57" t="inlineStr">
        <x:is>
          <x:t xml:space="preserve">index</x:t>
        </x:is>
      </x:c>
      <x:c r="T753" s="57" t="inlineStr">
        <x:is>
          <x:t xml:space="preserve"/>
        </x:is>
      </x:c>
    </x:row>
    <x:row r="754" s="37" customFormat="1" ht="15" customHeight="1">
      <x:c r="A754" s="55" t="inlineStr">
        <x:is>
          <x:t xml:space="preserve">NEG-0753</x:t>
        </x:is>
      </x:c>
      <x:c r="B754" s="55" t="inlineStr">
        <x:is>
          <x:t xml:space="preserve">v5</x:t>
        </x:is>
      </x:c>
      <x:c r="C754" s="56" t="inlineStr">
        <x:is>
          <x:t xml:space="preserve">五、引用与转述</x:t>
        </x:is>
      </x:c>
      <x:c r="D754" s="56" t="inlineStr">
        <x:is>
          <x:t xml:space="preserve">5.1 直接引语</x:t>
        </x:is>
      </x:c>
      <x:c r="E754" s="56" t="inlineStr">
        <x:is>
          <x:t xml:space="preserve">法律与司法</x:t>
        </x:is>
      </x:c>
      <x:c r="F754" s="56" t="inlineStr">
        <x:is>
          <x:t xml:space="preserve">庭审证据</x:t>
        </x:is>
      </x:c>
      <x:c r="G754" s="55" t="inlineStr">
        <x:is>
          <x:t xml:space="preserve">无</x:t>
        </x:is>
      </x:c>
      <x:c r="H754" s="55" t="str">
        <x:f>IF(LEN(I754)&lt;15,"短",IF(LEN(I754)&lt;=45,"中","长"))</x:f>
        <x:v>中</x:v>
      </x:c>
      <x:c r="I754" s="56" t="inlineStr">
        <x:is>
          <x:t xml:space="preserve">截图里“你一个女的懂什么”这句，是全案的关键证据。</x:t>
        </x:is>
      </x:c>
      <x:c r="J754" s="56" t="str">
        <x:f>I754</x:f>
        <x:v>截图里“你一个女的懂什么”这句，是全案的关键证据。</x:v>
      </x:c>
      <x:c r="K754" s="55" t="inlineStr">
        <x:is>
          <x:t xml:space="preserve">无需改写</x:t>
        </x:is>
      </x:c>
      <x:c r="L754" s="56" t="inlineStr">
        <x:is>
          <x:t xml:space="preserve">你一个女的懂什么</x:t>
        </x:is>
      </x:c>
      <x:c r="M754" s="56" t="inlineStr">
        <x:is>
          <x:t xml:space="preserve">证据原文，改写即毁证</x:t>
        </x:is>
      </x:c>
      <x:c r="N754" s="56" t="inlineStr">
        <x:is>
          <x:t xml:space="preserve">截图里那句侮辱性言论是全案关键证据</x:t>
        </x:is>
      </x:c>
      <x:c r="O754" s="55" t="inlineStr">
        <x:is>
          <x:t xml:space="preserve">难</x:t>
        </x:is>
      </x:c>
      <x:c r="P754" s="55" t="inlineStr">
        <x:is>
          <x:t xml:space="preserve">否</x:t>
        </x:is>
      </x:c>
      <x:c r="Q754" s="56" t="n"/>
      <x:c r="R754" s="57" t="inlineStr">
        <x:is>
          <x:t xml:space="preserve">主集</x:t>
        </x:is>
      </x:c>
      <x:c r="S754" s="57" t="inlineStr">
        <x:is>
          <x:t xml:space="preserve">index</x:t>
        </x:is>
      </x:c>
      <x:c r="T754" s="57" t="inlineStr">
        <x:is>
          <x:t xml:space="preserve"/>
        </x:is>
      </x:c>
    </x:row>
    <x:row r="755" s="37" customFormat="1" ht="15" customHeight="1">
      <x:c r="A755" s="55" t="inlineStr">
        <x:is>
          <x:t xml:space="preserve">NEG-0754</x:t>
        </x:is>
      </x:c>
      <x:c r="B755" s="55" t="inlineStr">
        <x:is>
          <x:t xml:space="preserve">v5</x:t>
        </x:is>
      </x:c>
      <x:c r="C755" s="56" t="inlineStr">
        <x:is>
          <x:t xml:space="preserve">五、引用与转述</x:t>
        </x:is>
      </x:c>
      <x:c r="D755" s="56" t="inlineStr">
        <x:is>
          <x:t xml:space="preserve">5.1 直接引语</x:t>
        </x:is>
      </x:c>
      <x:c r="E755" s="56" t="inlineStr">
        <x:is>
          <x:t xml:space="preserve">文艺创作与评论</x:t>
        </x:is>
      </x:c>
      <x:c r="F755" s="56" t="inlineStr">
        <x:is>
          <x:t xml:space="preserve">演讲逐字稿</x:t>
        </x:is>
      </x:c>
      <x:c r="G755" s="55" t="inlineStr">
        <x:is>
          <x:t xml:space="preserve">无</x:t>
        </x:is>
      </x:c>
      <x:c r="H755" s="55" t="str">
        <x:f>IF(LEN(I755)&lt;15,"短",IF(LEN(I755)&lt;=45,"中","长"))</x:f>
        <x:v>中</x:v>
      </x:c>
      <x:c r="I755" s="56" t="inlineStr">
        <x:is>
          <x:t xml:space="preserve">她在台上说：“我父亲不识字，但他知道供女儿读书。”</x:t>
        </x:is>
      </x:c>
      <x:c r="J755" s="56" t="str">
        <x:f>I755</x:f>
        <x:v>她在台上说：“我父亲不识字，但他知道供女儿读书。”</x:v>
      </x:c>
      <x:c r="K755" s="55" t="inlineStr">
        <x:is>
          <x:t xml:space="preserve">无需改写</x:t>
        </x:is>
      </x:c>
      <x:c r="L755" s="56" t="inlineStr">
        <x:is>
          <x:t xml:space="preserve">父亲/他/女儿</x:t>
        </x:is>
      </x:c>
      <x:c r="M755" s="56" t="inlineStr">
        <x:is>
          <x:t xml:space="preserve">演讲原话</x:t>
        </x:is>
      </x:c>
      <x:c r="N755" s="56" t="inlineStr">
        <x:is>
          <x:t xml:space="preserve">她在台上谈到了家人对教育的支持</x:t>
        </x:is>
      </x:c>
      <x:c r="O755" s="55" t="inlineStr">
        <x:is>
          <x:t xml:space="preserve">难</x:t>
        </x:is>
      </x:c>
      <x:c r="P755" s="55" t="inlineStr">
        <x:is>
          <x:t xml:space="preserve">否</x:t>
        </x:is>
      </x:c>
      <x:c r="Q755" s="56" t="n"/>
      <x:c r="R755" s="57" t="inlineStr">
        <x:is>
          <x:t xml:space="preserve">主集</x:t>
        </x:is>
      </x:c>
      <x:c r="S755" s="57" t="inlineStr">
        <x:is>
          <x:t xml:space="preserve">dev</x:t>
        </x:is>
      </x:c>
      <x:c r="T755" s="57" t="inlineStr">
        <x:is>
          <x:t xml:space="preserve"/>
        </x:is>
      </x:c>
    </x:row>
    <x:row r="756" s="37" customFormat="1" ht="29.850000381469727" customHeight="1">
      <x:c r="A756" s="55" t="inlineStr">
        <x:is>
          <x:t xml:space="preserve">NEG-0755</x:t>
        </x:is>
      </x:c>
      <x:c r="B756" s="55" t="inlineStr">
        <x:is>
          <x:t xml:space="preserve">v5</x:t>
        </x:is>
      </x:c>
      <x:c r="C756" s="56" t="inlineStr">
        <x:is>
          <x:t xml:space="preserve">五、引用与转述</x:t>
        </x:is>
      </x:c>
      <x:c r="D756" s="56" t="inlineStr">
        <x:is>
          <x:t xml:space="preserve">5.1 直接引语</x:t>
        </x:is>
      </x:c>
      <x:c r="E756" s="56" t="inlineStr">
        <x:is>
          <x:t xml:space="preserve">新闻报道</x:t>
        </x:is>
      </x:c>
      <x:c r="F756" s="56" t="inlineStr">
        <x:is>
          <x:t xml:space="preserve">乡村报道</x:t>
        </x:is>
      </x:c>
      <x:c r="G756" s="55" t="inlineStr">
        <x:is>
          <x:t xml:space="preserve">无</x:t>
        </x:is>
      </x:c>
      <x:c r="H756" s="55" t="str">
        <x:f>IF(LEN(I756)&lt;15,"短",IF(LEN(I756)&lt;=45,"中","长"))</x:f>
        <x:v>中</x:v>
      </x:c>
      <x:c r="I756" s="56" t="inlineStr">
        <x:is>
          <x:t xml:space="preserve">“我们村第一个考出去的女娃就是她。”老支书说这话时挺自豪。</x:t>
        </x:is>
      </x:c>
      <x:c r="J756" s="56" t="str">
        <x:f>I756</x:f>
        <x:v>“我们村第一个考出去的女娃就是她。”老支书说这话时挺自豪。</x:v>
      </x:c>
      <x:c r="K756" s="55" t="inlineStr">
        <x:is>
          <x:t xml:space="preserve">无需改写</x:t>
        </x:is>
      </x:c>
      <x:c r="L756" s="56" t="inlineStr">
        <x:is>
          <x:t xml:space="preserve">女娃/她</x:t>
        </x:is>
      </x:c>
      <x:c r="M756" s="56" t="inlineStr">
        <x:is>
          <x:t xml:space="preserve">受访者原话</x:t>
        </x:is>
      </x:c>
      <x:c r="N756" s="56" t="inlineStr">
        <x:is>
          <x:t xml:space="preserve">“我们村第一个考出去的就是这孩子。”</x:t>
        </x:is>
      </x:c>
      <x:c r="O756" s="55" t="inlineStr">
        <x:is>
          <x:t xml:space="preserve">难</x:t>
        </x:is>
      </x:c>
      <x:c r="P756" s="55" t="inlineStr">
        <x:is>
          <x:t xml:space="preserve">否</x:t>
        </x:is>
      </x:c>
      <x:c r="Q756" s="56" t="n"/>
      <x:c r="R756" s="57" t="inlineStr">
        <x:is>
          <x:t xml:space="preserve">主集</x:t>
        </x:is>
      </x:c>
      <x:c r="S756" s="57" t="inlineStr">
        <x:is>
          <x:t xml:space="preserve">dev</x:t>
        </x:is>
      </x:c>
      <x:c r="T756" s="57" t="inlineStr">
        <x:is>
          <x:t xml:space="preserve"/>
        </x:is>
      </x:c>
    </x:row>
    <x:row r="757" s="37" customFormat="1" ht="15" customHeight="1">
      <x:c r="A757" s="55" t="inlineStr">
        <x:is>
          <x:t xml:space="preserve">NEG-0756</x:t>
        </x:is>
      </x:c>
      <x:c r="B757" s="55" t="inlineStr">
        <x:is>
          <x:t xml:space="preserve">v5</x:t>
        </x:is>
      </x:c>
      <x:c r="C757" s="56" t="inlineStr">
        <x:is>
          <x:t xml:space="preserve">五、引用与转述</x:t>
        </x:is>
      </x:c>
      <x:c r="D757" s="56" t="inlineStr">
        <x:is>
          <x:t xml:space="preserve">5.1 直接引语</x:t>
        </x:is>
      </x:c>
      <x:c r="E757" s="56" t="inlineStr">
        <x:is>
          <x:t xml:space="preserve">文艺创作与评论</x:t>
        </x:is>
      </x:c>
      <x:c r="F757" s="56" t="inlineStr">
        <x:is>
          <x:t xml:space="preserve">播客转录</x:t>
        </x:is>
      </x:c>
      <x:c r="G757" s="55" t="inlineStr">
        <x:is>
          <x:t xml:space="preserve">无</x:t>
        </x:is>
      </x:c>
      <x:c r="H757" s="55" t="str">
        <x:f>IF(LEN(I757)&lt;15,"短",IF(LEN(I757)&lt;=45,"中","长"))</x:f>
        <x:v>中</x:v>
      </x:c>
      <x:c r="I757" s="56" t="inlineStr">
        <x:is>
          <x:t xml:space="preserve">他说：“我妈那代人管这叫本分，我不这么看。”</x:t>
        </x:is>
      </x:c>
      <x:c r="J757" s="56" t="str">
        <x:f>I757</x:f>
        <x:v>他说：“我妈那代人管这叫本分，我不这么看。”</x:v>
      </x:c>
      <x:c r="K757" s="55" t="inlineStr">
        <x:is>
          <x:t xml:space="preserve">无需改写</x:t>
        </x:is>
      </x:c>
      <x:c r="L757" s="56" t="inlineStr">
        <x:is>
          <x:t xml:space="preserve">我妈</x:t>
        </x:is>
      </x:c>
      <x:c r="M757" s="56" t="inlineStr">
        <x:is>
          <x:t xml:space="preserve">逐字稿，且后半句已表明立场</x:t>
        </x:is>
      </x:c>
      <x:c r="N757" s="56" t="inlineStr">
        <x:is>
          <x:t xml:space="preserve">他说上一代人管这叫本分，他不这么看</x:t>
        </x:is>
      </x:c>
      <x:c r="O757" s="55" t="inlineStr">
        <x:is>
          <x:t xml:space="preserve">中</x:t>
        </x:is>
      </x:c>
      <x:c r="P757" s="55" t="inlineStr">
        <x:is>
          <x:t xml:space="preserve">否</x:t>
        </x:is>
      </x:c>
      <x:c r="Q757" s="56" t="n"/>
      <x:c r="R757" s="57" t="inlineStr">
        <x:is>
          <x:t xml:space="preserve">主集</x:t>
        </x:is>
      </x:c>
      <x:c r="S757" s="57" t="inlineStr">
        <x:is>
          <x:t xml:space="preserve">index</x:t>
        </x:is>
      </x:c>
      <x:c r="T757" s="57" t="inlineStr">
        <x:is>
          <x:t xml:space="preserve"/>
        </x:is>
      </x:c>
    </x:row>
    <x:row r="758" s="37" customFormat="1" ht="15" customHeight="1">
      <x:c r="A758" s="55" t="inlineStr">
        <x:is>
          <x:t xml:space="preserve">NEG-0757</x:t>
        </x:is>
      </x:c>
      <x:c r="B758" s="55" t="inlineStr">
        <x:is>
          <x:t xml:space="preserve">v5</x:t>
        </x:is>
      </x:c>
      <x:c r="C758" s="56" t="inlineStr">
        <x:is>
          <x:t xml:space="preserve">五、引用与转述</x:t>
        </x:is>
      </x:c>
      <x:c r="D758" s="56" t="inlineStr">
        <x:is>
          <x:t xml:space="preserve">5.2 文献与史料</x:t>
        </x:is>
      </x:c>
      <x:c r="E758" s="56" t="inlineStr">
        <x:is>
          <x:t xml:space="preserve">公文与规章</x:t>
        </x:is>
      </x:c>
      <x:c r="F758" s="56" t="inlineStr">
        <x:is>
          <x:t xml:space="preserve">档案研究</x:t>
        </x:is>
      </x:c>
      <x:c r="G758" s="55" t="inlineStr">
        <x:is>
          <x:t xml:space="preserve">无</x:t>
        </x:is>
      </x:c>
      <x:c r="H758" s="55" t="str">
        <x:f>IF(LEN(I758)&lt;15,"短",IF(LEN(I758)&lt;=45,"中","长"))</x:f>
        <x:v>中</x:v>
      </x:c>
      <x:c r="I758" s="56" t="inlineStr">
        <x:is>
          <x:t xml:space="preserve">这份清代地契的立契人一栏写的是“孀妇李门王氏”。</x:t>
        </x:is>
      </x:c>
      <x:c r="J758" s="56" t="str">
        <x:f>I758</x:f>
        <x:v>这份清代地契的立契人一栏写的是“孀妇李门王氏”。</x:v>
      </x:c>
      <x:c r="K758" s="55" t="inlineStr">
        <x:is>
          <x:t xml:space="preserve">无需改写</x:t>
        </x:is>
      </x:c>
      <x:c r="L758" s="56" t="inlineStr">
        <x:is>
          <x:t xml:space="preserve">孀妇/李门王氏</x:t>
        </x:is>
      </x:c>
      <x:c r="M758" s="56" t="inlineStr">
        <x:is>
          <x:t xml:space="preserve">契约原文，是研究对象本身</x:t>
        </x:is>
      </x:c>
      <x:c r="N758" s="56" t="inlineStr">
        <x:is>
          <x:t xml:space="preserve">这份清代地契的立契人一栏写的是寡居妇人</x:t>
        </x:is>
      </x:c>
      <x:c r="O758" s="55" t="inlineStr">
        <x:is>
          <x:t xml:space="preserve">难</x:t>
        </x:is>
      </x:c>
      <x:c r="P758" s="55" t="inlineStr">
        <x:is>
          <x:t xml:space="preserve">否</x:t>
        </x:is>
      </x:c>
      <x:c r="Q758" s="56" t="n"/>
      <x:c r="R758" s="57" t="inlineStr">
        <x:is>
          <x:t xml:space="preserve">主集</x:t>
        </x:is>
      </x:c>
      <x:c r="S758" s="57" t="inlineStr">
        <x:is>
          <x:t xml:space="preserve">index</x:t>
        </x:is>
      </x:c>
      <x:c r="T758" s="57" t="inlineStr">
        <x:is>
          <x:t xml:space="preserve"/>
        </x:is>
      </x:c>
    </x:row>
    <x:row r="759" s="37" customFormat="1" ht="29.850000381469727" customHeight="1">
      <x:c r="A759" s="55" t="inlineStr">
        <x:is>
          <x:t xml:space="preserve">NEG-0758</x:t>
        </x:is>
      </x:c>
      <x:c r="B759" s="55" t="inlineStr">
        <x:is>
          <x:t xml:space="preserve">v5</x:t>
        </x:is>
      </x:c>
      <x:c r="C759" s="56" t="inlineStr">
        <x:is>
          <x:t xml:space="preserve">五、引用与转述</x:t>
        </x:is>
      </x:c>
      <x:c r="D759" s="56" t="inlineStr">
        <x:is>
          <x:t xml:space="preserve">5.2 文献与史料</x:t>
        </x:is>
      </x:c>
      <x:c r="E759" s="56" t="inlineStr">
        <x:is>
          <x:t xml:space="preserve">其他</x:t>
        </x:is>
      </x:c>
      <x:c r="F759" s="56" t="inlineStr">
        <x:is>
          <x:t xml:space="preserve">家书整理</x:t>
        </x:is>
      </x:c>
      <x:c r="G759" s="55" t="inlineStr">
        <x:is>
          <x:t xml:space="preserve">无</x:t>
        </x:is>
      </x:c>
      <x:c r="H759" s="55" t="str">
        <x:f>IF(LEN(I759)&lt;15,"短",IF(LEN(I759)&lt;=45,"中","长"))</x:f>
        <x:v>中</x:v>
      </x:c>
      <x:c r="I759" s="56" t="inlineStr">
        <x:is>
          <x:t xml:space="preserve">信末落款是“母字”，那个年代母亲写给子女的信都这么收尾。</x:t>
        </x:is>
      </x:c>
      <x:c r="J759" s="56" t="str">
        <x:f>I759</x:f>
        <x:v>信末落款是“母字”，那个年代母亲写给子女的信都这么收尾。</x:v>
      </x:c>
      <x:c r="K759" s="55" t="inlineStr">
        <x:is>
          <x:t xml:space="preserve">无需改写</x:t>
        </x:is>
      </x:c>
      <x:c r="L759" s="56" t="inlineStr">
        <x:is>
          <x:t xml:space="preserve">母字/母亲</x:t>
        </x:is>
      </x:c>
      <x:c r="M759" s="56" t="inlineStr">
        <x:is>
          <x:t xml:space="preserve">书信格式的历史事实</x:t>
        </x:is>
      </x:c>
      <x:c r="N759" s="56" t="inlineStr">
        <x:is>
          <x:t xml:space="preserve">信末落款是家长的署名</x:t>
        </x:is>
      </x:c>
      <x:c r="O759" s="55" t="inlineStr">
        <x:is>
          <x:t xml:space="preserve">中</x:t>
        </x:is>
      </x:c>
      <x:c r="P759" s="55" t="inlineStr">
        <x:is>
          <x:t xml:space="preserve">否</x:t>
        </x:is>
      </x:c>
      <x:c r="Q759" s="56" t="n"/>
      <x:c r="R759" s="57" t="inlineStr">
        <x:is>
          <x:t xml:space="preserve">主集</x:t>
        </x:is>
      </x:c>
      <x:c r="S759" s="57" t="inlineStr">
        <x:is>
          <x:t xml:space="preserve">test</x:t>
        </x:is>
      </x:c>
      <x:c r="T759" s="57" t="inlineStr">
        <x:is>
          <x:t xml:space="preserve"/>
        </x:is>
      </x:c>
    </x:row>
    <x:row r="760" s="37" customFormat="1" ht="29.850000381469727" customHeight="1">
      <x:c r="A760" s="55" t="inlineStr">
        <x:is>
          <x:t xml:space="preserve">NEG-0759</x:t>
        </x:is>
      </x:c>
      <x:c r="B760" s="55" t="inlineStr">
        <x:is>
          <x:t xml:space="preserve">v5</x:t>
        </x:is>
      </x:c>
      <x:c r="C760" s="56" t="inlineStr">
        <x:is>
          <x:t xml:space="preserve">五、引用与转述</x:t>
        </x:is>
      </x:c>
      <x:c r="D760" s="56" t="inlineStr">
        <x:is>
          <x:t xml:space="preserve">5.2 文献与史料</x:t>
        </x:is>
      </x:c>
      <x:c r="E760" s="56" t="inlineStr">
        <x:is>
          <x:t xml:space="preserve">学术与调研</x:t>
        </x:is>
      </x:c>
      <x:c r="F760" s="56" t="inlineStr">
        <x:is>
          <x:t xml:space="preserve">教材史</x:t>
        </x:is>
      </x:c>
      <x:c r="G760" s="55" t="inlineStr">
        <x:is>
          <x:t xml:space="preserve">无</x:t>
        </x:is>
      </x:c>
      <x:c r="H760" s="55" t="str">
        <x:f>IF(LEN(I760)&lt;15,"短",IF(LEN(I760)&lt;=45,"中","长"))</x:f>
        <x:v>中</x:v>
      </x:c>
      <x:c r="I760" s="56" t="inlineStr">
        <x:is>
          <x:t xml:space="preserve">1930 年代的国文课本里有“男耕女织”一课，配图是插秧与织布。</x:t>
        </x:is>
      </x:c>
      <x:c r="J760" s="56" t="str">
        <x:f>I760</x:f>
        <x:v>1930 年代的国文课本里有“男耕女织”一课，配图是插秧与织布。</x:v>
      </x:c>
      <x:c r="K760" s="55" t="inlineStr">
        <x:is>
          <x:t xml:space="preserve">无需改写</x:t>
        </x:is>
      </x:c>
      <x:c r="L760" s="56" t="inlineStr">
        <x:is>
          <x:t xml:space="preserve">男耕女织</x:t>
        </x:is>
      </x:c>
      <x:c r="M760" s="56" t="inlineStr">
        <x:is>
          <x:t xml:space="preserve">旧教材篇目名</x:t>
        </x:is>
      </x:c>
      <x:c r="N760" s="56" t="inlineStr">
        <x:is>
          <x:t xml:space="preserve">1930 年代的国文课本里有一课讲农事</x:t>
        </x:is>
      </x:c>
      <x:c r="O760" s="55" t="inlineStr">
        <x:is>
          <x:t xml:space="preserve">易</x:t>
        </x:is>
      </x:c>
      <x:c r="P760" s="55" t="inlineStr">
        <x:is>
          <x:t xml:space="preserve">否</x:t>
        </x:is>
      </x:c>
      <x:c r="Q760" s="56" t="n"/>
      <x:c r="R760" s="57" t="inlineStr">
        <x:is>
          <x:t xml:space="preserve">主集</x:t>
        </x:is>
      </x:c>
      <x:c r="S760" s="57" t="inlineStr">
        <x:is>
          <x:t xml:space="preserve">index</x:t>
        </x:is>
      </x:c>
      <x:c r="T760" s="57" t="inlineStr">
        <x:is>
          <x:t xml:space="preserve"/>
        </x:is>
      </x:c>
    </x:row>
    <x:row r="761" s="37" customFormat="1" ht="29.850000381469727" customHeight="1">
      <x:c r="A761" s="55" t="inlineStr">
        <x:is>
          <x:t xml:space="preserve">NEG-0760</x:t>
        </x:is>
      </x:c>
      <x:c r="B761" s="55" t="inlineStr">
        <x:is>
          <x:t xml:space="preserve">v5</x:t>
        </x:is>
      </x:c>
      <x:c r="C761" s="56" t="inlineStr">
        <x:is>
          <x:t xml:space="preserve">五、引用与转述</x:t>
        </x:is>
      </x:c>
      <x:c r="D761" s="56" t="inlineStr">
        <x:is>
          <x:t xml:space="preserve">5.2 文献与史料</x:t>
        </x:is>
      </x:c>
      <x:c r="E761" s="56" t="inlineStr">
        <x:is>
          <x:t xml:space="preserve">学术与调研</x:t>
        </x:is>
      </x:c>
      <x:c r="F761" s="56" t="inlineStr">
        <x:is>
          <x:t xml:space="preserve">碑刻研究</x:t>
        </x:is>
      </x:c>
      <x:c r="G761" s="55" t="inlineStr">
        <x:is>
          <x:t xml:space="preserve">无</x:t>
        </x:is>
      </x:c>
      <x:c r="H761" s="55" t="str">
        <x:f>IF(LEN(I761)&lt;15,"短",IF(LEN(I761)&lt;=45,"中","长"))</x:f>
        <x:v>中</x:v>
      </x:c>
      <x:c r="I761" s="56" t="inlineStr">
        <x:is>
          <x:t xml:space="preserve">这方墓志称其“事姑至孝”，反映了宋代对妇德的记述方式。</x:t>
        </x:is>
      </x:c>
      <x:c r="J761" s="56" t="str">
        <x:f>I761</x:f>
        <x:v>这方墓志称其“事姑至孝”，反映了宋代对妇德的记述方式。</x:v>
      </x:c>
      <x:c r="K761" s="55" t="inlineStr">
        <x:is>
          <x:t xml:space="preserve">无需改写</x:t>
        </x:is>
      </x:c>
      <x:c r="L761" s="56" t="inlineStr">
        <x:is>
          <x:t xml:space="preserve">事姑至孝/妇德</x:t>
        </x:is>
      </x:c>
      <x:c r="M761" s="56" t="inlineStr">
        <x:is>
          <x:t xml:space="preserve">碑刻原文与史学分析</x:t>
        </x:is>
      </x:c>
      <x:c r="N761" s="56" t="inlineStr">
        <x:is>
          <x:t xml:space="preserve">这方墓志的记述方式反映了宋代的孝道观</x:t>
        </x:is>
      </x:c>
      <x:c r="O761" s="55" t="inlineStr">
        <x:is>
          <x:t xml:space="preserve">中</x:t>
        </x:is>
      </x:c>
      <x:c r="P761" s="55" t="inlineStr">
        <x:is>
          <x:t xml:space="preserve">否</x:t>
        </x:is>
      </x:c>
      <x:c r="Q761" s="56" t="n"/>
      <x:c r="R761" s="57" t="inlineStr">
        <x:is>
          <x:t xml:space="preserve">主集</x:t>
        </x:is>
      </x:c>
      <x:c r="S761" s="57" t="inlineStr">
        <x:is>
          <x:t xml:space="preserve">index</x:t>
        </x:is>
      </x:c>
      <x:c r="T761" s="57" t="inlineStr">
        <x:is>
          <x:t xml:space="preserve"/>
        </x:is>
      </x:c>
    </x:row>
    <x:row r="762" s="37" customFormat="1" ht="29.850000381469727" customHeight="1">
      <x:c r="A762" s="55" t="inlineStr">
        <x:is>
          <x:t xml:space="preserve">NEG-0761</x:t>
        </x:is>
      </x:c>
      <x:c r="B762" s="55" t="inlineStr">
        <x:is>
          <x:t xml:space="preserve">v5</x:t>
        </x:is>
      </x:c>
      <x:c r="C762" s="56" t="inlineStr">
        <x:is>
          <x:t xml:space="preserve">五、引用与转述</x:t>
        </x:is>
      </x:c>
      <x:c r="D762" s="56" t="inlineStr">
        <x:is>
          <x:t xml:space="preserve">5.2 文献与史料</x:t>
        </x:is>
      </x:c>
      <x:c r="E762" s="56" t="inlineStr">
        <x:is>
          <x:t xml:space="preserve">学术与调研</x:t>
        </x:is>
      </x:c>
      <x:c r="F762" s="56" t="inlineStr">
        <x:is>
          <x:t xml:space="preserve">译本研究</x:t>
        </x:is>
      </x:c>
      <x:c r="G762" s="55" t="inlineStr">
        <x:is>
          <x:t xml:space="preserve">无</x:t>
        </x:is>
      </x:c>
      <x:c r="H762" s="55" t="str">
        <x:f>IF(LEN(I762)&lt;15,"短",IF(LEN(I762)&lt;=45,"中","长"))</x:f>
        <x:v>中</x:v>
      </x:c>
      <x:c r="I762" s="56" t="inlineStr">
        <x:is>
          <x:t xml:space="preserve">和合本中“妇女”一词的用法，与现代汉语已经有了距离。</x:t>
        </x:is>
      </x:c>
      <x:c r="J762" s="56" t="str">
        <x:f>I762</x:f>
        <x:v>和合本中“妇女”一词的用法，与现代汉语已经有了距离。</x:v>
      </x:c>
      <x:c r="K762" s="55" t="inlineStr">
        <x:is>
          <x:t xml:space="preserve">无需改写</x:t>
        </x:is>
      </x:c>
      <x:c r="L762" s="56" t="inlineStr">
        <x:is>
          <x:t xml:space="preserve">妇女</x:t>
        </x:is>
      </x:c>
      <x:c r="M762" s="56" t="inlineStr">
        <x:is>
          <x:t xml:space="preserve">对译本用词的语言学考察</x:t>
        </x:is>
      </x:c>
      <x:c r="N762" s="56" t="inlineStr">
        <x:is>
          <x:t xml:space="preserve">该译本中相关词语的用法与现代汉语有距离</x:t>
        </x:is>
      </x:c>
      <x:c r="O762" s="55" t="inlineStr">
        <x:is>
          <x:t xml:space="preserve">中</x:t>
        </x:is>
      </x:c>
      <x:c r="P762" s="55" t="inlineStr">
        <x:is>
          <x:t xml:space="preserve">否</x:t>
        </x:is>
      </x:c>
      <x:c r="Q762" s="56" t="n"/>
      <x:c r="R762" s="57" t="inlineStr">
        <x:is>
          <x:t xml:space="preserve">主集</x:t>
        </x:is>
      </x:c>
      <x:c r="S762" s="57" t="inlineStr">
        <x:is>
          <x:t xml:space="preserve">dev</x:t>
        </x:is>
      </x:c>
      <x:c r="T762" s="57" t="inlineStr">
        <x:is>
          <x:t xml:space="preserve"/>
        </x:is>
      </x:c>
    </x:row>
    <x:row r="763" s="37" customFormat="1" ht="29.850000381469727" customHeight="1">
      <x:c r="A763" s="55" t="inlineStr">
        <x:is>
          <x:t xml:space="preserve">NEG-0762</x:t>
        </x:is>
      </x:c>
      <x:c r="B763" s="55" t="inlineStr">
        <x:is>
          <x:t xml:space="preserve">v5</x:t>
        </x:is>
      </x:c>
      <x:c r="C763" s="56" t="inlineStr">
        <x:is>
          <x:t xml:space="preserve">五、引用与转述</x:t>
        </x:is>
      </x:c>
      <x:c r="D763" s="56" t="inlineStr">
        <x:is>
          <x:t xml:space="preserve">5.3 法律与官方文书原件</x:t>
        </x:is>
      </x:c>
      <x:c r="E763" s="56" t="inlineStr">
        <x:is>
          <x:t xml:space="preserve">其他</x:t>
        </x:is>
      </x:c>
      <x:c r="F763" s="56" t="inlineStr">
        <x:is>
          <x:t xml:space="preserve">合同文本</x:t>
        </x:is>
      </x:c>
      <x:c r="G763" s="55" t="inlineStr">
        <x:is>
          <x:t xml:space="preserve">无</x:t>
        </x:is>
      </x:c>
      <x:c r="H763" s="55" t="str">
        <x:f>IF(LEN(I763)&lt;15,"短",IF(LEN(I763)&lt;=45,"中","长"))</x:f>
        <x:v>中</x:v>
      </x:c>
      <x:c r="I763" s="56" t="inlineStr">
        <x:is>
          <x:t xml:space="preserve">合同附件载明：“乙方须为女职工提供符合规定的劳动保护。”</x:t>
        </x:is>
      </x:c>
      <x:c r="J763" s="56" t="str">
        <x:f>I763</x:f>
        <x:v>合同附件载明：“乙方须为女职工提供符合规定的劳动保护。”</x:v>
      </x:c>
      <x:c r="K763" s="55" t="inlineStr">
        <x:is>
          <x:t xml:space="preserve">无需改写</x:t>
        </x:is>
      </x:c>
      <x:c r="L763" s="56" t="inlineStr">
        <x:is>
          <x:t xml:space="preserve">女职工</x:t>
        </x:is>
      </x:c>
      <x:c r="M763" s="56" t="inlineStr">
        <x:is>
          <x:t xml:space="preserve">合同条款原文</x:t>
        </x:is>
      </x:c>
      <x:c r="N763" s="56" t="inlineStr">
        <x:is>
          <x:t xml:space="preserve">合同附件载明乙方须提供劳动保护</x:t>
        </x:is>
      </x:c>
      <x:c r="O763" s="55" t="inlineStr">
        <x:is>
          <x:t xml:space="preserve">中</x:t>
        </x:is>
      </x:c>
      <x:c r="P763" s="55" t="inlineStr">
        <x:is>
          <x:t xml:space="preserve">否</x:t>
        </x:is>
      </x:c>
      <x:c r="Q763" s="56" t="n"/>
      <x:c r="R763" s="57" t="inlineStr">
        <x:is>
          <x:t xml:space="preserve">主集</x:t>
        </x:is>
      </x:c>
      <x:c r="S763" s="57" t="inlineStr">
        <x:is>
          <x:t xml:space="preserve">test</x:t>
        </x:is>
      </x:c>
      <x:c r="T763" s="57" t="inlineStr">
        <x:is>
          <x:t xml:space="preserve"/>
        </x:is>
      </x:c>
    </x:row>
    <x:row r="764" s="37" customFormat="1" ht="29.850000381469727" customHeight="1">
      <x:c r="A764" s="55" t="inlineStr">
        <x:is>
          <x:t xml:space="preserve">NEG-0763</x:t>
        </x:is>
      </x:c>
      <x:c r="B764" s="55" t="inlineStr">
        <x:is>
          <x:t xml:space="preserve">v5</x:t>
        </x:is>
      </x:c>
      <x:c r="C764" s="56" t="inlineStr">
        <x:is>
          <x:t xml:space="preserve">五、引用与转述</x:t>
        </x:is>
      </x:c>
      <x:c r="D764" s="56" t="inlineStr">
        <x:is>
          <x:t xml:space="preserve">5.3 法律与官方文书原件</x:t>
        </x:is>
      </x:c>
      <x:c r="E764" s="56" t="inlineStr">
        <x:is>
          <x:t xml:space="preserve">法律与司法</x:t>
        </x:is>
      </x:c>
      <x:c r="F764" s="56" t="inlineStr">
        <x:is>
          <x:t xml:space="preserve">公证文书</x:t>
        </x:is>
      </x:c>
      <x:c r="G764" s="55" t="inlineStr">
        <x:is>
          <x:t xml:space="preserve">无</x:t>
        </x:is>
      </x:c>
      <x:c r="H764" s="55" t="str">
        <x:f>IF(LEN(I764)&lt;15,"短",IF(LEN(I764)&lt;=45,"中","长"))</x:f>
        <x:v>中</x:v>
      </x:c>
      <x:c r="I764" s="56" t="inlineStr">
        <x:is>
          <x:t xml:space="preserve">公证书记载：“被继承人之长女放弃继承，长子表示接受。”</x:t>
        </x:is>
      </x:c>
      <x:c r="J764" s="56" t="str">
        <x:f>I764</x:f>
        <x:v>公证书记载：“被继承人之长女放弃继承，长子表示接受。”</x:v>
      </x:c>
      <x:c r="K764" s="55" t="inlineStr">
        <x:is>
          <x:t xml:space="preserve">无需改写</x:t>
        </x:is>
      </x:c>
      <x:c r="L764" s="56" t="inlineStr">
        <x:is>
          <x:t xml:space="preserve">长女/长子</x:t>
        </x:is>
      </x:c>
      <x:c r="M764" s="56" t="inlineStr">
        <x:is>
          <x:t xml:space="preserve">公证文书原文</x:t>
        </x:is>
      </x:c>
      <x:c r="N764" s="56" t="inlineStr">
        <x:is>
          <x:t xml:space="preserve">公证书记载一名子女放弃继承，另一名接受</x:t>
        </x:is>
      </x:c>
      <x:c r="O764" s="55" t="inlineStr">
        <x:is>
          <x:t xml:space="preserve">中</x:t>
        </x:is>
      </x:c>
      <x:c r="P764" s="55" t="inlineStr">
        <x:is>
          <x:t xml:space="preserve">否</x:t>
        </x:is>
      </x:c>
      <x:c r="Q764" s="56" t="n"/>
      <x:c r="R764" s="57" t="inlineStr">
        <x:is>
          <x:t xml:space="preserve">主集</x:t>
        </x:is>
      </x:c>
      <x:c r="S764" s="57" t="inlineStr">
        <x:is>
          <x:t xml:space="preserve">index</x:t>
        </x:is>
      </x:c>
      <x:c r="T764" s="57" t="inlineStr">
        <x:is>
          <x:t xml:space="preserve"/>
        </x:is>
      </x:c>
    </x:row>
    <x:row r="765" s="37" customFormat="1" ht="15" customHeight="1">
      <x:c r="A765" s="55" t="inlineStr">
        <x:is>
          <x:t xml:space="preserve">NEG-0764</x:t>
        </x:is>
      </x:c>
      <x:c r="B765" s="55" t="inlineStr">
        <x:is>
          <x:t xml:space="preserve">v5</x:t>
        </x:is>
      </x:c>
      <x:c r="C765" s="56" t="inlineStr">
        <x:is>
          <x:t xml:space="preserve">五、引用与转述</x:t>
        </x:is>
      </x:c>
      <x:c r="D765" s="56" t="inlineStr">
        <x:is>
          <x:t xml:space="preserve">5.3 法律与官方文书原件</x:t>
        </x:is>
      </x:c>
      <x:c r="E765" s="56" t="inlineStr">
        <x:is>
          <x:t xml:space="preserve">公文与规章</x:t>
        </x:is>
      </x:c>
      <x:c r="F765" s="56" t="inlineStr">
        <x:is>
          <x:t xml:space="preserve">公司章程</x:t>
        </x:is>
      </x:c>
      <x:c r="G765" s="55" t="inlineStr">
        <x:is>
          <x:t xml:space="preserve">无</x:t>
        </x:is>
      </x:c>
      <x:c r="H765" s="55" t="str">
        <x:f>IF(LEN(I765)&lt;15,"短",IF(LEN(I765)&lt;=45,"中","长"))</x:f>
        <x:v>中</x:v>
      </x:c>
      <x:c r="I765" s="56" t="inlineStr">
        <x:is>
          <x:t xml:space="preserve">章程第八条：“监事会成员中至少应有一名女性。”</x:t>
        </x:is>
      </x:c>
      <x:c r="J765" s="56" t="str">
        <x:f>I765</x:f>
        <x:v>章程第八条：“监事会成员中至少应有一名女性。”</x:v>
      </x:c>
      <x:c r="K765" s="55" t="inlineStr">
        <x:is>
          <x:t xml:space="preserve">无需改写</x:t>
        </x:is>
      </x:c>
      <x:c r="L765" s="56" t="inlineStr">
        <x:is>
          <x:t xml:space="preserve">女性</x:t>
        </x:is>
      </x:c>
      <x:c r="M765" s="56" t="inlineStr">
        <x:is>
          <x:t xml:space="preserve">章程条文原文，且属积极行动条款</x:t>
        </x:is>
      </x:c>
      <x:c r="N765" s="56" t="inlineStr">
        <x:is>
          <x:t xml:space="preserve">章程第八条规定监事会构成应保持多元</x:t>
        </x:is>
      </x:c>
      <x:c r="O765" s="55" t="inlineStr">
        <x:is>
          <x:t xml:space="preserve">中</x:t>
        </x:is>
      </x:c>
      <x:c r="P765" s="55" t="inlineStr">
        <x:is>
          <x:t xml:space="preserve">否</x:t>
        </x:is>
      </x:c>
      <x:c r="Q765" s="56" t="n"/>
      <x:c r="R765" s="57" t="inlineStr">
        <x:is>
          <x:t xml:space="preserve">主集</x:t>
        </x:is>
      </x:c>
      <x:c r="S765" s="57" t="inlineStr">
        <x:is>
          <x:t xml:space="preserve">test</x:t>
        </x:is>
      </x:c>
      <x:c r="T765" s="57" t="inlineStr">
        <x:is>
          <x:t xml:space="preserve"/>
        </x:is>
      </x:c>
    </x:row>
    <x:row r="766" s="37" customFormat="1" ht="29.850000381469727" customHeight="1">
      <x:c r="A766" s="55" t="inlineStr">
        <x:is>
          <x:t xml:space="preserve">NEG-0765</x:t>
        </x:is>
      </x:c>
      <x:c r="B766" s="55" t="inlineStr">
        <x:is>
          <x:t xml:space="preserve">v5</x:t>
        </x:is>
      </x:c>
      <x:c r="C766" s="56" t="inlineStr">
        <x:is>
          <x:t xml:space="preserve">五、引用与转述</x:t>
        </x:is>
      </x:c>
      <x:c r="D766" s="56" t="inlineStr">
        <x:is>
          <x:t xml:space="preserve">5.3 法律与官方文书原件</x:t>
        </x:is>
      </x:c>
      <x:c r="E766" s="56" t="inlineStr">
        <x:is>
          <x:t xml:space="preserve">其他</x:t>
        </x:is>
      </x:c>
      <x:c r="F766" s="56" t="inlineStr">
        <x:is>
          <x:t xml:space="preserve">白皮书</x:t>
        </x:is>
      </x:c>
      <x:c r="G766" s="55" t="inlineStr">
        <x:is>
          <x:t xml:space="preserve">无</x:t>
        </x:is>
      </x:c>
      <x:c r="H766" s="55" t="str">
        <x:f>IF(LEN(I766)&lt;15,"短",IF(LEN(I766)&lt;=45,"中","长"))</x:f>
        <x:v>中</x:v>
      </x:c>
      <x:c r="I766" s="56" t="inlineStr">
        <x:is>
          <x:t xml:space="preserve">白皮书采用了“妇女全面发展”这一表述，与国际文件措辞略有不同。</x:t>
        </x:is>
      </x:c>
      <x:c r="J766" s="56" t="str">
        <x:f>I766</x:f>
        <x:v>白皮书采用了“妇女全面发展”这一表述，与国际文件措辞略有不同。</x:v>
      </x:c>
      <x:c r="K766" s="55" t="inlineStr">
        <x:is>
          <x:t xml:space="preserve">无需改写</x:t>
        </x:is>
      </x:c>
      <x:c r="L766" s="56" t="inlineStr">
        <x:is>
          <x:t xml:space="preserve">妇女全面发展</x:t>
        </x:is>
      </x:c>
      <x:c r="M766" s="56" t="inlineStr">
        <x:is>
          <x:t xml:space="preserve">官方文件用语，正是比较对象</x:t>
        </x:is>
      </x:c>
      <x:c r="N766" s="56" t="inlineStr">
        <x:is>
          <x:t xml:space="preserve">白皮书采用的表述与国际文件略有不同</x:t>
        </x:is>
      </x:c>
      <x:c r="O766" s="55" t="inlineStr">
        <x:is>
          <x:t xml:space="preserve">难</x:t>
        </x:is>
      </x:c>
      <x:c r="P766" s="55" t="inlineStr">
        <x:is>
          <x:t xml:space="preserve">否</x:t>
        </x:is>
      </x:c>
      <x:c r="Q766" s="56" t="n"/>
      <x:c r="R766" s="57" t="inlineStr">
        <x:is>
          <x:t xml:space="preserve">主集</x:t>
        </x:is>
      </x:c>
      <x:c r="S766" s="57" t="inlineStr">
        <x:is>
          <x:t xml:space="preserve">test</x:t>
        </x:is>
      </x:c>
      <x:c r="T766" s="57" t="inlineStr">
        <x:is>
          <x:t xml:space="preserve"/>
        </x:is>
      </x:c>
    </x:row>
    <x:row r="767" s="37" customFormat="1" ht="29.850000381469727" customHeight="1">
      <x:c r="A767" s="55" t="inlineStr">
        <x:is>
          <x:t xml:space="preserve">NEG-0766</x:t>
        </x:is>
      </x:c>
      <x:c r="B767" s="55" t="inlineStr">
        <x:is>
          <x:t xml:space="preserve">v5</x:t>
        </x:is>
      </x:c>
      <x:c r="C767" s="56" t="inlineStr">
        <x:is>
          <x:t xml:space="preserve">五、引用与转述</x:t>
        </x:is>
      </x:c>
      <x:c r="D767" s="56" t="inlineStr">
        <x:is>
          <x:t xml:space="preserve">5.3 法律与官方文书原件</x:t>
        </x:is>
      </x:c>
      <x:c r="E767" s="56" t="inlineStr">
        <x:is>
          <x:t xml:space="preserve">学术与调研</x:t>
        </x:is>
      </x:c>
      <x:c r="F767" s="56" t="inlineStr">
        <x:is>
          <x:t xml:space="preserve">政府公报</x:t>
        </x:is>
      </x:c>
      <x:c r="G767" s="55" t="inlineStr">
        <x:is>
          <x:t xml:space="preserve">无</x:t>
        </x:is>
      </x:c>
      <x:c r="H767" s="55" t="str">
        <x:f>IF(LEN(I767)&lt;15,"短",IF(LEN(I767)&lt;=45,"中","长"))</x:f>
        <x:v>中</x:v>
      </x:c>
      <x:c r="I767" s="56" t="inlineStr">
        <x:is>
          <x:t xml:space="preserve">公报原文为“保障妇女儿童合法权益”，引用时不作任何改动。</x:t>
        </x:is>
      </x:c>
      <x:c r="J767" s="56" t="str">
        <x:f>I767</x:f>
        <x:v>公报原文为“保障妇女儿童合法权益”，引用时不作任何改动。</x:v>
      </x:c>
      <x:c r="K767" s="55" t="inlineStr">
        <x:is>
          <x:t xml:space="preserve">无需改写</x:t>
        </x:is>
      </x:c>
      <x:c r="L767" s="56" t="inlineStr">
        <x:is>
          <x:t xml:space="preserve">妇女儿童</x:t>
        </x:is>
      </x:c>
      <x:c r="M767" s="56" t="inlineStr">
        <x:is>
          <x:t xml:space="preserve">公报原文，句子本身已声明不改</x:t>
        </x:is>
      </x:c>
      <x:c r="N767" s="56" t="inlineStr">
        <x:is>
          <x:t xml:space="preserve">公报原文涉及权益保障，引用时不作改动</x:t>
        </x:is>
      </x:c>
      <x:c r="O767" s="55" t="inlineStr">
        <x:is>
          <x:t xml:space="preserve">难</x:t>
        </x:is>
      </x:c>
      <x:c r="P767" s="55" t="inlineStr">
        <x:is>
          <x:t xml:space="preserve">否</x:t>
        </x:is>
      </x:c>
      <x:c r="Q767" s="56" t="n"/>
      <x:c r="R767" s="57" t="inlineStr">
        <x:is>
          <x:t xml:space="preserve">主集</x:t>
        </x:is>
      </x:c>
      <x:c r="S767" s="57" t="inlineStr">
        <x:is>
          <x:t xml:space="preserve">index</x:t>
        </x:is>
      </x:c>
      <x:c r="T767" s="57" t="inlineStr">
        <x:is>
          <x:t xml:space="preserve"/>
        </x:is>
      </x:c>
    </x:row>
    <x:row r="768" s="37" customFormat="1" ht="29.850000381469727" customHeight="1">
      <x:c r="A768" s="55" t="inlineStr">
        <x:is>
          <x:t xml:space="preserve">NEG-0767</x:t>
        </x:is>
      </x:c>
      <x:c r="B768" s="55" t="inlineStr">
        <x:is>
          <x:t xml:space="preserve">v5</x:t>
        </x:is>
      </x:c>
      <x:c r="C768" s="56" t="inlineStr">
        <x:is>
          <x:t xml:space="preserve">五、引用与转述</x:t>
        </x:is>
      </x:c>
      <x:c r="D768" s="56" t="inlineStr">
        <x:is>
          <x:t xml:space="preserve">5.4 研究与调查材料</x:t>
        </x:is>
      </x:c>
      <x:c r="E768" s="56" t="inlineStr">
        <x:is>
          <x:t xml:space="preserve">其他</x:t>
        </x:is>
      </x:c>
      <x:c r="F768" s="56" t="inlineStr">
        <x:is>
          <x:t xml:space="preserve">田野笔记</x:t>
        </x:is>
      </x:c>
      <x:c r="G768" s="55" t="inlineStr">
        <x:is>
          <x:t xml:space="preserve">无</x:t>
        </x:is>
      </x:c>
      <x:c r="H768" s="55" t="str">
        <x:f>IF(LEN(I768)&lt;15,"短",IF(LEN(I768)&lt;=45,"中","长"))</x:f>
        <x:v>中</x:v>
      </x:c>
      <x:c r="I768" s="56" t="inlineStr">
        <x:is>
          <x:t xml:space="preserve">笔记里记着：这家的女人不上桌，我问了三次都被岔开话头。</x:t>
        </x:is>
      </x:c>
      <x:c r="J768" s="56" t="str">
        <x:f>I768</x:f>
        <x:v>笔记里记着：这家的女人不上桌，我问了三次都被岔开话头。</x:v>
      </x:c>
      <x:c r="K768" s="55" t="inlineStr">
        <x:is>
          <x:t xml:space="preserve">无需改写</x:t>
        </x:is>
      </x:c>
      <x:c r="L768" s="56" t="inlineStr">
        <x:is>
          <x:t xml:space="preserve">女人</x:t>
        </x:is>
      </x:c>
      <x:c r="M768" s="56" t="inlineStr">
        <x:is>
          <x:t xml:space="preserve">田野观察的原始记录</x:t>
        </x:is>
      </x:c>
      <x:c r="N768" s="56" t="inlineStr">
        <x:is>
          <x:t xml:space="preserve">笔记里记着这家有分席的习惯</x:t>
        </x:is>
      </x:c>
      <x:c r="O768" s="55" t="inlineStr">
        <x:is>
          <x:t xml:space="preserve">难</x:t>
        </x:is>
      </x:c>
      <x:c r="P768" s="55" t="inlineStr">
        <x:is>
          <x:t xml:space="preserve">否</x:t>
        </x:is>
      </x:c>
      <x:c r="Q768" s="56" t="n"/>
      <x:c r="R768" s="57" t="inlineStr">
        <x:is>
          <x:t xml:space="preserve">主集</x:t>
        </x:is>
      </x:c>
      <x:c r="S768" s="57" t="inlineStr">
        <x:is>
          <x:t xml:space="preserve">index</x:t>
        </x:is>
      </x:c>
      <x:c r="T768" s="57" t="inlineStr">
        <x:is>
          <x:t xml:space="preserve"/>
        </x:is>
      </x:c>
    </x:row>
    <x:row r="769" s="37" customFormat="1" ht="29.850000381469727" customHeight="1">
      <x:c r="A769" s="55" t="inlineStr">
        <x:is>
          <x:t xml:space="preserve">NEG-0768</x:t>
        </x:is>
      </x:c>
      <x:c r="B769" s="55" t="inlineStr">
        <x:is>
          <x:t xml:space="preserve">v5</x:t>
        </x:is>
      </x:c>
      <x:c r="C769" s="56" t="inlineStr">
        <x:is>
          <x:t xml:space="preserve">五、引用与转述</x:t>
        </x:is>
      </x:c>
      <x:c r="D769" s="56" t="inlineStr">
        <x:is>
          <x:t xml:space="preserve">5.4 研究与调查材料</x:t>
        </x:is>
      </x:c>
      <x:c r="E769" s="56" t="inlineStr">
        <x:is>
          <x:t xml:space="preserve">学术与调研</x:t>
        </x:is>
      </x:c>
      <x:c r="F769" s="56" t="inlineStr">
        <x:is>
          <x:t xml:space="preserve">量表说明</x:t>
        </x:is>
      </x:c>
      <x:c r="G769" s="55" t="inlineStr">
        <x:is>
          <x:t xml:space="preserve">无</x:t>
        </x:is>
      </x:c>
      <x:c r="H769" s="55" t="str">
        <x:f>IF(LEN(I769)&lt;15,"短",IF(LEN(I769)&lt;=45,"中","长"))</x:f>
        <x:v>中</x:v>
      </x:c>
      <x:c r="I769" s="56" t="inlineStr">
        <x:is>
          <x:t xml:space="preserve">BSRI 性别角色量表包含“有雄心”“温柔”等六十个形容词条目。</x:t>
        </x:is>
      </x:c>
      <x:c r="J769" s="56" t="str">
        <x:f>I769</x:f>
        <x:v>BSRI 性别角色量表包含“有雄心”“温柔”等六十个形容词条目。</x:v>
      </x:c>
      <x:c r="K769" s="55" t="inlineStr">
        <x:is>
          <x:t xml:space="preserve">无需改写</x:t>
        </x:is>
      </x:c>
      <x:c r="L769" s="56" t="inlineStr">
        <x:is>
          <x:t xml:space="preserve">性别角色量表</x:t>
        </x:is>
      </x:c>
      <x:c r="M769" s="56" t="inlineStr">
        <x:is>
          <x:t xml:space="preserve">量表名称与条目原文</x:t>
        </x:is>
      </x:c>
      <x:c r="N769" s="56" t="inlineStr">
        <x:is>
          <x:t xml:space="preserve">该角色量表包含六十个形容词条目</x:t>
        </x:is>
      </x:c>
      <x:c r="O769" s="55" t="inlineStr">
        <x:is>
          <x:t xml:space="preserve">中</x:t>
        </x:is>
      </x:c>
      <x:c r="P769" s="55" t="inlineStr">
        <x:is>
          <x:t xml:space="preserve">否</x:t>
        </x:is>
      </x:c>
      <x:c r="Q769" s="56" t="n"/>
      <x:c r="R769" s="57" t="inlineStr">
        <x:is>
          <x:t xml:space="preserve">主集</x:t>
        </x:is>
      </x:c>
      <x:c r="S769" s="57" t="inlineStr">
        <x:is>
          <x:t xml:space="preserve">dev</x:t>
        </x:is>
      </x:c>
      <x:c r="T769" s="57" t="inlineStr">
        <x:is>
          <x:t xml:space="preserve"/>
        </x:is>
      </x:c>
    </x:row>
    <x:row r="770" s="37" customFormat="1" ht="29.850000381469727" customHeight="1">
      <x:c r="A770" s="55" t="inlineStr">
        <x:is>
          <x:t xml:space="preserve">NEG-0769</x:t>
        </x:is>
      </x:c>
      <x:c r="B770" s="55" t="inlineStr">
        <x:is>
          <x:t xml:space="preserve">v5</x:t>
        </x:is>
      </x:c>
      <x:c r="C770" s="56" t="inlineStr">
        <x:is>
          <x:t xml:space="preserve">五、引用与转述</x:t>
        </x:is>
      </x:c>
      <x:c r="D770" s="56" t="inlineStr">
        <x:is>
          <x:t xml:space="preserve">5.4 研究与调查材料</x:t>
        </x:is>
      </x:c>
      <x:c r="E770" s="56" t="inlineStr">
        <x:is>
          <x:t xml:space="preserve">学术与调研</x:t>
        </x:is>
      </x:c>
      <x:c r="F770" s="56" t="inlineStr">
        <x:is>
          <x:t xml:space="preserve">访谈转录</x:t>
        </x:is>
      </x:c>
      <x:c r="G770" s="55" t="inlineStr">
        <x:is>
          <x:t xml:space="preserve">无</x:t>
        </x:is>
      </x:c>
      <x:c r="H770" s="55" t="str">
        <x:f>IF(LEN(I770)&lt;15,"短",IF(LEN(I770)&lt;=45,"中","长"))</x:f>
        <x:v>中</x:v>
      </x:c>
      <x:c r="I770" s="56" t="inlineStr">
        <x:is>
          <x:t xml:space="preserve">受访者说：“我妈不让我念高中，说女孩子早晚是别人家的。”</x:t>
        </x:is>
      </x:c>
      <x:c r="J770" s="56" t="str">
        <x:f>I770</x:f>
        <x:v>受访者说：“我妈不让我念高中，说女孩子早晚是别人家的。”</x:v>
      </x:c>
      <x:c r="K770" s="55" t="inlineStr">
        <x:is>
          <x:t xml:space="preserve">无需改写</x:t>
        </x:is>
      </x:c>
      <x:c r="L770" s="56" t="inlineStr">
        <x:is>
          <x:t xml:space="preserve">我妈/女孩子</x:t>
        </x:is>
      </x:c>
      <x:c r="M770" s="56" t="inlineStr">
        <x:is>
          <x:t xml:space="preserve">转录稿属原始数据</x:t>
        </x:is>
      </x:c>
      <x:c r="N770" s="56" t="inlineStr">
        <x:is>
          <x:t xml:space="preserve">受访者说家人不让其念高中</x:t>
        </x:is>
      </x:c>
      <x:c r="O770" s="55" t="inlineStr">
        <x:is>
          <x:t xml:space="preserve">难</x:t>
        </x:is>
      </x:c>
      <x:c r="P770" s="55" t="inlineStr">
        <x:is>
          <x:t xml:space="preserve">否</x:t>
        </x:is>
      </x:c>
      <x:c r="Q770" s="56" t="n"/>
      <x:c r="R770" s="57" t="inlineStr">
        <x:is>
          <x:t xml:space="preserve">主集</x:t>
        </x:is>
      </x:c>
      <x:c r="S770" s="57" t="inlineStr">
        <x:is>
          <x:t xml:space="preserve">index</x:t>
        </x:is>
      </x:c>
      <x:c r="T770" s="57" t="inlineStr">
        <x:is>
          <x:t xml:space="preserve"/>
        </x:is>
      </x:c>
    </x:row>
    <x:row r="771" s="37" customFormat="1" ht="15" customHeight="1">
      <x:c r="A771" s="55" t="inlineStr">
        <x:is>
          <x:t xml:space="preserve">NEG-0770</x:t>
        </x:is>
      </x:c>
      <x:c r="B771" s="55" t="inlineStr">
        <x:is>
          <x:t xml:space="preserve">v5</x:t>
        </x:is>
      </x:c>
      <x:c r="C771" s="56" t="inlineStr">
        <x:is>
          <x:t xml:space="preserve">五、引用与转述</x:t>
        </x:is>
      </x:c>
      <x:c r="D771" s="56" t="inlineStr">
        <x:is>
          <x:t xml:space="preserve">5.4 研究与调查材料</x:t>
        </x:is>
      </x:c>
      <x:c r="E771" s="56" t="inlineStr">
        <x:is>
          <x:t xml:space="preserve">学术与调研</x:t>
        </x:is>
      </x:c>
      <x:c r="F771" s="56" t="inlineStr">
        <x:is>
          <x:t xml:space="preserve">编码记录</x:t>
        </x:is>
      </x:c>
      <x:c r="G771" s="55" t="inlineStr">
        <x:is>
          <x:t xml:space="preserve">无</x:t>
        </x:is>
      </x:c>
      <x:c r="H771" s="55" t="str">
        <x:f>IF(LEN(I771)&lt;15,"短",IF(LEN(I771)&lt;=45,"中","长"))</x:f>
        <x:v>中</x:v>
      </x:c>
      <x:c r="I771" s="56" t="inlineStr">
        <x:is>
          <x:t xml:space="preserve">开放式回答中，“当妈的都这样”被归入 T3 类。</x:t>
        </x:is>
      </x:c>
      <x:c r="J771" s="56" t="str">
        <x:f>I771</x:f>
        <x:v>开放式回答中，“当妈的都这样”被归入 T3 类。</x:v>
      </x:c>
      <x:c r="K771" s="55" t="inlineStr">
        <x:is>
          <x:t xml:space="preserve">无需改写</x:t>
        </x:is>
      </x:c>
      <x:c r="L771" s="56" t="inlineStr">
        <x:is>
          <x:t xml:space="preserve">当妈的</x:t>
        </x:is>
      </x:c>
      <x:c r="M771" s="56" t="inlineStr">
        <x:is>
          <x:t xml:space="preserve">被编码的原始回答</x:t>
        </x:is>
      </x:c>
      <x:c r="N771" s="56" t="inlineStr">
        <x:is>
          <x:t xml:space="preserve">开放式回答中的相关表述被归入 T3 类</x:t>
        </x:is>
      </x:c>
      <x:c r="O771" s="55" t="inlineStr">
        <x:is>
          <x:t xml:space="preserve">中</x:t>
        </x:is>
      </x:c>
      <x:c r="P771" s="55" t="inlineStr">
        <x:is>
          <x:t xml:space="preserve">否</x:t>
        </x:is>
      </x:c>
      <x:c r="Q771" s="56" t="n"/>
      <x:c r="R771" s="57" t="inlineStr">
        <x:is>
          <x:t xml:space="preserve">主集</x:t>
        </x:is>
      </x:c>
      <x:c r="S771" s="57" t="inlineStr">
        <x:is>
          <x:t xml:space="preserve">test</x:t>
        </x:is>
      </x:c>
      <x:c r="T771" s="57" t="inlineStr">
        <x:is>
          <x:t xml:space="preserve"/>
        </x:is>
      </x:c>
    </x:row>
    <x:row r="772" s="37" customFormat="1" ht="29.850000381469727" customHeight="1">
      <x:c r="A772" s="55" t="inlineStr">
        <x:is>
          <x:t xml:space="preserve">NEG-0771</x:t>
        </x:is>
      </x:c>
      <x:c r="B772" s="55" t="inlineStr">
        <x:is>
          <x:t xml:space="preserve">v5</x:t>
        </x:is>
      </x:c>
      <x:c r="C772" s="56" t="inlineStr">
        <x:is>
          <x:t xml:space="preserve">五、引用与转述</x:t>
        </x:is>
      </x:c>
      <x:c r="D772" s="56" t="inlineStr">
        <x:is>
          <x:t xml:space="preserve">5.4 研究与调查材料</x:t>
        </x:is>
      </x:c>
      <x:c r="E772" s="56" t="inlineStr">
        <x:is>
          <x:t xml:space="preserve">医疗健康</x:t>
        </x:is>
      </x:c>
      <x:c r="F772" s="56" t="inlineStr">
        <x:is>
          <x:t xml:space="preserve">标注指南</x:t>
        </x:is>
      </x:c>
      <x:c r="G772" s="55" t="inlineStr">
        <x:is>
          <x:t xml:space="preserve">结构化文本</x:t>
        </x:is>
      </x:c>
      <x:c r="H772" s="55" t="str">
        <x:f>IF(LEN(I772)&lt;15,"短",IF(LEN(I772)&lt;=45,"中","长"))</x:f>
        <x:v>中</x:v>
      </x:c>
      <x:c r="I772" s="56" t="inlineStr">
        <x:is>
          <x:t xml:space="preserve">标注要求：含性别刻板表述的样本一律标记为 1，不作改写。</x:t>
        </x:is>
      </x:c>
      <x:c r="J772" s="56" t="str">
        <x:f>I772</x:f>
        <x:v>标注要求：含性别刻板表述的样本一律标记为 1，不作改写。</x:v>
      </x:c>
      <x:c r="K772" s="55" t="inlineStr">
        <x:is>
          <x:t xml:space="preserve">无需改写</x:t>
        </x:is>
      </x:c>
      <x:c r="L772" s="56" t="inlineStr">
        <x:is>
          <x:t xml:space="preserve">性别刻板表述</x:t>
        </x:is>
      </x:c>
      <x:c r="M772" s="56" t="inlineStr">
        <x:is>
          <x:t xml:space="preserve">标注规范原文，且明确要求不改写</x:t>
        </x:is>
      </x:c>
      <x:c r="N772" s="56" t="inlineStr">
        <x:is>
          <x:t xml:space="preserve">标注要求：含相关表述的样本标记为 1</x:t>
        </x:is>
      </x:c>
      <x:c r="O772" s="55" t="inlineStr">
        <x:is>
          <x:t xml:space="preserve">难</x:t>
        </x:is>
      </x:c>
      <x:c r="P772" s="55" t="inlineStr">
        <x:is>
          <x:t xml:space="preserve">否</x:t>
        </x:is>
      </x:c>
      <x:c r="Q772" s="56" t="inlineStr">
        <x:is>
          <x:t xml:space="preserve">这条本身就在规定不改写</x:t>
        </x:is>
      </x:c>
      <x:c r="R772" s="57" t="inlineStr">
        <x:is>
          <x:t xml:space="preserve">主集</x:t>
        </x:is>
      </x:c>
      <x:c r="S772" s="57" t="inlineStr">
        <x:is>
          <x:t xml:space="preserve">test</x:t>
        </x:is>
      </x:c>
      <x:c r="T772" s="57" t="inlineStr">
        <x:is>
          <x:t xml:space="preserve"/>
        </x:is>
      </x:c>
    </x:row>
    <x:row r="773" s="37" customFormat="1" ht="29.850000381469727" customHeight="1">
      <x:c r="A773" s="55" t="inlineStr">
        <x:is>
          <x:t xml:space="preserve">NEG-0772</x:t>
        </x:is>
      </x:c>
      <x:c r="B773" s="55" t="inlineStr">
        <x:is>
          <x:t xml:space="preserve">v5</x:t>
        </x:is>
      </x:c>
      <x:c r="C773" s="56" t="inlineStr">
        <x:is>
          <x:t xml:space="preserve">五、引用与转述</x:t>
        </x:is>
      </x:c>
      <x:c r="D773" s="56" t="inlineStr">
        <x:is>
          <x:t xml:space="preserve">5.5 批判性转述与举例</x:t>
        </x:is>
      </x:c>
      <x:c r="E773" s="56" t="inlineStr">
        <x:is>
          <x:t xml:space="preserve">文艺创作与评论</x:t>
        </x:is>
      </x:c>
      <x:c r="F773" s="56" t="inlineStr">
        <x:is>
          <x:t xml:space="preserve">社会评论</x:t>
        </x:is>
      </x:c>
      <x:c r="G773" s="55" t="inlineStr">
        <x:is>
          <x:t xml:space="preserve">无</x:t>
        </x:is>
      </x:c>
      <x:c r="H773" s="55" t="str">
        <x:f>IF(LEN(I773)&lt;15,"短",IF(LEN(I773)&lt;=45,"中","长"))</x:f>
        <x:v>中</x:v>
      </x:c>
      <x:c r="I773" s="56" t="inlineStr">
        <x:is>
          <x:t xml:space="preserve">“女人四十豆腐渣”这类顺口溜，本身就是年龄与性别的双重贬低。</x:t>
        </x:is>
      </x:c>
      <x:c r="J773" s="56" t="str">
        <x:f>I773</x:f>
        <x:v>“女人四十豆腐渣”这类顺口溜，本身就是年龄与性别的双重贬低。</x:v>
      </x:c>
      <x:c r="K773" s="55" t="inlineStr">
        <x:is>
          <x:t xml:space="preserve">无需改写</x:t>
        </x:is>
      </x:c>
      <x:c r="L773" s="56" t="inlineStr">
        <x:is>
          <x:t xml:space="preserve">女人四十豆腐渣</x:t>
        </x:is>
      </x:c>
      <x:c r="M773" s="56" t="inlineStr">
        <x:is>
          <x:t xml:space="preserve">转述并批判该说法</x:t>
        </x:is>
      </x:c>
      <x:c r="N773" s="56" t="inlineStr">
        <x:is>
          <x:t xml:space="preserve">这类顺口溜本身就是年龄与性别的双重贬低</x:t>
        </x:is>
      </x:c>
      <x:c r="O773" s="55" t="inlineStr">
        <x:is>
          <x:t xml:space="preserve">难</x:t>
        </x:is>
      </x:c>
      <x:c r="P773" s="55" t="inlineStr">
        <x:is>
          <x:t xml:space="preserve">否</x:t>
        </x:is>
      </x:c>
      <x:c r="Q773" s="56" t="n"/>
      <x:c r="R773" s="57" t="inlineStr">
        <x:is>
          <x:t xml:space="preserve">主集</x:t>
        </x:is>
      </x:c>
      <x:c r="S773" s="57" t="inlineStr">
        <x:is>
          <x:t xml:space="preserve">test</x:t>
        </x:is>
      </x:c>
      <x:c r="T773" s="57" t="inlineStr">
        <x:is>
          <x:t xml:space="preserve"/>
        </x:is>
      </x:c>
    </x:row>
    <x:row r="774" s="37" customFormat="1" ht="29.850000381469727" customHeight="1">
      <x:c r="A774" s="55" t="inlineStr">
        <x:is>
          <x:t xml:space="preserve">NEG-0773</x:t>
        </x:is>
      </x:c>
      <x:c r="B774" s="55" t="inlineStr">
        <x:is>
          <x:t xml:space="preserve">v5</x:t>
        </x:is>
      </x:c>
      <x:c r="C774" s="56" t="inlineStr">
        <x:is>
          <x:t xml:space="preserve">五、引用与转述</x:t>
        </x:is>
      </x:c>
      <x:c r="D774" s="56" t="inlineStr">
        <x:is>
          <x:t xml:space="preserve">5.5 批判性转述与举例</x:t>
        </x:is>
      </x:c>
      <x:c r="E774" s="56" t="inlineStr">
        <x:is>
          <x:t xml:space="preserve">其他</x:t>
        </x:is>
      </x:c>
      <x:c r="F774" s="56" t="inlineStr">
        <x:is>
          <x:t xml:space="preserve">培训材料</x:t>
        </x:is>
      </x:c>
      <x:c r="G774" s="55" t="inlineStr">
        <x:is>
          <x:t xml:space="preserve">无</x:t>
        </x:is>
      </x:c>
      <x:c r="H774" s="55" t="str">
        <x:f>IF(LEN(I774)&lt;15,"短",IF(LEN(I774)&lt;=45,"中","长"))</x:f>
        <x:v>中</x:v>
      </x:c>
      <x:c r="I774" s="56" t="inlineStr">
        <x:is>
          <x:t xml:space="preserve">反歧视培训列了十条常见话术，第一条就是“这个岗位女生做不了”。</x:t>
        </x:is>
      </x:c>
      <x:c r="J774" s="56" t="str">
        <x:f>I774</x:f>
        <x:v>反歧视培训列了十条常见话术，第一条就是“这个岗位女生做不了”。</x:v>
      </x:c>
      <x:c r="K774" s="55" t="inlineStr">
        <x:is>
          <x:t xml:space="preserve">无需改写</x:t>
        </x:is>
      </x:c>
      <x:c r="L774" s="56" t="inlineStr">
        <x:is>
          <x:t xml:space="preserve">女生做不了</x:t>
        </x:is>
      </x:c>
      <x:c r="M774" s="56" t="inlineStr">
        <x:is>
          <x:t xml:space="preserve">反面话术示例，是培训内容本身</x:t>
        </x:is>
      </x:c>
      <x:c r="N774" s="56" t="inlineStr">
        <x:is>
          <x:t xml:space="preserve">反歧视培训列了十条常见的不当话术</x:t>
        </x:is>
      </x:c>
      <x:c r="O774" s="55" t="inlineStr">
        <x:is>
          <x:t xml:space="preserve">难</x:t>
        </x:is>
      </x:c>
      <x:c r="P774" s="55" t="inlineStr">
        <x:is>
          <x:t xml:space="preserve">否</x:t>
        </x:is>
      </x:c>
      <x:c r="Q774" s="56" t="n"/>
      <x:c r="R774" s="57" t="inlineStr">
        <x:is>
          <x:t xml:space="preserve">主集</x:t>
        </x:is>
      </x:c>
      <x:c r="S774" s="57" t="inlineStr">
        <x:is>
          <x:t xml:space="preserve">dev</x:t>
        </x:is>
      </x:c>
      <x:c r="T774" s="57" t="inlineStr">
        <x:is>
          <x:t xml:space="preserve"/>
        </x:is>
      </x:c>
    </x:row>
    <x:row r="775" s="37" customFormat="1" ht="29.850000381469727" customHeight="1">
      <x:c r="A775" s="55" t="inlineStr">
        <x:is>
          <x:t xml:space="preserve">NEG-0774</x:t>
        </x:is>
      </x:c>
      <x:c r="B775" s="55" t="inlineStr">
        <x:is>
          <x:t xml:space="preserve">v5</x:t>
        </x:is>
      </x:c>
      <x:c r="C775" s="56" t="inlineStr">
        <x:is>
          <x:t xml:space="preserve">五、引用与转述</x:t>
        </x:is>
      </x:c>
      <x:c r="D775" s="56" t="inlineStr">
        <x:is>
          <x:t xml:space="preserve">5.5 批判性转述与举例</x:t>
        </x:is>
      </x:c>
      <x:c r="E775" s="56" t="inlineStr">
        <x:is>
          <x:t xml:space="preserve">其他</x:t>
        </x:is>
      </x:c>
      <x:c r="F775" s="56" t="inlineStr">
        <x:is>
          <x:t xml:space="preserve">数据标注</x:t>
        </x:is>
      </x:c>
      <x:c r="G775" s="55" t="inlineStr">
        <x:is>
          <x:t xml:space="preserve">无</x:t>
        </x:is>
      </x:c>
      <x:c r="H775" s="55" t="str">
        <x:f>IF(LEN(I775)&lt;15,"短",IF(LEN(I775)&lt;=45,"中","长"))</x:f>
        <x:v>中</x:v>
      </x:c>
      <x:c r="I775" s="56" t="inlineStr">
        <x:is>
          <x:t xml:space="preserve">负面样本集里包含“娘炮”“剩女”等贬抑词，用于训练识别模型。</x:t>
        </x:is>
      </x:c>
      <x:c r="J775" s="56" t="str">
        <x:f>I775</x:f>
        <x:v>负面样本集里包含“娘炮”“剩女”等贬抑词，用于训练识别模型。</x:v>
      </x:c>
      <x:c r="K775" s="55" t="inlineStr">
        <x:is>
          <x:t xml:space="preserve">无需改写</x:t>
        </x:is>
      </x:c>
      <x:c r="L775" s="56" t="inlineStr">
        <x:is>
          <x:t xml:space="preserve">娘炮/剩女</x:t>
        </x:is>
      </x:c>
      <x:c r="M775" s="56" t="inlineStr">
        <x:is>
          <x:t xml:space="preserve">训练语料中的目标词，删去则模型无从学习</x:t>
        </x:is>
      </x:c>
      <x:c r="N775" s="56" t="inlineStr">
        <x:is>
          <x:t xml:space="preserve">负面样本集里包含若干贬抑词</x:t>
        </x:is>
      </x:c>
      <x:c r="O775" s="55" t="inlineStr">
        <x:is>
          <x:t xml:space="preserve">难</x:t>
        </x:is>
      </x:c>
      <x:c r="P775" s="55" t="inlineStr">
        <x:is>
          <x:t xml:space="preserve">否</x:t>
        </x:is>
      </x:c>
      <x:c r="Q775" s="56" t="n"/>
      <x:c r="R775" s="57" t="inlineStr">
        <x:is>
          <x:t xml:space="preserve">主集</x:t>
        </x:is>
      </x:c>
      <x:c r="S775" s="57" t="inlineStr">
        <x:is>
          <x:t xml:space="preserve">dev</x:t>
        </x:is>
      </x:c>
      <x:c r="T775" s="57" t="inlineStr">
        <x:is>
          <x:t xml:space="preserve"/>
        </x:is>
      </x:c>
    </x:row>
    <x:row r="776" s="37" customFormat="1" ht="15" customHeight="1">
      <x:c r="A776" s="55" t="inlineStr">
        <x:is>
          <x:t xml:space="preserve">NEG-0775</x:t>
        </x:is>
      </x:c>
      <x:c r="B776" s="55" t="inlineStr">
        <x:is>
          <x:t xml:space="preserve">v5</x:t>
        </x:is>
      </x:c>
      <x:c r="C776" s="56" t="inlineStr">
        <x:is>
          <x:t xml:space="preserve">五、引用与转述</x:t>
        </x:is>
      </x:c>
      <x:c r="D776" s="56" t="inlineStr">
        <x:is>
          <x:t xml:space="preserve">5.5 批判性转述与举例</x:t>
        </x:is>
      </x:c>
      <x:c r="E776" s="56" t="inlineStr">
        <x:is>
          <x:t xml:space="preserve">新闻报道</x:t>
        </x:is>
      </x:c>
      <x:c r="F776" s="56" t="inlineStr">
        <x:is>
          <x:t xml:space="preserve">媒体批评</x:t>
        </x:is>
      </x:c>
      <x:c r="G776" s="55" t="inlineStr">
        <x:is>
          <x:t xml:space="preserve">无</x:t>
        </x:is>
      </x:c>
      <x:c r="H776" s="55" t="str">
        <x:f>IF(LEN(I776)&lt;15,"短",IF(LEN(I776)&lt;=45,"中","长"))</x:f>
        <x:v>中</x:v>
      </x:c>
      <x:c r="I776" s="56" t="inlineStr">
        <x:is>
          <x:t xml:space="preserve">报道用“女司机”作标题关键词，被指强化了既有偏见。</x:t>
        </x:is>
      </x:c>
      <x:c r="J776" s="56" t="str">
        <x:f>I776</x:f>
        <x:v>报道用“女司机”作标题关键词，被指强化了既有偏见。</x:v>
      </x:c>
      <x:c r="K776" s="55" t="inlineStr">
        <x:is>
          <x:t xml:space="preserve">无需改写</x:t>
        </x:is>
      </x:c>
      <x:c r="L776" s="56" t="inlineStr">
        <x:is>
          <x:t xml:space="preserve">女司机</x:t>
        </x:is>
      </x:c>
      <x:c r="M776" s="56" t="inlineStr">
        <x:is>
          <x:t xml:space="preserve">被批评对象的原文</x:t>
        </x:is>
      </x:c>
      <x:c r="N776" s="56" t="inlineStr">
        <x:is>
          <x:t xml:space="preserve">报道的标题关键词被指强化了既有偏见</x:t>
        </x:is>
      </x:c>
      <x:c r="O776" s="55" t="inlineStr">
        <x:is>
          <x:t xml:space="preserve">难</x:t>
        </x:is>
      </x:c>
      <x:c r="P776" s="55" t="inlineStr">
        <x:is>
          <x:t xml:space="preserve">否</x:t>
        </x:is>
      </x:c>
      <x:c r="Q776" s="56" t="n"/>
      <x:c r="R776" s="57" t="inlineStr">
        <x:is>
          <x:t xml:space="preserve">主集</x:t>
        </x:is>
      </x:c>
      <x:c r="S776" s="57" t="inlineStr">
        <x:is>
          <x:t xml:space="preserve">index</x:t>
        </x:is>
      </x:c>
      <x:c r="T776" s="57" t="inlineStr">
        <x:is>
          <x:t xml:space="preserve"/>
        </x:is>
      </x:c>
    </x:row>
    <x:row r="777" s="37" customFormat="1" ht="29.850000381469727" customHeight="1">
      <x:c r="A777" s="58" t="inlineStr">
        <x:is>
          <x:t xml:space="preserve">NEG-0776</x:t>
        </x:is>
      </x:c>
      <x:c r="B777" s="58" t="inlineStr">
        <x:is>
          <x:t xml:space="preserve">v5</x:t>
        </x:is>
      </x:c>
      <x:c r="C777" s="59" t="inlineStr">
        <x:is>
          <x:t xml:space="preserve">五、引用与转述</x:t>
        </x:is>
      </x:c>
      <x:c r="D777" s="59" t="inlineStr">
        <x:is>
          <x:t xml:space="preserve">5.5 批判性转述与举例</x:t>
        </x:is>
      </x:c>
      <x:c r="E777" s="59" t="inlineStr">
        <x:is>
          <x:t xml:space="preserve">学术与调研</x:t>
        </x:is>
      </x:c>
      <x:c r="F777" s="59" t="inlineStr">
        <x:is>
          <x:t xml:space="preserve">学术论文</x:t>
        </x:is>
      </x:c>
      <x:c r="G777" s="58" t="inlineStr">
        <x:is>
          <x:t xml:space="preserve">无</x:t>
        </x:is>
      </x:c>
      <x:c r="H777" s="58" t="str">
        <x:f>IF(LEN(I777)&lt;15,"短",IF(LEN(I777)&lt;=45,"中","长"))</x:f>
        <x:v>中</x:v>
      </x:c>
      <x:c r="I777" s="59" t="inlineStr">
        <x:is>
          <x:t xml:space="preserve">本文将“干得好不如嫁得好”作为待检验的观念指标之一。</x:t>
        </x:is>
      </x:c>
      <x:c r="J777" s="59" t="str">
        <x:f>I777</x:f>
        <x:v>本文将“干得好不如嫁得好”作为待检验的观念指标之一。</x:v>
      </x:c>
      <x:c r="K777" s="58" t="inlineStr">
        <x:is>
          <x:t xml:space="preserve">无需改写</x:t>
        </x:is>
      </x:c>
      <x:c r="L777" s="59" t="inlineStr">
        <x:is>
          <x:t xml:space="preserve">干得好不如嫁得好</x:t>
        </x:is>
      </x:c>
      <x:c r="M777" s="59" t="inlineStr">
        <x:is>
          <x:t xml:space="preserve">研究中的测量指标</x:t>
        </x:is>
      </x:c>
      <x:c r="N777" s="59" t="inlineStr">
        <x:is>
          <x:t xml:space="preserve">本文将一种传统观念作为待检验指标</x:t>
        </x:is>
      </x:c>
      <x:c r="O777" s="58" t="inlineStr">
        <x:is>
          <x:t xml:space="preserve">难</x:t>
        </x:is>
      </x:c>
      <x:c r="P777" s="58" t="inlineStr">
        <x:is>
          <x:t xml:space="preserve">否</x:t>
        </x:is>
      </x:c>
      <x:c r="Q777" s="59" t="n"/>
      <x:c r="R777" s="60" t="inlineStr">
        <x:is>
          <x:t xml:space="preserve">隔离·待确认</x:t>
        </x:is>
      </x:c>
      <x:c r="S777" s="60" t="inlineStr">
        <x:is>
          <x:t xml:space="preserve"/>
        </x:is>
      </x:c>
      <x:c r="T777" s="60" t="inlineStr">
        <x:is>
          <x:t xml:space="preserve">触发词不含性别编码——判断可能依赖世界知识而非句内信息</x:t>
        </x:is>
      </x:c>
    </x:row>
    <x:row r="778" s="37" customFormat="1" ht="29.850000381469727" customHeight="1">
      <x:c r="A778" s="55" t="inlineStr">
        <x:is>
          <x:t xml:space="preserve">NEG-0777</x:t>
        </x:is>
      </x:c>
      <x:c r="B778" s="55" t="inlineStr">
        <x:is>
          <x:t xml:space="preserve">v5</x:t>
        </x:is>
      </x:c>
      <x:c r="C778" s="56" t="inlineStr">
        <x:is>
          <x:t xml:space="preserve">六、自我认同与自称</x:t>
        </x:is>
      </x:c>
      <x:c r="D778" s="56" t="inlineStr">
        <x:is>
          <x:t xml:space="preserve">6.1 自我描述的性别标签</x:t>
        </x:is>
      </x:c>
      <x:c r="E778" s="56" t="inlineStr">
        <x:is>
          <x:t xml:space="preserve">其他</x:t>
        </x:is>
      </x:c>
      <x:c r="F778" s="56" t="inlineStr">
        <x:is>
          <x:t xml:space="preserve">简历</x:t>
        </x:is>
      </x:c>
      <x:c r="G778" s="55" t="inlineStr">
        <x:is>
          <x:t xml:space="preserve">无</x:t>
        </x:is>
      </x:c>
      <x:c r="H778" s="55" t="str">
        <x:f>IF(LEN(I778)&lt;15,"短",IF(LEN(I778)&lt;=45,"中","长"))</x:f>
        <x:v>中</x:v>
      </x:c>
      <x:c r="I778" s="56" t="inlineStr">
        <x:is>
          <x:t xml:space="preserve">她在简历末尾写着“职场妈妈，时间管理还行”。</x:t>
        </x:is>
      </x:c>
      <x:c r="J778" s="56" t="str">
        <x:f>I778</x:f>
        <x:v>她在简历末尾写着“职场妈妈，时间管理还行”。</x:v>
      </x:c>
      <x:c r="K778" s="55" t="inlineStr">
        <x:is>
          <x:t xml:space="preserve">无需改写</x:t>
        </x:is>
      </x:c>
      <x:c r="L778" s="56" t="inlineStr">
        <x:is>
          <x:t xml:space="preserve">职场妈妈</x:t>
        </x:is>
      </x:c>
      <x:c r="M778" s="56" t="inlineStr">
        <x:is>
          <x:t xml:space="preserve">本人自选的自我描述</x:t>
        </x:is>
      </x:c>
      <x:c r="N778" s="56" t="inlineStr">
        <x:is>
          <x:t xml:space="preserve">她在简历末尾写着“在职家长，时间管理还行”</x:t>
        </x:is>
      </x:c>
      <x:c r="O778" s="55" t="inlineStr">
        <x:is>
          <x:t xml:space="preserve">难</x:t>
        </x:is>
      </x:c>
      <x:c r="P778" s="55" t="inlineStr">
        <x:is>
          <x:t xml:space="preserve">否</x:t>
        </x:is>
      </x:c>
      <x:c r="Q778" s="56" t="n"/>
      <x:c r="R778" s="57" t="inlineStr">
        <x:is>
          <x:t xml:space="preserve">主集</x:t>
        </x:is>
      </x:c>
      <x:c r="S778" s="57" t="inlineStr">
        <x:is>
          <x:t xml:space="preserve">index</x:t>
        </x:is>
      </x:c>
      <x:c r="T778" s="57" t="inlineStr">
        <x:is>
          <x:t xml:space="preserve"/>
        </x:is>
      </x:c>
    </x:row>
    <x:row r="779" s="37" customFormat="1" ht="15" customHeight="1">
      <x:c r="A779" s="55" t="inlineStr">
        <x:is>
          <x:t xml:space="preserve">NEG-0778</x:t>
        </x:is>
      </x:c>
      <x:c r="B779" s="55" t="inlineStr">
        <x:is>
          <x:t xml:space="preserve">v5</x:t>
        </x:is>
      </x:c>
      <x:c r="C779" s="56" t="inlineStr">
        <x:is>
          <x:t xml:space="preserve">六、自我认同与自称</x:t>
        </x:is>
      </x:c>
      <x:c r="D779" s="56" t="inlineStr">
        <x:is>
          <x:t xml:space="preserve">6.1 自我描述的性别标签</x:t>
        </x:is>
      </x:c>
      <x:c r="E779" s="56" t="inlineStr">
        <x:is>
          <x:t xml:space="preserve">文艺创作与评论</x:t>
        </x:is>
      </x:c>
      <x:c r="F779" s="56" t="inlineStr">
        <x:is>
          <x:t xml:space="preserve">人物采访</x:t>
        </x:is>
      </x:c>
      <x:c r="G779" s="55" t="inlineStr">
        <x:is>
          <x:t xml:space="preserve">网络用语</x:t>
        </x:is>
      </x:c>
      <x:c r="H779" s="55" t="str">
        <x:f>IF(LEN(I779)&lt;15,"短",IF(LEN(I779)&lt;=45,"中","长"))</x:f>
        <x:v>中</x:v>
      </x:c>
      <x:c r="I779" s="56" t="inlineStr">
        <x:is>
          <x:t xml:space="preserve">他管自己叫“娘man”，说这个词形容他刚刚好。</x:t>
        </x:is>
      </x:c>
      <x:c r="J779" s="56" t="str">
        <x:f>I779</x:f>
        <x:v>他管自己叫“娘man”，说这个词形容他刚刚好。</x:v>
      </x:c>
      <x:c r="K779" s="55" t="inlineStr">
        <x:is>
          <x:t xml:space="preserve">无需改写</x:t>
        </x:is>
      </x:c>
      <x:c r="L779" s="56" t="inlineStr">
        <x:is>
          <x:t xml:space="preserve">娘man</x:t>
        </x:is>
      </x:c>
      <x:c r="M779" s="56" t="inlineStr">
        <x:is>
          <x:t xml:space="preserve">自选标签，且已说明贴合自身</x:t>
        </x:is>
      </x:c>
      <x:c r="N779" s="56" t="inlineStr">
        <x:is>
          <x:t xml:space="preserve">他说自己气质比较多元</x:t>
        </x:is>
      </x:c>
      <x:c r="O779" s="55" t="inlineStr">
        <x:is>
          <x:t xml:space="preserve">难</x:t>
        </x:is>
      </x:c>
      <x:c r="P779" s="55" t="inlineStr">
        <x:is>
          <x:t xml:space="preserve">否</x:t>
        </x:is>
      </x:c>
      <x:c r="Q779" s="56" t="n"/>
      <x:c r="R779" s="57" t="inlineStr">
        <x:is>
          <x:t xml:space="preserve">主集</x:t>
        </x:is>
      </x:c>
      <x:c r="S779" s="57" t="inlineStr">
        <x:is>
          <x:t xml:space="preserve">dev</x:t>
        </x:is>
      </x:c>
      <x:c r="T779" s="57" t="inlineStr">
        <x:is>
          <x:t xml:space="preserve"/>
        </x:is>
      </x:c>
    </x:row>
    <x:row r="780" s="37" customFormat="1" ht="15" customHeight="1">
      <x:c r="A780" s="55" t="inlineStr">
        <x:is>
          <x:t xml:space="preserve">NEG-0779</x:t>
        </x:is>
      </x:c>
      <x:c r="B780" s="55" t="inlineStr">
        <x:is>
          <x:t xml:space="preserve">v5</x:t>
        </x:is>
      </x:c>
      <x:c r="C780" s="56" t="inlineStr">
        <x:is>
          <x:t xml:space="preserve">六、自我认同与自称</x:t>
        </x:is>
      </x:c>
      <x:c r="D780" s="56" t="inlineStr">
        <x:is>
          <x:t xml:space="preserve">6.1 自我描述的性别标签</x:t>
        </x:is>
      </x:c>
      <x:c r="E780" s="56" t="inlineStr">
        <x:is>
          <x:t xml:space="preserve">学术与调研</x:t>
        </x:is>
      </x:c>
      <x:c r="F780" s="56" t="inlineStr">
        <x:is>
          <x:t xml:space="preserve">访谈</x:t>
        </x:is>
      </x:c>
      <x:c r="G780" s="55" t="inlineStr">
        <x:is>
          <x:t xml:space="preserve">无</x:t>
        </x:is>
      </x:c>
      <x:c r="H780" s="55" t="str">
        <x:f>IF(LEN(I780)&lt;15,"短",IF(LEN(I780)&lt;=45,"中","长"))</x:f>
        <x:v>中</x:v>
      </x:c>
      <x:c r="I780" s="56" t="inlineStr">
        <x:is>
          <x:t xml:space="preserve">“我是个女权主义者。”她说这话时没有半点迟疑。</x:t>
        </x:is>
      </x:c>
      <x:c r="J780" s="56" t="str">
        <x:f>I780</x:f>
        <x:v>“我是个女权主义者。”她说这话时没有半点迟疑。</x:v>
      </x:c>
      <x:c r="K780" s="55" t="inlineStr">
        <x:is>
          <x:t xml:space="preserve">无需改写</x:t>
        </x:is>
      </x:c>
      <x:c r="L780" s="56" t="inlineStr">
        <x:is>
          <x:t xml:space="preserve">女权主义者</x:t>
        </x:is>
      </x:c>
      <x:c r="M780" s="56" t="inlineStr">
        <x:is>
          <x:t xml:space="preserve">当事人的立场自陈</x:t>
        </x:is>
      </x:c>
      <x:c r="N780" s="56" t="inlineStr">
        <x:is>
          <x:t xml:space="preserve">她表明了自己的立场，没有半点迟疑</x:t>
        </x:is>
      </x:c>
      <x:c r="O780" s="55" t="inlineStr">
        <x:is>
          <x:t xml:space="preserve">中</x:t>
        </x:is>
      </x:c>
      <x:c r="P780" s="55" t="inlineStr">
        <x:is>
          <x:t xml:space="preserve">否</x:t>
        </x:is>
      </x:c>
      <x:c r="Q780" s="56" t="n"/>
      <x:c r="R780" s="57" t="inlineStr">
        <x:is>
          <x:t xml:space="preserve">主集</x:t>
        </x:is>
      </x:c>
      <x:c r="S780" s="57" t="inlineStr">
        <x:is>
          <x:t xml:space="preserve">test</x:t>
        </x:is>
      </x:c>
      <x:c r="T780" s="57" t="inlineStr">
        <x:is>
          <x:t xml:space="preserve"/>
        </x:is>
      </x:c>
    </x:row>
    <x:row r="781" s="37" customFormat="1" ht="15" customHeight="1">
      <x:c r="A781" s="58" t="inlineStr">
        <x:is>
          <x:t xml:space="preserve">NEG-0780</x:t>
        </x:is>
      </x:c>
      <x:c r="B781" s="58" t="inlineStr">
        <x:is>
          <x:t xml:space="preserve">v5</x:t>
        </x:is>
      </x:c>
      <x:c r="C781" s="59" t="inlineStr">
        <x:is>
          <x:t xml:space="preserve">六、自我认同与自称</x:t>
        </x:is>
      </x:c>
      <x:c r="D781" s="59" t="inlineStr">
        <x:is>
          <x:t xml:space="preserve">6.1 自我描述的性别标签</x:t>
        </x:is>
      </x:c>
      <x:c r="E781" s="59" t="inlineStr">
        <x:is>
          <x:t xml:space="preserve">社交与社区</x:t>
        </x:is>
      </x:c>
      <x:c r="F781" s="59" t="inlineStr">
        <x:is>
          <x:t xml:space="preserve">弹幕</x:t>
        </x:is>
      </x:c>
      <x:c r="G781" s="58" t="inlineStr">
        <x:is>
          <x:t xml:space="preserve">网络用语</x:t>
        </x:is>
      </x:c>
      <x:c r="H781" s="58" t="str">
        <x:f>IF(LEN(I781)&lt;15,"短",IF(LEN(I781)&lt;=45,"中","长"))</x:f>
        <x:v>中</x:v>
      </x:c>
      <x:c r="I781" s="59" t="inlineStr">
        <x:is>
          <x:t xml:space="preserve">弹幕在刷“本宫乏了”，跟性别没关系，就是个梗。</x:t>
        </x:is>
      </x:c>
      <x:c r="J781" s="59" t="str">
        <x:f>I781</x:f>
        <x:v>弹幕在刷“本宫乏了”，跟性别没关系，就是个梗。</x:v>
      </x:c>
      <x:c r="K781" s="58" t="inlineStr">
        <x:is>
          <x:t xml:space="preserve">无需改写</x:t>
        </x:is>
      </x:c>
      <x:c r="L781" s="59" t="inlineStr">
        <x:is>
          <x:t xml:space="preserve">本宫</x:t>
        </x:is>
      </x:c>
      <x:c r="M781" s="59" t="inlineStr">
        <x:is>
          <x:t xml:space="preserve">网络梗的使用说明</x:t>
        </x:is>
      </x:c>
      <x:c r="N781" s="59" t="inlineStr">
        <x:is>
          <x:t xml:space="preserve">弹幕在刷一句流行语，跟性别没关系</x:t>
        </x:is>
      </x:c>
      <x:c r="O781" s="58" t="inlineStr">
        <x:is>
          <x:t xml:space="preserve">中</x:t>
        </x:is>
      </x:c>
      <x:c r="P781" s="58" t="inlineStr">
        <x:is>
          <x:t xml:space="preserve">否</x:t>
        </x:is>
      </x:c>
      <x:c r="Q781" s="59" t="n"/>
      <x:c r="R781" s="60" t="inlineStr">
        <x:is>
          <x:t xml:space="preserve">隔离·待确认</x:t>
        </x:is>
      </x:c>
      <x:c r="S781" s="60" t="inlineStr">
        <x:is>
          <x:t xml:space="preserve"/>
        </x:is>
      </x:c>
      <x:c r="T781" s="60" t="inlineStr">
        <x:is>
          <x:t xml:space="preserve">触发词不含性别编码——判断可能依赖世界知识而非句内信息</x:t>
        </x:is>
      </x:c>
    </x:row>
    <x:row r="782" s="37" customFormat="1" ht="29.850000381469727" customHeight="1">
      <x:c r="A782" s="55" t="inlineStr">
        <x:is>
          <x:t xml:space="preserve">NEG-0781</x:t>
        </x:is>
      </x:c>
      <x:c r="B782" s="55" t="inlineStr">
        <x:is>
          <x:t xml:space="preserve">v5</x:t>
        </x:is>
      </x:c>
      <x:c r="C782" s="56" t="inlineStr">
        <x:is>
          <x:t xml:space="preserve">六、自我认同与自称</x:t>
        </x:is>
      </x:c>
      <x:c r="D782" s="56" t="inlineStr">
        <x:is>
          <x:t xml:space="preserve">6.1 自我描述的性别标签</x:t>
        </x:is>
      </x:c>
      <x:c r="E782" s="56" t="inlineStr">
        <x:is>
          <x:t xml:space="preserve">其他</x:t>
        </x:is>
      </x:c>
      <x:c r="F782" s="56" t="inlineStr">
        <x:is>
          <x:t xml:space="preserve">观点文章</x:t>
        </x:is>
      </x:c>
      <x:c r="G782" s="55" t="inlineStr">
        <x:is>
          <x:t xml:space="preserve">无</x:t>
        </x:is>
      </x:c>
      <x:c r="H782" s="55" t="str">
        <x:f>IF(LEN(I782)&lt;15,"短",IF(LEN(I782)&lt;=45,"中","长"))</x:f>
        <x:v>中</x:v>
      </x:c>
      <x:c r="I782" s="56" t="inlineStr">
        <x:is>
          <x:t xml:space="preserve">他自称“男性主义者”，主张男性同样应从性别议题中受益。</x:t>
        </x:is>
      </x:c>
      <x:c r="J782" s="56" t="str">
        <x:f>I782</x:f>
        <x:v>他自称“男性主义者”，主张男性同样应从性别议题中受益。</x:v>
      </x:c>
      <x:c r="K782" s="55" t="inlineStr">
        <x:is>
          <x:t xml:space="preserve">无需改写</x:t>
        </x:is>
      </x:c>
      <x:c r="L782" s="56" t="inlineStr">
        <x:is>
          <x:t xml:space="preserve">男性主义者/男性</x:t>
        </x:is>
      </x:c>
      <x:c r="M782" s="56" t="inlineStr">
        <x:is>
          <x:t xml:space="preserve">作者的立场自陈</x:t>
        </x:is>
      </x:c>
      <x:c r="N782" s="56" t="inlineStr">
        <x:is>
          <x:t xml:space="preserve">他主张各方同样应从性别议题中受益</x:t>
        </x:is>
      </x:c>
      <x:c r="O782" s="55" t="inlineStr">
        <x:is>
          <x:t xml:space="preserve">难</x:t>
        </x:is>
      </x:c>
      <x:c r="P782" s="55" t="inlineStr">
        <x:is>
          <x:t xml:space="preserve">否</x:t>
        </x:is>
      </x:c>
      <x:c r="Q782" s="56" t="n"/>
      <x:c r="R782" s="57" t="inlineStr">
        <x:is>
          <x:t xml:space="preserve">主集</x:t>
        </x:is>
      </x:c>
      <x:c r="S782" s="57" t="inlineStr">
        <x:is>
          <x:t xml:space="preserve">index</x:t>
        </x:is>
      </x:c>
      <x:c r="T782" s="57" t="inlineStr">
        <x:is>
          <x:t xml:space="preserve"/>
        </x:is>
      </x:c>
    </x:row>
    <x:row r="783" s="37" customFormat="1" ht="15" customHeight="1">
      <x:c r="A783" s="55" t="inlineStr">
        <x:is>
          <x:t xml:space="preserve">NEG-0782</x:t>
        </x:is>
      </x:c>
      <x:c r="B783" s="55" t="inlineStr">
        <x:is>
          <x:t xml:space="preserve">v5</x:t>
        </x:is>
      </x:c>
      <x:c r="C783" s="56" t="inlineStr">
        <x:is>
          <x:t xml:space="preserve">六、自我认同与自称</x:t>
        </x:is>
      </x:c>
      <x:c r="D783" s="56" t="inlineStr">
        <x:is>
          <x:t xml:space="preserve">6.2 主动声明的性别与代词</x:t>
        </x:is>
      </x:c>
      <x:c r="E783" s="56" t="inlineStr">
        <x:is>
          <x:t xml:space="preserve">其他</x:t>
        </x:is>
      </x:c>
      <x:c r="F783" s="56" t="inlineStr">
        <x:is>
          <x:t xml:space="preserve">会议现场</x:t>
        </x:is>
      </x:c>
      <x:c r="G783" s="55" t="inlineStr">
        <x:is>
          <x:t xml:space="preserve">无</x:t>
        </x:is>
      </x:c>
      <x:c r="H783" s="55" t="str">
        <x:f>IF(LEN(I783)&lt;15,"短",IF(LEN(I783)&lt;=45,"中","长"))</x:f>
        <x:v>中</x:v>
      </x:c>
      <x:c r="I783" s="56" t="inlineStr">
        <x:is>
          <x:t xml:space="preserve">会议名牌上她自己加了一行小字：她/她的。</x:t>
        </x:is>
      </x:c>
      <x:c r="J783" s="56" t="str">
        <x:f>I783</x:f>
        <x:v>会议名牌上她自己加了一行小字：她/她的。</x:v>
      </x:c>
      <x:c r="K783" s="55" t="inlineStr">
        <x:is>
          <x:t xml:space="preserve">无需改写</x:t>
        </x:is>
      </x:c>
      <x:c r="L783" s="56" t="inlineStr">
        <x:is>
          <x:t xml:space="preserve">她/她的</x:t>
        </x:is>
      </x:c>
      <x:c r="M783" s="56" t="inlineStr">
        <x:is>
          <x:t xml:space="preserve">本人主动添加的代词标注</x:t>
        </x:is>
      </x:c>
      <x:c r="N783" s="56" t="inlineStr">
        <x:is>
          <x:t xml:space="preserve">会议名牌上她自己加了代词标识</x:t>
        </x:is>
      </x:c>
      <x:c r="O783" s="55" t="inlineStr">
        <x:is>
          <x:t xml:space="preserve">难</x:t>
        </x:is>
      </x:c>
      <x:c r="P783" s="55" t="inlineStr">
        <x:is>
          <x:t xml:space="preserve">否</x:t>
        </x:is>
      </x:c>
      <x:c r="Q783" s="56" t="n"/>
      <x:c r="R783" s="57" t="inlineStr">
        <x:is>
          <x:t xml:space="preserve">主集</x:t>
        </x:is>
      </x:c>
      <x:c r="S783" s="57" t="inlineStr">
        <x:is>
          <x:t xml:space="preserve">index</x:t>
        </x:is>
      </x:c>
      <x:c r="T783" s="57" t="inlineStr">
        <x:is>
          <x:t xml:space="preserve"/>
        </x:is>
      </x:c>
    </x:row>
    <x:row r="784" s="37" customFormat="1" ht="15" customHeight="1">
      <x:c r="A784" s="55" t="inlineStr">
        <x:is>
          <x:t xml:space="preserve">NEG-0783</x:t>
        </x:is>
      </x:c>
      <x:c r="B784" s="55" t="inlineStr">
        <x:is>
          <x:t xml:space="preserve">v5</x:t>
        </x:is>
      </x:c>
      <x:c r="C784" s="56" t="inlineStr">
        <x:is>
          <x:t xml:space="preserve">六、自我认同与自称</x:t>
        </x:is>
      </x:c>
      <x:c r="D784" s="56" t="inlineStr">
        <x:is>
          <x:t xml:space="preserve">6.2 主动声明的性别与代词</x:t>
        </x:is>
      </x:c>
      <x:c r="E784" s="56" t="inlineStr">
        <x:is>
          <x:t xml:space="preserve">其他</x:t>
        </x:is>
      </x:c>
      <x:c r="F784" s="56" t="inlineStr">
        <x:is>
          <x:t xml:space="preserve">入职流程</x:t>
        </x:is>
      </x:c>
      <x:c r="G784" s="55" t="inlineStr">
        <x:is>
          <x:t xml:space="preserve">无</x:t>
        </x:is>
      </x:c>
      <x:c r="H784" s="55" t="str">
        <x:f>IF(LEN(I784)&lt;15,"短",IF(LEN(I784)&lt;=45,"中","长"))</x:f>
        <x:v>中</x:v>
      </x:c>
      <x:c r="I784" s="56" t="inlineStr">
        <x:is>
          <x:t xml:space="preserve">入职表的性别栏他留了空，HR 也没有追问。</x:t>
        </x:is>
      </x:c>
      <x:c r="J784" s="56" t="str">
        <x:f>I784</x:f>
        <x:v>入职表的性别栏他留了空，HR 也没有追问。</x:v>
      </x:c>
      <x:c r="K784" s="55" t="inlineStr">
        <x:is>
          <x:t xml:space="preserve">无需改写</x:t>
        </x:is>
      </x:c>
      <x:c r="L784" s="56" t="inlineStr">
        <x:is>
          <x:t xml:space="preserve">性别栏</x:t>
        </x:is>
      </x:c>
      <x:c r="M784" s="56" t="inlineStr">
        <x:is>
          <x:t xml:space="preserve">留空本身是本人的选择</x:t>
        </x:is>
      </x:c>
      <x:c r="N784" s="56" t="inlineStr">
        <x:is>
          <x:t xml:space="preserve">入职表的性别栏未填写</x:t>
        </x:is>
      </x:c>
      <x:c r="O784" s="55" t="inlineStr">
        <x:is>
          <x:t xml:space="preserve">中</x:t>
        </x:is>
      </x:c>
      <x:c r="P784" s="55" t="inlineStr">
        <x:is>
          <x:t xml:space="preserve">否</x:t>
        </x:is>
      </x:c>
      <x:c r="Q784" s="56" t="n"/>
      <x:c r="R784" s="57" t="inlineStr">
        <x:is>
          <x:t xml:space="preserve">主集</x:t>
        </x:is>
      </x:c>
      <x:c r="S784" s="57" t="inlineStr">
        <x:is>
          <x:t xml:space="preserve">test</x:t>
        </x:is>
      </x:c>
      <x:c r="T784" s="57" t="inlineStr">
        <x:is>
          <x:t xml:space="preserve"/>
        </x:is>
      </x:c>
    </x:row>
    <x:row r="785" s="37" customFormat="1" ht="15" customHeight="1">
      <x:c r="A785" s="58" t="inlineStr">
        <x:is>
          <x:t xml:space="preserve">NEG-0784</x:t>
        </x:is>
      </x:c>
      <x:c r="B785" s="58" t="inlineStr">
        <x:is>
          <x:t xml:space="preserve">v5</x:t>
        </x:is>
      </x:c>
      <x:c r="C785" s="59" t="inlineStr">
        <x:is>
          <x:t xml:space="preserve">六、自我认同与自称</x:t>
        </x:is>
      </x:c>
      <x:c r="D785" s="59" t="inlineStr">
        <x:is>
          <x:t xml:space="preserve">6.2 主动声明的性别与代词</x:t>
        </x:is>
      </x:c>
      <x:c r="E785" s="59" t="inlineStr">
        <x:is>
          <x:t xml:space="preserve">学术与调研</x:t>
        </x:is>
      </x:c>
      <x:c r="F785" s="59" t="inlineStr">
        <x:is>
          <x:t xml:space="preserve">人物访谈</x:t>
        </x:is>
      </x:c>
      <x:c r="G785" s="58" t="inlineStr">
        <x:is>
          <x:t xml:space="preserve">无</x:t>
        </x:is>
      </x:c>
      <x:c r="H785" s="58" t="str">
        <x:f>IF(LEN(I785)&lt;15,"短",IF(LEN(I785)&lt;=45,"中","长"))</x:f>
        <x:v>中</x:v>
      </x:c>
      <x:c r="I785" s="59" t="inlineStr">
        <x:is>
          <x:t xml:space="preserve">她说更名之后最舒服的一点，是不用再向别人解释了。</x:t>
        </x:is>
      </x:c>
      <x:c r="J785" s="59" t="str">
        <x:f>I785</x:f>
        <x:v>她说更名之后最舒服的一点，是不用再向别人解释了。</x:v>
      </x:c>
      <x:c r="K785" s="58" t="inlineStr">
        <x:is>
          <x:t xml:space="preserve">无需改写</x:t>
        </x:is>
      </x:c>
      <x:c r="L785" s="59" t="inlineStr">
        <x:is>
          <x:t xml:space="preserve">更名</x:t>
        </x:is>
      </x:c>
      <x:c r="M785" s="59" t="inlineStr">
        <x:is>
          <x:t xml:space="preserve">当事人对自身经历的叙述</x:t>
        </x:is>
      </x:c>
      <x:c r="N785" s="59" t="inlineStr">
        <x:is>
          <x:t xml:space="preserve">她说改名之后最舒服的是不用解释了</x:t>
        </x:is>
      </x:c>
      <x:c r="O785" s="58" t="inlineStr">
        <x:is>
          <x:t xml:space="preserve">中</x:t>
        </x:is>
      </x:c>
      <x:c r="P785" s="58" t="inlineStr">
        <x:is>
          <x:t xml:space="preserve">否</x:t>
        </x:is>
      </x:c>
      <x:c r="Q785" s="59" t="n"/>
      <x:c r="R785" s="60" t="inlineStr">
        <x:is>
          <x:t xml:space="preserve">隔离·待确认</x:t>
        </x:is>
      </x:c>
      <x:c r="S785" s="60" t="inlineStr">
        <x:is>
          <x:t xml:space="preserve"/>
        </x:is>
      </x:c>
      <x:c r="T785" s="60" t="inlineStr">
        <x:is>
          <x:t xml:space="preserve">触发词不含性别编码——判断可能依赖世界知识而非句内信息</x:t>
        </x:is>
      </x:c>
    </x:row>
    <x:row r="786" s="37" customFormat="1" ht="15" customHeight="1">
      <x:c r="A786" s="55" t="inlineStr">
        <x:is>
          <x:t xml:space="preserve">NEG-0785</x:t>
        </x:is>
      </x:c>
      <x:c r="B786" s="55" t="inlineStr">
        <x:is>
          <x:t xml:space="preserve">v5</x:t>
        </x:is>
      </x:c>
      <x:c r="C786" s="56" t="inlineStr">
        <x:is>
          <x:t xml:space="preserve">六、自我认同与自称</x:t>
        </x:is>
      </x:c>
      <x:c r="D786" s="56" t="inlineStr">
        <x:is>
          <x:t xml:space="preserve">6.2 主动声明的性别与代词</x:t>
        </x:is>
      </x:c>
      <x:c r="E786" s="56" t="inlineStr">
        <x:is>
          <x:t xml:space="preserve">其他</x:t>
        </x:is>
      </x:c>
      <x:c r="F786" s="56" t="inlineStr">
        <x:is>
          <x:t xml:space="preserve">资料卡</x:t>
        </x:is>
      </x:c>
      <x:c r="G786" s="55" t="inlineStr">
        <x:is>
          <x:t xml:space="preserve">结构化文本</x:t>
        </x:is>
      </x:c>
      <x:c r="H786" s="55" t="str">
        <x:f>IF(LEN(I786)&lt;15,"短",IF(LEN(I786)&lt;=45,"中","长"))</x:f>
        <x:v>中</x:v>
      </x:c>
      <x:c r="I786" s="56" t="inlineStr">
        <x:is>
          <x:t xml:space="preserve">资料卡上写着“男，代词他”，是本人亲自填的。</x:t>
        </x:is>
      </x:c>
      <x:c r="J786" s="56" t="str">
        <x:f>I786</x:f>
        <x:v>资料卡上写着“男，代词他”，是本人亲自填的。</x:v>
      </x:c>
      <x:c r="K786" s="55" t="inlineStr">
        <x:is>
          <x:t xml:space="preserve">无需改写</x:t>
        </x:is>
      </x:c>
      <x:c r="L786" s="56" t="inlineStr">
        <x:is>
          <x:t xml:space="preserve">男/代词他</x:t>
        </x:is>
      </x:c>
      <x:c r="M786" s="56" t="inlineStr">
        <x:is>
          <x:t xml:space="preserve">本人填写的声明</x:t>
        </x:is>
      </x:c>
      <x:c r="N786" s="56" t="inlineStr">
        <x:is>
          <x:t xml:space="preserve">资料卡上的信息是本人亲自填的</x:t>
        </x:is>
      </x:c>
      <x:c r="O786" s="55" t="inlineStr">
        <x:is>
          <x:t xml:space="preserve">难</x:t>
        </x:is>
      </x:c>
      <x:c r="P786" s="55" t="inlineStr">
        <x:is>
          <x:t xml:space="preserve">否</x:t>
        </x:is>
      </x:c>
      <x:c r="Q786" s="56" t="n"/>
      <x:c r="R786" s="57" t="inlineStr">
        <x:is>
          <x:t xml:space="preserve">主集</x:t>
        </x:is>
      </x:c>
      <x:c r="S786" s="57" t="inlineStr">
        <x:is>
          <x:t xml:space="preserve">index</x:t>
        </x:is>
      </x:c>
      <x:c r="T786" s="57" t="inlineStr">
        <x:is>
          <x:t xml:space="preserve"/>
        </x:is>
      </x:c>
    </x:row>
    <x:row r="787" s="37" customFormat="1" ht="15" customHeight="1">
      <x:c r="A787" s="55" t="inlineStr">
        <x:is>
          <x:t xml:space="preserve">NEG-0786</x:t>
        </x:is>
      </x:c>
      <x:c r="B787" s="55" t="inlineStr">
        <x:is>
          <x:t xml:space="preserve">v5</x:t>
        </x:is>
      </x:c>
      <x:c r="C787" s="56" t="inlineStr">
        <x:is>
          <x:t xml:space="preserve">六、自我认同与自称</x:t>
        </x:is>
      </x:c>
      <x:c r="D787" s="56" t="inlineStr">
        <x:is>
          <x:t xml:space="preserve">6.3 社群内部用语</x:t>
        </x:is>
      </x:c>
      <x:c r="E787" s="56" t="inlineStr">
        <x:is>
          <x:t xml:space="preserve">文艺创作与评论</x:t>
        </x:is>
      </x:c>
      <x:c r="F787" s="56" t="inlineStr">
        <x:is>
          <x:t xml:space="preserve">文化评论</x:t>
        </x:is>
      </x:c>
      <x:c r="G787" s="55" t="inlineStr">
        <x:is>
          <x:t xml:space="preserve">无</x:t>
        </x:is>
      </x:c>
      <x:c r="H787" s="55" t="str">
        <x:f>IF(LEN(I787)&lt;15,"短",IF(LEN(I787)&lt;=45,"中","长"))</x:f>
        <x:v>中</x:v>
      </x:c>
      <x:c r="I787" s="56" t="inlineStr">
        <x:is>
          <x:t xml:space="preserve">“腐女”在圈内是自称，圈外用起来就容易变味。</x:t>
        </x:is>
      </x:c>
      <x:c r="J787" s="56" t="str">
        <x:f>I787</x:f>
        <x:v>“腐女”在圈内是自称，圈外用起来就容易变味。</x:v>
      </x:c>
      <x:c r="K787" s="55" t="inlineStr">
        <x:is>
          <x:t xml:space="preserve">无需改写</x:t>
        </x:is>
      </x:c>
      <x:c r="L787" s="56" t="inlineStr">
        <x:is>
          <x:t xml:space="preserve">腐女</x:t>
        </x:is>
      </x:c>
      <x:c r="M787" s="56" t="inlineStr">
        <x:is>
          <x:t xml:space="preserve">社群自称，句子已说明内外有别</x:t>
        </x:is>
      </x:c>
      <x:c r="N787" s="56" t="inlineStr">
        <x:is>
          <x:t xml:space="preserve">这类称呼在圈内是自称，圈外使用需谨慎</x:t>
        </x:is>
      </x:c>
      <x:c r="O787" s="55" t="inlineStr">
        <x:is>
          <x:t xml:space="preserve">中</x:t>
        </x:is>
      </x:c>
      <x:c r="P787" s="55" t="inlineStr">
        <x:is>
          <x:t xml:space="preserve">是</x:t>
        </x:is>
      </x:c>
      <x:c r="Q787" s="56" t="n"/>
      <x:c r="R787" s="57" t="inlineStr">
        <x:is>
          <x:t xml:space="preserve">主集</x:t>
        </x:is>
      </x:c>
      <x:c r="S787" s="57" t="inlineStr">
        <x:is>
          <x:t xml:space="preserve">test</x:t>
        </x:is>
      </x:c>
      <x:c r="T787" s="57" t="inlineStr">
        <x:is>
          <x:t xml:space="preserve"/>
        </x:is>
      </x:c>
    </x:row>
    <x:row r="788" s="37" customFormat="1" ht="15" customHeight="1">
      <x:c r="A788" s="55" t="inlineStr">
        <x:is>
          <x:t xml:space="preserve">NEG-0787</x:t>
        </x:is>
      </x:c>
      <x:c r="B788" s="55" t="inlineStr">
        <x:is>
          <x:t xml:space="preserve">v5</x:t>
        </x:is>
      </x:c>
      <x:c r="C788" s="56" t="inlineStr">
        <x:is>
          <x:t xml:space="preserve">六、自我认同与自称</x:t>
        </x:is>
      </x:c>
      <x:c r="D788" s="56" t="inlineStr">
        <x:is>
          <x:t xml:space="preserve">6.3 社群内部用语</x:t>
        </x:is>
      </x:c>
      <x:c r="E788" s="56" t="inlineStr">
        <x:is>
          <x:t xml:space="preserve">其他</x:t>
        </x:is>
      </x:c>
      <x:c r="F788" s="56" t="inlineStr">
        <x:is>
          <x:t xml:space="preserve">平台观察</x:t>
        </x:is>
      </x:c>
      <x:c r="G788" s="55" t="inlineStr">
        <x:is>
          <x:t xml:space="preserve">网络用语</x:t>
        </x:is>
      </x:c>
      <x:c r="H788" s="55" t="str">
        <x:f>IF(LEN(I788)&lt;15,"短",IF(LEN(I788)&lt;=45,"中","长"))</x:f>
        <x:v>中</x:v>
      </x:c>
      <x:c r="I788" s="56" t="inlineStr">
        <x:is>
          <x:t xml:space="preserve">“姐妹”这个词在美妆区已经不分性别了。</x:t>
        </x:is>
      </x:c>
      <x:c r="J788" s="56" t="str">
        <x:f>I788</x:f>
        <x:v>“姐妹”这个词在美妆区已经不分性别了。</x:v>
      </x:c>
      <x:c r="K788" s="55" t="inlineStr">
        <x:is>
          <x:t xml:space="preserve">无需改写</x:t>
        </x:is>
      </x:c>
      <x:c r="L788" s="56" t="inlineStr">
        <x:is>
          <x:t xml:space="preserve">姐妹</x:t>
        </x:is>
      </x:c>
      <x:c r="M788" s="56" t="inlineStr">
        <x:is>
          <x:t xml:space="preserve">用语实况描述</x:t>
        </x:is>
      </x:c>
      <x:c r="N788" s="56" t="inlineStr">
        <x:is>
          <x:t xml:space="preserve">这一称呼在美妆区已经不分性别</x:t>
        </x:is>
      </x:c>
      <x:c r="O788" s="55" t="inlineStr">
        <x:is>
          <x:t xml:space="preserve">中</x:t>
        </x:is>
      </x:c>
      <x:c r="P788" s="55" t="inlineStr">
        <x:is>
          <x:t xml:space="preserve">是</x:t>
        </x:is>
      </x:c>
      <x:c r="Q788" s="56" t="n"/>
      <x:c r="R788" s="57" t="inlineStr">
        <x:is>
          <x:t xml:space="preserve">主集</x:t>
        </x:is>
      </x:c>
      <x:c r="S788" s="57" t="inlineStr">
        <x:is>
          <x:t xml:space="preserve">index</x:t>
        </x:is>
      </x:c>
      <x:c r="T788" s="57" t="inlineStr">
        <x:is>
          <x:t xml:space="preserve"/>
        </x:is>
      </x:c>
    </x:row>
    <x:row r="789" s="37" customFormat="1" ht="15" customHeight="1">
      <x:c r="A789" s="58" t="inlineStr">
        <x:is>
          <x:t xml:space="preserve">NEG-0788</x:t>
        </x:is>
      </x:c>
      <x:c r="B789" s="58" t="inlineStr">
        <x:is>
          <x:t xml:space="preserve">v5</x:t>
        </x:is>
      </x:c>
      <x:c r="C789" s="59" t="inlineStr">
        <x:is>
          <x:t xml:space="preserve">六、自我认同与自称</x:t>
        </x:is>
      </x:c>
      <x:c r="D789" s="59" t="inlineStr">
        <x:is>
          <x:t xml:space="preserve">6.3 社群内部用语</x:t>
        </x:is>
      </x:c>
      <x:c r="E789" s="59" t="inlineStr">
        <x:is>
          <x:t xml:space="preserve">社交与社区</x:t>
        </x:is>
      </x:c>
      <x:c r="F789" s="59" t="inlineStr">
        <x:is>
          <x:t xml:space="preserve">社群史</x:t>
        </x:is>
      </x:c>
      <x:c r="G789" s="58" t="inlineStr">
        <x:is>
          <x:t xml:space="preserve">无</x:t>
        </x:is>
      </x:c>
      <x:c r="H789" s="58" t="str">
        <x:f>IF(LEN(I789)&lt;15,"短",IF(LEN(I789)&lt;=45,"中","长"))</x:f>
        <x:v>中</x:v>
      </x:c>
      <x:c r="I789" s="59" t="inlineStr">
        <x:is>
          <x:t xml:space="preserve">他们把当年那个骂人的词捡了回来，做成了社群的名字。</x:t>
        </x:is>
      </x:c>
      <x:c r="J789" s="59" t="str">
        <x:f>I789</x:f>
        <x:v>他们把当年那个骂人的词捡了回来，做成了社群的名字。</x:v>
      </x:c>
      <x:c r="K789" s="58" t="inlineStr">
        <x:is>
          <x:t xml:space="preserve">无需改写</x:t>
        </x:is>
      </x:c>
      <x:c r="L789" s="59" t="inlineStr">
        <x:is>
          <x:t xml:space="preserve">骂人的词</x:t>
        </x:is>
      </x:c>
      <x:c r="M789" s="59" t="inlineStr">
        <x:is>
          <x:t xml:space="preserve">对语词重新挪用现象的记述</x:t>
        </x:is>
      </x:c>
      <x:c r="N789" s="59" t="inlineStr">
        <x:is>
          <x:t xml:space="preserve">他们把一个旧词重新使用，做成了社群的名字</x:t>
        </x:is>
      </x:c>
      <x:c r="O789" s="58" t="inlineStr">
        <x:is>
          <x:t xml:space="preserve">中</x:t>
        </x:is>
      </x:c>
      <x:c r="P789" s="58" t="inlineStr">
        <x:is>
          <x:t xml:space="preserve">否</x:t>
        </x:is>
      </x:c>
      <x:c r="Q789" s="59" t="n"/>
      <x:c r="R789" s="60" t="inlineStr">
        <x:is>
          <x:t xml:space="preserve">隔离·待确认</x:t>
        </x:is>
      </x:c>
      <x:c r="S789" s="60" t="inlineStr">
        <x:is>
          <x:t xml:space="preserve"/>
        </x:is>
      </x:c>
      <x:c r="T789" s="60" t="inlineStr">
        <x:is>
          <x:t xml:space="preserve">触发词不含性别编码——判断可能依赖世界知识而非句内信息</x:t>
        </x:is>
      </x:c>
    </x:row>
    <x:row r="790" s="37" customFormat="1" ht="15" customHeight="1">
      <x:c r="A790" s="55" t="inlineStr">
        <x:is>
          <x:t xml:space="preserve">NEG-0789</x:t>
        </x:is>
      </x:c>
      <x:c r="B790" s="55" t="inlineStr">
        <x:is>
          <x:t xml:space="preserve">v5</x:t>
        </x:is>
      </x:c>
      <x:c r="C790" s="56" t="inlineStr">
        <x:is>
          <x:t xml:space="preserve">六、自我认同与自称</x:t>
        </x:is>
      </x:c>
      <x:c r="D790" s="56" t="inlineStr">
        <x:is>
          <x:t xml:space="preserve">6.3 社群内部用语</x:t>
        </x:is>
      </x:c>
      <x:c r="E790" s="56" t="inlineStr">
        <x:is>
          <x:t xml:space="preserve">工程与技术</x:t>
        </x:is>
      </x:c>
      <x:c r="F790" s="56" t="inlineStr">
        <x:is>
          <x:t xml:space="preserve">网络文化</x:t>
        </x:is>
      </x:c>
      <x:c r="G790" s="55" t="inlineStr">
        <x:is>
          <x:t xml:space="preserve">网络用语</x:t>
        </x:is>
      </x:c>
      <x:c r="H790" s="55" t="str">
        <x:f>IF(LEN(I790)&lt;15,"短",IF(LEN(I790)&lt;=45,"中","长"))</x:f>
        <x:v>中</x:v>
      </x:c>
      <x:c r="I790" s="56" t="inlineStr">
        <x:is>
          <x:t xml:space="preserve">“打工人”不分男女，“社畜”也一样。</x:t>
        </x:is>
      </x:c>
      <x:c r="J790" s="56" t="str">
        <x:f>I790</x:f>
        <x:v>“打工人”不分男女，“社畜”也一样。</x:v>
      </x:c>
      <x:c r="K790" s="55" t="inlineStr">
        <x:is>
          <x:t xml:space="preserve">无需改写</x:t>
        </x:is>
      </x:c>
      <x:c r="L790" s="56" t="inlineStr">
        <x:is>
          <x:t xml:space="preserve">男女</x:t>
        </x:is>
      </x:c>
      <x:c r="M790" s="56" t="inlineStr">
        <x:is>
          <x:t xml:space="preserve">网络自称的去性别化说明</x:t>
        </x:is>
      </x:c>
      <x:c r="N790" s="56" t="inlineStr">
        <x:is>
          <x:t xml:space="preserve">这两个网络自称都不分性别</x:t>
        </x:is>
      </x:c>
      <x:c r="O790" s="55" t="inlineStr">
        <x:is>
          <x:t xml:space="preserve">中</x:t>
        </x:is>
      </x:c>
      <x:c r="P790" s="55" t="inlineStr">
        <x:is>
          <x:t xml:space="preserve">否</x:t>
        </x:is>
      </x:c>
      <x:c r="Q790" s="56" t="n"/>
      <x:c r="R790" s="57" t="inlineStr">
        <x:is>
          <x:t xml:space="preserve">主集</x:t>
        </x:is>
      </x:c>
      <x:c r="S790" s="57" t="inlineStr">
        <x:is>
          <x:t xml:space="preserve">dev</x:t>
        </x:is>
      </x:c>
      <x:c r="T790" s="57" t="inlineStr">
        <x:is>
          <x:t xml:space="preserve"/>
        </x:is>
      </x:c>
    </x:row>
    <x:row r="791" s="37" customFormat="1" ht="15" customHeight="1">
      <x:c r="A791" s="55" t="inlineStr">
        <x:is>
          <x:t xml:space="preserve">NEG-0790</x:t>
        </x:is>
      </x:c>
      <x:c r="B791" s="55" t="inlineStr">
        <x:is>
          <x:t xml:space="preserve">v5</x:t>
        </x:is>
      </x:c>
      <x:c r="C791" s="56" t="inlineStr">
        <x:is>
          <x:t xml:space="preserve">六、自我认同与自称</x:t>
        </x:is>
      </x:c>
      <x:c r="D791" s="56" t="inlineStr">
        <x:is>
          <x:t xml:space="preserve">6.4 职业与身份的自我定位</x:t>
        </x:is>
      </x:c>
      <x:c r="E791" s="56" t="inlineStr">
        <x:is>
          <x:t xml:space="preserve">文艺创作与评论</x:t>
        </x:is>
      </x:c>
      <x:c r="F791" s="56" t="inlineStr">
        <x:is>
          <x:t xml:space="preserve">人物采访</x:t>
        </x:is>
      </x:c>
      <x:c r="G791" s="55" t="inlineStr">
        <x:is>
          <x:t xml:space="preserve">无</x:t>
        </x:is>
      </x:c>
      <x:c r="H791" s="55" t="str">
        <x:f>IF(LEN(I791)&lt;15,"短",IF(LEN(I791)&lt;=45,"中","长"))</x:f>
        <x:v>中</x:v>
      </x:c>
      <x:c r="I791" s="56" t="inlineStr">
        <x:is>
          <x:t xml:space="preserve">“我是个男的，做月嫂第七年了。”他说完自己先笑了。</x:t>
        </x:is>
      </x:c>
      <x:c r="J791" s="56" t="str">
        <x:f>I791</x:f>
        <x:v>“我是个男的，做月嫂第七年了。”他说完自己先笑了。</x:v>
      </x:c>
      <x:c r="K791" s="55" t="inlineStr">
        <x:is>
          <x:t xml:space="preserve">无需改写</x:t>
        </x:is>
      </x:c>
      <x:c r="L791" s="56" t="inlineStr">
        <x:is>
          <x:t xml:space="preserve">男的/月嫂</x:t>
        </x:is>
      </x:c>
      <x:c r="M791" s="56" t="inlineStr">
        <x:is>
          <x:t xml:space="preserve">受访者自述，且在打破职业性别预期</x:t>
        </x:is>
      </x:c>
      <x:c r="N791" s="56" t="inlineStr">
        <x:is>
          <x:t xml:space="preserve">“我做月嫂第七年了。”他说完自己先笑了</x:t>
        </x:is>
      </x:c>
      <x:c r="O791" s="55" t="inlineStr">
        <x:is>
          <x:t xml:space="preserve">难</x:t>
        </x:is>
      </x:c>
      <x:c r="P791" s="55" t="inlineStr">
        <x:is>
          <x:t xml:space="preserve">否</x:t>
        </x:is>
      </x:c>
      <x:c r="Q791" s="56" t="n"/>
      <x:c r="R791" s="57" t="inlineStr">
        <x:is>
          <x:t xml:space="preserve">主集</x:t>
        </x:is>
      </x:c>
      <x:c r="S791" s="57" t="inlineStr">
        <x:is>
          <x:t xml:space="preserve">test</x:t>
        </x:is>
      </x:c>
      <x:c r="T791" s="57" t="inlineStr">
        <x:is>
          <x:t xml:space="preserve"/>
        </x:is>
      </x:c>
    </x:row>
    <x:row r="792" s="37" customFormat="1" ht="29.850000381469727" customHeight="1">
      <x:c r="A792" s="55" t="inlineStr">
        <x:is>
          <x:t xml:space="preserve">NEG-0791</x:t>
        </x:is>
      </x:c>
      <x:c r="B792" s="55" t="inlineStr">
        <x:is>
          <x:t xml:space="preserve">v5</x:t>
        </x:is>
      </x:c>
      <x:c r="C792" s="56" t="inlineStr">
        <x:is>
          <x:t xml:space="preserve">六、自我认同与自称</x:t>
        </x:is>
      </x:c>
      <x:c r="D792" s="56" t="inlineStr">
        <x:is>
          <x:t xml:space="preserve">6.4 职业与身份的自我定位</x:t>
        </x:is>
      </x:c>
      <x:c r="E792" s="56" t="inlineStr">
        <x:is>
          <x:t xml:space="preserve">文艺创作与评论</x:t>
        </x:is>
      </x:c>
      <x:c r="F792" s="56" t="inlineStr">
        <x:is>
          <x:t xml:space="preserve">纪录片</x:t>
        </x:is>
      </x:c>
      <x:c r="G792" s="55" t="inlineStr">
        <x:is>
          <x:t xml:space="preserve">无</x:t>
        </x:is>
      </x:c>
      <x:c r="H792" s="55" t="str">
        <x:f>IF(LEN(I792)&lt;15,"短",IF(LEN(I792)&lt;=45,"中","长"))</x:f>
        <x:v>中</x:v>
      </x:c>
      <x:c r="I792" s="56" t="inlineStr">
        <x:is>
          <x:t xml:space="preserve">“作为一个女船长，我最烦的问题就是你怎么会干这行。”</x:t>
        </x:is>
      </x:c>
      <x:c r="J792" s="56" t="str">
        <x:f>I792</x:f>
        <x:v>“作为一个女船长，我最烦的问题就是你怎么会干这行。”</x:v>
      </x:c>
      <x:c r="K792" s="55" t="inlineStr">
        <x:is>
          <x:t xml:space="preserve">无需改写</x:t>
        </x:is>
      </x:c>
      <x:c r="L792" s="56" t="inlineStr">
        <x:is>
          <x:t xml:space="preserve">女船长</x:t>
        </x:is>
      </x:c>
      <x:c r="M792" s="56" t="inlineStr">
        <x:is>
          <x:t xml:space="preserve">受访者自我定位，是全段主旨</x:t>
        </x:is>
      </x:c>
      <x:c r="N792" s="56" t="inlineStr">
        <x:is>
          <x:t xml:space="preserve">“作为一名船长，我最烦的问题是……”</x:t>
        </x:is>
      </x:c>
      <x:c r="O792" s="55" t="inlineStr">
        <x:is>
          <x:t xml:space="preserve">难</x:t>
        </x:is>
      </x:c>
      <x:c r="P792" s="55" t="inlineStr">
        <x:is>
          <x:t xml:space="preserve">否</x:t>
        </x:is>
      </x:c>
      <x:c r="Q792" s="56" t="n"/>
      <x:c r="R792" s="57" t="inlineStr">
        <x:is>
          <x:t xml:space="preserve">主集</x:t>
        </x:is>
      </x:c>
      <x:c r="S792" s="57" t="inlineStr">
        <x:is>
          <x:t xml:space="preserve">test</x:t>
        </x:is>
      </x:c>
      <x:c r="T792" s="57" t="inlineStr">
        <x:is>
          <x:t xml:space="preserve"/>
        </x:is>
      </x:c>
    </x:row>
    <x:row r="793" s="37" customFormat="1" ht="15" customHeight="1">
      <x:c r="A793" s="55" t="inlineStr">
        <x:is>
          <x:t xml:space="preserve">NEG-0792</x:t>
        </x:is>
      </x:c>
      <x:c r="B793" s="55" t="inlineStr">
        <x:is>
          <x:t xml:space="preserve">v5</x:t>
        </x:is>
      </x:c>
      <x:c r="C793" s="56" t="inlineStr">
        <x:is>
          <x:t xml:space="preserve">六、自我认同与自称</x:t>
        </x:is>
      </x:c>
      <x:c r="D793" s="56" t="inlineStr">
        <x:is>
          <x:t xml:space="preserve">6.4 职业与身份的自我定位</x:t>
        </x:is>
      </x:c>
      <x:c r="E793" s="56" t="inlineStr">
        <x:is>
          <x:t xml:space="preserve">其他</x:t>
        </x:is>
      </x:c>
      <x:c r="F793" s="56" t="inlineStr">
        <x:is>
          <x:t xml:space="preserve">职场观察</x:t>
        </x:is>
      </x:c>
      <x:c r="G793" s="55" t="inlineStr">
        <x:is>
          <x:t xml:space="preserve">无</x:t>
        </x:is>
      </x:c>
      <x:c r="H793" s="55" t="str">
        <x:f>IF(LEN(I793)&lt;15,"短",IF(LEN(I793)&lt;=45,"中","长"))</x:f>
        <x:v>中</x:v>
      </x:c>
      <x:c r="I793" s="56" t="inlineStr">
        <x:is>
          <x:t xml:space="preserve">她在名片上印了“女性工程师”，说这是她自己的选择。</x:t>
        </x:is>
      </x:c>
      <x:c r="J793" s="56" t="str">
        <x:f>I793</x:f>
        <x:v>她在名片上印了“女性工程师”，说这是她自己的选择。</x:v>
      </x:c>
      <x:c r="K793" s="55" t="inlineStr">
        <x:is>
          <x:t xml:space="preserve">无需改写</x:t>
        </x:is>
      </x:c>
      <x:c r="L793" s="56" t="inlineStr">
        <x:is>
          <x:t xml:space="preserve">女性工程师</x:t>
        </x:is>
      </x:c>
      <x:c r="M793" s="56" t="inlineStr">
        <x:is>
          <x:t xml:space="preserve">本人的主动选择，句子已明说</x:t>
        </x:is>
      </x:c>
      <x:c r="N793" s="56" t="inlineStr">
        <x:is>
          <x:t xml:space="preserve">她在名片上印了“工程师”</x:t>
        </x:is>
      </x:c>
      <x:c r="O793" s="55" t="inlineStr">
        <x:is>
          <x:t xml:space="preserve">难</x:t>
        </x:is>
      </x:c>
      <x:c r="P793" s="55" t="inlineStr">
        <x:is>
          <x:t xml:space="preserve">否</x:t>
        </x:is>
      </x:c>
      <x:c r="Q793" s="56" t="n"/>
      <x:c r="R793" s="57" t="inlineStr">
        <x:is>
          <x:t xml:space="preserve">主集</x:t>
        </x:is>
      </x:c>
      <x:c r="S793" s="57" t="inlineStr">
        <x:is>
          <x:t xml:space="preserve">test</x:t>
        </x:is>
      </x:c>
      <x:c r="T793" s="57" t="inlineStr">
        <x:is>
          <x:t xml:space="preserve"/>
        </x:is>
      </x:c>
    </x:row>
    <x:row r="794" s="37" customFormat="1" ht="15" customHeight="1">
      <x:c r="A794" s="55" t="inlineStr">
        <x:is>
          <x:t xml:space="preserve">NEG-0793</x:t>
        </x:is>
      </x:c>
      <x:c r="B794" s="55" t="inlineStr">
        <x:is>
          <x:t xml:space="preserve">v5</x:t>
        </x:is>
      </x:c>
      <x:c r="C794" s="56" t="inlineStr">
        <x:is>
          <x:t xml:space="preserve">六、自我认同与自称</x:t>
        </x:is>
      </x:c>
      <x:c r="D794" s="56" t="inlineStr">
        <x:is>
          <x:t xml:space="preserve">6.4 职业与身份的自我定位</x:t>
        </x:is>
      </x:c>
      <x:c r="E794" s="56" t="inlineStr">
        <x:is>
          <x:t xml:space="preserve">学术与调研</x:t>
        </x:is>
      </x:c>
      <x:c r="F794" s="56" t="inlineStr">
        <x:is>
          <x:t xml:space="preserve">访谈</x:t>
        </x:is>
      </x:c>
      <x:c r="G794" s="55" t="inlineStr">
        <x:is>
          <x:t xml:space="preserve">无</x:t>
        </x:is>
      </x:c>
      <x:c r="H794" s="55" t="str">
        <x:f>IF(LEN(I794)&lt;15,"短",IF(LEN(I794)&lt;=45,"中","长"))</x:f>
        <x:v>中</x:v>
      </x:c>
      <x:c r="I794" s="56" t="inlineStr">
        <x:is>
          <x:t xml:space="preserve">“全职妈妈也是一种职业。”她在采访里强调了三遍。</x:t>
        </x:is>
      </x:c>
      <x:c r="J794" s="56" t="str">
        <x:f>I794</x:f>
        <x:v>“全职妈妈也是一种职业。”她在采访里强调了三遍。</x:v>
      </x:c>
      <x:c r="K794" s="55" t="inlineStr">
        <x:is>
          <x:t xml:space="preserve">无需改写</x:t>
        </x:is>
      </x:c>
      <x:c r="L794" s="56" t="inlineStr">
        <x:is>
          <x:t xml:space="preserve">全职妈妈</x:t>
        </x:is>
      </x:c>
      <x:c r="M794" s="56" t="inlineStr">
        <x:is>
          <x:t xml:space="preserve">受访者的核心主张</x:t>
        </x:is>
      </x:c>
      <x:c r="N794" s="56" t="inlineStr">
        <x:is>
          <x:t xml:space="preserve">“全职家长也是一种职业。”</x:t>
        </x:is>
      </x:c>
      <x:c r="O794" s="55" t="inlineStr">
        <x:is>
          <x:t xml:space="preserve">难</x:t>
        </x:is>
      </x:c>
      <x:c r="P794" s="55" t="inlineStr">
        <x:is>
          <x:t xml:space="preserve">否</x:t>
        </x:is>
      </x:c>
      <x:c r="Q794" s="56" t="n"/>
      <x:c r="R794" s="57" t="inlineStr">
        <x:is>
          <x:t xml:space="preserve">主集</x:t>
        </x:is>
      </x:c>
      <x:c r="S794" s="57" t="inlineStr">
        <x:is>
          <x:t xml:space="preserve">test</x:t>
        </x:is>
      </x:c>
      <x:c r="T794" s="57" t="inlineStr">
        <x:is>
          <x:t xml:space="preserve"/>
        </x:is>
      </x:c>
    </x:row>
    <x:row r="795" s="37" customFormat="1" ht="15" customHeight="1">
      <x:c r="A795" s="58" t="inlineStr">
        <x:is>
          <x:t xml:space="preserve">NEG-0794</x:t>
        </x:is>
      </x:c>
      <x:c r="B795" s="58" t="inlineStr">
        <x:is>
          <x:t xml:space="preserve">v5</x:t>
        </x:is>
      </x:c>
      <x:c r="C795" s="59" t="inlineStr">
        <x:is>
          <x:t xml:space="preserve">六、自我认同与自称</x:t>
        </x:is>
      </x:c>
      <x:c r="D795" s="59" t="inlineStr">
        <x:is>
          <x:t xml:space="preserve">6.5 艺名、网名、角色名</x:t>
        </x:is>
      </x:c>
      <x:c r="E795" s="59" t="inlineStr">
        <x:is>
          <x:t xml:space="preserve">新闻报道</x:t>
        </x:is>
      </x:c>
      <x:c r="F795" s="59" t="inlineStr">
        <x:is>
          <x:t xml:space="preserve">人物介绍</x:t>
        </x:is>
      </x:c>
      <x:c r="G795" s="58" t="inlineStr">
        <x:is>
          <x:t xml:space="preserve">无</x:t>
        </x:is>
      </x:c>
      <x:c r="H795" s="58" t="str">
        <x:f>IF(LEN(I795)&lt;15,"短",IF(LEN(I795)&lt;=45,"中","长"))</x:f>
        <x:v>中</x:v>
      </x:c>
      <x:c r="I795" s="59" t="inlineStr">
        <x:is>
          <x:t xml:space="preserve">她的法号是妙音，出家前是一名会计。</x:t>
        </x:is>
      </x:c>
      <x:c r="J795" s="59" t="str">
        <x:f>I795</x:f>
        <x:v>她的法号是妙音，出家前是一名会计。</x:v>
      </x:c>
      <x:c r="K795" s="58" t="inlineStr">
        <x:is>
          <x:t xml:space="preserve">无需改写</x:t>
        </x:is>
      </x:c>
      <x:c r="L795" s="59" t="inlineStr">
        <x:is>
          <x:t xml:space="preserve">法号</x:t>
        </x:is>
      </x:c>
      <x:c r="M795" s="59" t="inlineStr">
        <x:is>
          <x:t xml:space="preserve">宗教法名</x:t>
        </x:is>
      </x:c>
      <x:c r="N795" s="59" t="inlineStr">
        <x:is>
          <x:t xml:space="preserve">她的法名是妙音，出家前是会计</x:t>
        </x:is>
      </x:c>
      <x:c r="O795" s="58" t="inlineStr">
        <x:is>
          <x:t xml:space="preserve">易</x:t>
        </x:is>
      </x:c>
      <x:c r="P795" s="58" t="inlineStr">
        <x:is>
          <x:t xml:space="preserve">否</x:t>
        </x:is>
      </x:c>
      <x:c r="Q795" s="59" t="n"/>
      <x:c r="R795" s="60" t="inlineStr">
        <x:is>
          <x:t xml:space="preserve">隔离·待确认</x:t>
        </x:is>
      </x:c>
      <x:c r="S795" s="60" t="inlineStr">
        <x:is>
          <x:t xml:space="preserve"/>
        </x:is>
      </x:c>
      <x:c r="T795" s="60" t="inlineStr">
        <x:is>
          <x:t xml:space="preserve">触发词不含性别编码——判断可能依赖世界知识而非句内信息</x:t>
        </x:is>
      </x:c>
    </x:row>
    <x:row r="796" s="37" customFormat="1" ht="29.850000381469727" customHeight="1">
      <x:c r="A796" s="55" t="inlineStr">
        <x:is>
          <x:t xml:space="preserve">NEG-0795</x:t>
        </x:is>
      </x:c>
      <x:c r="B796" s="55" t="inlineStr">
        <x:is>
          <x:t xml:space="preserve">v5</x:t>
        </x:is>
      </x:c>
      <x:c r="C796" s="56" t="inlineStr">
        <x:is>
          <x:t xml:space="preserve">六、自我认同与自称</x:t>
        </x:is>
      </x:c>
      <x:c r="D796" s="56" t="inlineStr">
        <x:is>
          <x:t xml:space="preserve">6.5 艺名、网名、角色名</x:t>
        </x:is>
      </x:c>
      <x:c r="E796" s="56" t="inlineStr">
        <x:is>
          <x:t xml:space="preserve">其他</x:t>
        </x:is>
      </x:c>
      <x:c r="F796" s="56" t="inlineStr">
        <x:is>
          <x:t xml:space="preserve">平台观察</x:t>
        </x:is>
      </x:c>
      <x:c r="G796" s="55" t="inlineStr">
        <x:is>
          <x:t xml:space="preserve">无</x:t>
        </x:is>
      </x:c>
      <x:c r="H796" s="55" t="str">
        <x:f>IF(LEN(I796)&lt;15,"短",IF(LEN(I796)&lt;=45,"中","长"))</x:f>
        <x:v>中</x:v>
      </x:c>
      <x:c r="I796" s="56" t="inlineStr">
        <x:is>
          <x:t xml:space="preserve">这个 ID 叫“隔壁王阿姨”，博主其实是个二十岁的男生。</x:t>
        </x:is>
      </x:c>
      <x:c r="J796" s="56" t="str">
        <x:f>I796</x:f>
        <x:v>这个 ID 叫“隔壁王阿姨”，博主其实是个二十岁的男生。</x:v>
      </x:c>
      <x:c r="K796" s="55" t="inlineStr">
        <x:is>
          <x:t xml:space="preserve">无需改写</x:t>
        </x:is>
      </x:c>
      <x:c r="L796" s="56" t="inlineStr">
        <x:is>
          <x:t xml:space="preserve">王阿姨/男生</x:t>
        </x:is>
      </x:c>
      <x:c r="M796" s="56" t="inlineStr">
        <x:is>
          <x:t xml:space="preserve">账号名与本人身份的反差正是信息点</x:t>
        </x:is>
      </x:c>
      <x:c r="N796" s="56" t="inlineStr">
        <x:is>
          <x:t xml:space="preserve">这个 ID 与博主本人身份不符</x:t>
        </x:is>
      </x:c>
      <x:c r="O796" s="55" t="inlineStr">
        <x:is>
          <x:t xml:space="preserve">难</x:t>
        </x:is>
      </x:c>
      <x:c r="P796" s="55" t="inlineStr">
        <x:is>
          <x:t xml:space="preserve">否</x:t>
        </x:is>
      </x:c>
      <x:c r="Q796" s="56" t="n"/>
      <x:c r="R796" s="57" t="inlineStr">
        <x:is>
          <x:t xml:space="preserve">主集</x:t>
        </x:is>
      </x:c>
      <x:c r="S796" s="57" t="inlineStr">
        <x:is>
          <x:t xml:space="preserve">test</x:t>
        </x:is>
      </x:c>
      <x:c r="T796" s="57" t="inlineStr">
        <x:is>
          <x:t xml:space="preserve"/>
        </x:is>
      </x:c>
    </x:row>
    <x:row r="797" s="37" customFormat="1" ht="15" customHeight="1">
      <x:c r="A797" s="58" t="inlineStr">
        <x:is>
          <x:t xml:space="preserve">NEG-0796</x:t>
        </x:is>
      </x:c>
      <x:c r="B797" s="58" t="inlineStr">
        <x:is>
          <x:t xml:space="preserve">v5</x:t>
        </x:is>
      </x:c>
      <x:c r="C797" s="59" t="inlineStr">
        <x:is>
          <x:t xml:space="preserve">六、自我认同与自称</x:t>
        </x:is>
      </x:c>
      <x:c r="D797" s="59" t="inlineStr">
        <x:is>
          <x:t xml:space="preserve">6.5 艺名、网名、角色名</x:t>
        </x:is>
      </x:c>
      <x:c r="E797" s="59" t="inlineStr">
        <x:is>
          <x:t xml:space="preserve">其他</x:t>
        </x:is>
      </x:c>
      <x:c r="F797" s="59" t="inlineStr">
        <x:is>
          <x:t xml:space="preserve">美食账号</x:t>
        </x:is>
      </x:c>
      <x:c r="G797" s="58" t="inlineStr">
        <x:is>
          <x:t xml:space="preserve">无</x:t>
        </x:is>
      </x:c>
      <x:c r="H797" s="58" t="str">
        <x:f>IF(LEN(I797)&lt;15,"短",IF(LEN(I797)&lt;=45,"中","长"))</x:f>
        <x:v>中</x:v>
      </x:c>
      <x:c r="I797" s="59" t="inlineStr">
        <x:is>
          <x:t xml:space="preserve">他给账号取名“糙汉厨房”，做的其实是精致点心。</x:t>
        </x:is>
      </x:c>
      <x:c r="J797" s="59" t="str">
        <x:f>I797</x:f>
        <x:v>他给账号取名“糙汉厨房”，做的其实是精致点心。</x:v>
      </x:c>
      <x:c r="K797" s="58" t="inlineStr">
        <x:is>
          <x:t xml:space="preserve">无需改写</x:t>
        </x:is>
      </x:c>
      <x:c r="L797" s="59" t="inlineStr">
        <x:is>
          <x:t xml:space="preserve">糙汉</x:t>
        </x:is>
      </x:c>
      <x:c r="M797" s="59" t="inlineStr">
        <x:is>
          <x:t xml:space="preserve">自选账号名，且反差是卖点</x:t>
        </x:is>
      </x:c>
      <x:c r="N797" s="59" t="inlineStr">
        <x:is>
          <x:t xml:space="preserve">他给账号取了个反差感的名字</x:t>
        </x:is>
      </x:c>
      <x:c r="O797" s="58" t="inlineStr">
        <x:is>
          <x:t xml:space="preserve">中</x:t>
        </x:is>
      </x:c>
      <x:c r="P797" s="58" t="inlineStr">
        <x:is>
          <x:t xml:space="preserve">否</x:t>
        </x:is>
      </x:c>
      <x:c r="Q797" s="59" t="n"/>
      <x:c r="R797" s="60" t="inlineStr">
        <x:is>
          <x:t xml:space="preserve">隔离·待确认</x:t>
        </x:is>
      </x:c>
      <x:c r="S797" s="60" t="inlineStr">
        <x:is>
          <x:t xml:space="preserve"/>
        </x:is>
      </x:c>
      <x:c r="T797" s="60" t="inlineStr">
        <x:is>
          <x:t xml:space="preserve">触发词不含性别编码——判断可能依赖世界知识而非句内信息</x:t>
        </x:is>
      </x:c>
    </x:row>
    <x:row r="798" s="37" customFormat="1" ht="29.850000381469727" customHeight="1">
      <x:c r="A798" s="61" t="inlineStr">
        <x:is>
          <x:t xml:space="preserve">NEG-0797</x:t>
        </x:is>
      </x:c>
      <x:c r="B798" s="61" t="inlineStr">
        <x:is>
          <x:t xml:space="preserve">v5</x:t>
        </x:is>
      </x:c>
      <x:c r="C798" s="62" t="inlineStr">
        <x:is>
          <x:t xml:space="preserve">七、创作与修辞需要</x:t>
        </x:is>
      </x:c>
      <x:c r="D798" s="62" t="inlineStr">
        <x:is>
          <x:t xml:space="preserve">7.1 人物塑造</x:t>
        </x:is>
      </x:c>
      <x:c r="E798" s="62" t="inlineStr">
        <x:is>
          <x:t xml:space="preserve">文艺创作与评论</x:t>
        </x:is>
      </x:c>
      <x:c r="F798" s="62" t="inlineStr">
        <x:is>
          <x:t xml:space="preserve">剧评</x:t>
        </x:is>
      </x:c>
      <x:c r="G798" s="61" t="inlineStr">
        <x:is>
          <x:t xml:space="preserve">无</x:t>
        </x:is>
      </x:c>
      <x:c r="H798" s="61" t="str">
        <x:f>IF(LEN(I798)&lt;15,"短",IF(LEN(I798)&lt;=45,"中","长"))</x:f>
        <x:v>中</x:v>
      </x:c>
      <x:c r="I798" s="62" t="inlineStr">
        <x:is>
          <x:t xml:space="preserve">前二十集他张口闭口“女人就该在家”，最后一集才松口。</x:t>
        </x:is>
      </x:c>
      <x:c r="J798" s="62" t="str">
        <x:f>I798</x:f>
        <x:v>前二十集他张口闭口“女人就该在家”，最后一集才松口。</x:v>
      </x:c>
      <x:c r="K798" s="61" t="inlineStr">
        <x:is>
          <x:t xml:space="preserve">无需改写</x:t>
        </x:is>
      </x:c>
      <x:c r="L798" s="62" t="inlineStr">
        <x:is>
          <x:t xml:space="preserve">女人就该在家</x:t>
        </x:is>
      </x:c>
      <x:c r="M798" s="62" t="inlineStr">
        <x:is>
          <x:t xml:space="preserve">人物转变的起点，删去则看不出成长</x:t>
        </x:is>
      </x:c>
      <x:c r="N798" s="62" t="inlineStr">
        <x:is>
          <x:t xml:space="preserve">前二十集他一直很保守，最后一集才松口</x:t>
        </x:is>
      </x:c>
      <x:c r="O798" s="61" t="inlineStr">
        <x:is>
          <x:t xml:space="preserve">难</x:t>
        </x:is>
      </x:c>
      <x:c r="P798" s="61" t="inlineStr">
        <x:is>
          <x:t xml:space="preserve">否</x:t>
        </x:is>
      </x:c>
      <x:c r="Q798" s="62" t="n"/>
      <x:c r="R798" s="63" t="inlineStr">
        <x:is>
          <x:t xml:space="preserve">剔除</x:t>
        </x:is>
      </x:c>
      <x:c r="S798" s="63" t="inlineStr">
        <x:is>
          <x:t xml:space="preserve"/>
        </x:is>
      </x:c>
      <x:c r="T798" s="63" t="inlineStr">
        <x:is>
          <x:t xml:space="preserve">类别名有误导性：判据实为「引用/提及」，暂不纳入</x:t>
        </x:is>
      </x:c>
    </x:row>
    <x:row r="799" s="37" customFormat="1" ht="15" customHeight="1">
      <x:c r="A799" s="61" t="inlineStr">
        <x:is>
          <x:t xml:space="preserve">NEG-0798</x:t>
        </x:is>
      </x:c>
      <x:c r="B799" s="61" t="inlineStr">
        <x:is>
          <x:t xml:space="preserve">v5</x:t>
        </x:is>
      </x:c>
      <x:c r="C799" s="62" t="inlineStr">
        <x:is>
          <x:t xml:space="preserve">七、创作与修辞需要</x:t>
        </x:is>
      </x:c>
      <x:c r="D799" s="62" t="inlineStr">
        <x:is>
          <x:t xml:space="preserve">7.1 人物塑造</x:t>
        </x:is>
      </x:c>
      <x:c r="E799" s="62" t="inlineStr">
        <x:is>
          <x:t xml:space="preserve">文艺创作与评论</x:t>
        </x:is>
      </x:c>
      <x:c r="F799" s="62" t="inlineStr">
        <x:is>
          <x:t xml:space="preserve">小说</x:t>
        </x:is>
      </x:c>
      <x:c r="G799" s="61" t="inlineStr">
        <x:is>
          <x:t xml:space="preserve">无</x:t>
        </x:is>
      </x:c>
      <x:c r="H799" s="61" t="str">
        <x:f>IF(LEN(I799)&lt;15,"短",IF(LEN(I799)&lt;=45,"中","长"))</x:f>
        <x:v>中</x:v>
      </x:c>
      <x:c r="I799" s="62" t="inlineStr">
        <x:is>
          <x:t xml:space="preserve">母亲那句“你要是个男孩就好了”，女儿记了三十年。</x:t>
        </x:is>
      </x:c>
      <x:c r="J799" s="62" t="str">
        <x:f>I799</x:f>
        <x:v>母亲那句“你要是个男孩就好了”，女儿记了三十年。</x:v>
      </x:c>
      <x:c r="K799" s="61" t="inlineStr">
        <x:is>
          <x:t xml:space="preserve">无需改写</x:t>
        </x:is>
      </x:c>
      <x:c r="L799" s="62" t="inlineStr">
        <x:is>
          <x:t xml:space="preserve">男孩/女儿</x:t>
        </x:is>
      </x:c>
      <x:c r="M799" s="62" t="inlineStr">
        <x:is>
          <x:t xml:space="preserve">台词是全书情感核心</x:t>
        </x:is>
      </x:c>
      <x:c r="N799" s="62" t="inlineStr">
        <x:is>
          <x:t xml:space="preserve">母亲那句无心的话，孩子记了三十年</x:t>
        </x:is>
      </x:c>
      <x:c r="O799" s="61" t="inlineStr">
        <x:is>
          <x:t xml:space="preserve">难</x:t>
        </x:is>
      </x:c>
      <x:c r="P799" s="61" t="inlineStr">
        <x:is>
          <x:t xml:space="preserve">否</x:t>
        </x:is>
      </x:c>
      <x:c r="Q799" s="62" t="n"/>
      <x:c r="R799" s="63" t="inlineStr">
        <x:is>
          <x:t xml:space="preserve">剔除</x:t>
        </x:is>
      </x:c>
      <x:c r="S799" s="63" t="inlineStr">
        <x:is>
          <x:t xml:space="preserve"/>
        </x:is>
      </x:c>
      <x:c r="T799" s="63" t="inlineStr">
        <x:is>
          <x:t xml:space="preserve">类别名有误导性：判据实为「引用/提及」，暂不纳入</x:t>
        </x:is>
      </x:c>
    </x:row>
    <x:row r="800" s="37" customFormat="1" ht="29.850000381469727" customHeight="1">
      <x:c r="A800" s="61" t="inlineStr">
        <x:is>
          <x:t xml:space="preserve">NEG-0799</x:t>
        </x:is>
      </x:c>
      <x:c r="B800" s="61" t="inlineStr">
        <x:is>
          <x:t xml:space="preserve">v5</x:t>
        </x:is>
      </x:c>
      <x:c r="C800" s="62" t="inlineStr">
        <x:is>
          <x:t xml:space="preserve">七、创作与修辞需要</x:t>
        </x:is>
      </x:c>
      <x:c r="D800" s="62" t="inlineStr">
        <x:is>
          <x:t xml:space="preserve">7.1 人物塑造</x:t>
        </x:is>
      </x:c>
      <x:c r="E800" s="62" t="inlineStr">
        <x:is>
          <x:t xml:space="preserve">文艺创作与评论</x:t>
        </x:is>
      </x:c>
      <x:c r="F800" s="62" t="inlineStr">
        <x:is>
          <x:t xml:space="preserve">剧本批注</x:t>
        </x:is>
      </x:c>
      <x:c r="G800" s="61" t="inlineStr">
        <x:is>
          <x:t xml:space="preserve">无</x:t>
        </x:is>
      </x:c>
      <x:c r="H800" s="61" t="str">
        <x:f>IF(LEN(I800)&lt;15,"短",IF(LEN(I800)&lt;=45,"中","长"))</x:f>
        <x:v>中</x:v>
      </x:c>
      <x:c r="I800" s="62" t="inlineStr">
        <x:is>
          <x:t xml:space="preserve">批注：这句“贱内”要说得自然，他并不觉得有什么不对。</x:t>
        </x:is>
      </x:c>
      <x:c r="J800" s="62" t="str">
        <x:f>I800</x:f>
        <x:v>批注：这句“贱内”要说得自然，他并不觉得有什么不对。</x:v>
      </x:c>
      <x:c r="K800" s="61" t="inlineStr">
        <x:is>
          <x:t xml:space="preserve">无需改写</x:t>
        </x:is>
      </x:c>
      <x:c r="L800" s="62" t="inlineStr">
        <x:is>
          <x:t xml:space="preserve">贱内</x:t>
        </x:is>
      </x:c>
      <x:c r="M800" s="62" t="inlineStr">
        <x:is>
          <x:t xml:space="preserve">台词与表演提示</x:t>
        </x:is>
      </x:c>
      <x:c r="N800" s="62" t="inlineStr">
        <x:is>
          <x:t xml:space="preserve">批注：这句谦称要说得自然</x:t>
        </x:is>
      </x:c>
      <x:c r="O800" s="61" t="inlineStr">
        <x:is>
          <x:t xml:space="preserve">难</x:t>
        </x:is>
      </x:c>
      <x:c r="P800" s="61" t="inlineStr">
        <x:is>
          <x:t xml:space="preserve">否</x:t>
        </x:is>
      </x:c>
      <x:c r="Q800" s="62" t="n"/>
      <x:c r="R800" s="63" t="inlineStr">
        <x:is>
          <x:t xml:space="preserve">剔除</x:t>
        </x:is>
      </x:c>
      <x:c r="S800" s="63" t="inlineStr">
        <x:is>
          <x:t xml:space="preserve"/>
        </x:is>
      </x:c>
      <x:c r="T800" s="63" t="inlineStr">
        <x:is>
          <x:t xml:space="preserve">类别名有误导性：判据实为「引用/提及」，暂不纳入</x:t>
        </x:is>
      </x:c>
    </x:row>
    <x:row r="801" s="37" customFormat="1" ht="15" customHeight="1">
      <x:c r="A801" s="61" t="inlineStr">
        <x:is>
          <x:t xml:space="preserve">NEG-0800</x:t>
        </x:is>
      </x:c>
      <x:c r="B801" s="61" t="inlineStr">
        <x:is>
          <x:t xml:space="preserve">v5</x:t>
        </x:is>
      </x:c>
      <x:c r="C801" s="62" t="inlineStr">
        <x:is>
          <x:t xml:space="preserve">七、创作与修辞需要</x:t>
        </x:is>
      </x:c>
      <x:c r="D801" s="62" t="inlineStr">
        <x:is>
          <x:t xml:space="preserve">7.1 人物塑造</x:t>
        </x:is>
      </x:c>
      <x:c r="E801" s="62" t="inlineStr">
        <x:is>
          <x:t xml:space="preserve">文艺创作与评论</x:t>
        </x:is>
      </x:c>
      <x:c r="F801" s="62" t="inlineStr">
        <x:is>
          <x:t xml:space="preserve">影评</x:t>
        </x:is>
      </x:c>
      <x:c r="G801" s="61" t="inlineStr">
        <x:is>
          <x:t xml:space="preserve">无</x:t>
        </x:is>
      </x:c>
      <x:c r="H801" s="61" t="str">
        <x:f>IF(LEN(I801)&lt;15,"短",IF(LEN(I801)&lt;=45,"中","长"))</x:f>
        <x:v>中</x:v>
      </x:c>
      <x:c r="I801" s="62" t="inlineStr">
        <x:is>
          <x:t xml:space="preserve">反派说“这种事女人插不上手”，说完就被打了脸。</x:t>
        </x:is>
      </x:c>
      <x:c r="J801" s="62" t="str">
        <x:f>I801</x:f>
        <x:v>反派说“这种事女人插不上手”，说完就被打了脸。</x:v>
      </x:c>
      <x:c r="K801" s="61" t="inlineStr">
        <x:is>
          <x:t xml:space="preserve">无需改写</x:t>
        </x:is>
      </x:c>
      <x:c r="L801" s="62" t="inlineStr">
        <x:is>
          <x:t xml:space="preserve">女人插不上手</x:t>
        </x:is>
      </x:c>
      <x:c r="M801" s="62" t="inlineStr">
        <x:is>
          <x:t xml:space="preserve">角色台词，且情节即在反驳它</x:t>
        </x:is>
      </x:c>
      <x:c r="N801" s="62" t="inlineStr">
        <x:is>
          <x:t xml:space="preserve">反派说了句轻视的话，说完就被打了脸</x:t>
        </x:is>
      </x:c>
      <x:c r="O801" s="61" t="inlineStr">
        <x:is>
          <x:t xml:space="preserve">难</x:t>
        </x:is>
      </x:c>
      <x:c r="P801" s="61" t="inlineStr">
        <x:is>
          <x:t xml:space="preserve">否</x:t>
        </x:is>
      </x:c>
      <x:c r="Q801" s="62" t="n"/>
      <x:c r="R801" s="63" t="inlineStr">
        <x:is>
          <x:t xml:space="preserve">剔除</x:t>
        </x:is>
      </x:c>
      <x:c r="S801" s="63" t="inlineStr">
        <x:is>
          <x:t xml:space="preserve"/>
        </x:is>
      </x:c>
      <x:c r="T801" s="63" t="inlineStr">
        <x:is>
          <x:t xml:space="preserve">类别名有误导性：判据实为「引用/提及」，暂不纳入</x:t>
        </x:is>
      </x:c>
    </x:row>
    <x:row r="802" s="37" customFormat="1" ht="29.850000381469727" customHeight="1">
      <x:c r="A802" s="61" t="inlineStr">
        <x:is>
          <x:t xml:space="preserve">NEG-0801</x:t>
        </x:is>
      </x:c>
      <x:c r="B802" s="61" t="inlineStr">
        <x:is>
          <x:t xml:space="preserve">v5</x:t>
        </x:is>
      </x:c>
      <x:c r="C802" s="62" t="inlineStr">
        <x:is>
          <x:t xml:space="preserve">七、创作与修辞需要</x:t>
        </x:is>
      </x:c>
      <x:c r="D802" s="62" t="inlineStr">
        <x:is>
          <x:t xml:space="preserve">7.1 人物塑造</x:t>
        </x:is>
      </x:c>
      <x:c r="E802" s="62" t="inlineStr">
        <x:is>
          <x:t xml:space="preserve">学术与调研</x:t>
        </x:is>
      </x:c>
      <x:c r="F802" s="62" t="inlineStr">
        <x:is>
          <x:t xml:space="preserve">口述历史</x:t>
        </x:is>
      </x:c>
      <x:c r="G802" s="61" t="inlineStr">
        <x:is>
          <x:t xml:space="preserve">无</x:t>
        </x:is>
      </x:c>
      <x:c r="H802" s="61" t="str">
        <x:f>IF(LEN(I802)&lt;15,"短",IF(LEN(I802)&lt;=45,"中","长"))</x:f>
        <x:v>中</x:v>
      </x:c>
      <x:c r="I802" s="62" t="inlineStr">
        <x:is>
          <x:t xml:space="preserve">老兵回忆说“那年头女兵金贵着呢”，语气里并没有恶意。</x:t>
        </x:is>
      </x:c>
      <x:c r="J802" s="62" t="str">
        <x:f>I802</x:f>
        <x:v>老兵回忆说“那年头女兵金贵着呢”，语气里并没有恶意。</x:v>
      </x:c>
      <x:c r="K802" s="61" t="inlineStr">
        <x:is>
          <x:t xml:space="preserve">无需改写</x:t>
        </x:is>
      </x:c>
      <x:c r="L802" s="62" t="inlineStr">
        <x:is>
          <x:t xml:space="preserve">女兵</x:t>
        </x:is>
      </x:c>
      <x:c r="M802" s="62" t="inlineStr">
        <x:is>
          <x:t xml:space="preserve">受访者原话与时代语境</x:t>
        </x:is>
      </x:c>
      <x:c r="N802" s="62" t="inlineStr">
        <x:is>
          <x:t xml:space="preserve">老兵回忆说那年头这类人员很少</x:t>
        </x:is>
      </x:c>
      <x:c r="O802" s="61" t="inlineStr">
        <x:is>
          <x:t xml:space="preserve">难</x:t>
        </x:is>
      </x:c>
      <x:c r="P802" s="61" t="inlineStr">
        <x:is>
          <x:t xml:space="preserve">否</x:t>
        </x:is>
      </x:c>
      <x:c r="Q802" s="62" t="n"/>
      <x:c r="R802" s="63" t="inlineStr">
        <x:is>
          <x:t xml:space="preserve">剔除</x:t>
        </x:is>
      </x:c>
      <x:c r="S802" s="63" t="inlineStr">
        <x:is>
          <x:t xml:space="preserve"/>
        </x:is>
      </x:c>
      <x:c r="T802" s="63" t="inlineStr">
        <x:is>
          <x:t xml:space="preserve">类别名有误导性：判据实为「引用/提及」，暂不纳入</x:t>
        </x:is>
      </x:c>
    </x:row>
    <x:row r="803" s="37" customFormat="1" ht="15" customHeight="1">
      <x:c r="A803" s="61" t="inlineStr">
        <x:is>
          <x:t xml:space="preserve">NEG-0802</x:t>
        </x:is>
      </x:c>
      <x:c r="B803" s="61" t="inlineStr">
        <x:is>
          <x:t xml:space="preserve">v5</x:t>
        </x:is>
      </x:c>
      <x:c r="C803" s="62" t="inlineStr">
        <x:is>
          <x:t xml:space="preserve">七、创作与修辞需要</x:t>
        </x:is>
      </x:c>
      <x:c r="D803" s="62" t="inlineStr">
        <x:is>
          <x:t xml:space="preserve">7.2 情节与主题必需</x:t>
        </x:is>
      </x:c>
      <x:c r="E803" s="62" t="inlineStr">
        <x:is>
          <x:t xml:space="preserve">公文与规章</x:t>
        </x:is>
      </x:c>
      <x:c r="F803" s="62" t="inlineStr">
        <x:is>
          <x:t xml:space="preserve">剧情简介</x:t>
        </x:is>
      </x:c>
      <x:c r="G803" s="61" t="inlineStr">
        <x:is>
          <x:t xml:space="preserve">无</x:t>
        </x:is>
      </x:c>
      <x:c r="H803" s="61" t="str">
        <x:f>IF(LEN(I803)&lt;15,"短",IF(LEN(I803)&lt;=45,"中","长"))</x:f>
        <x:v>中</x:v>
      </x:c>
      <x:c r="I803" s="62" t="inlineStr">
        <x:is>
          <x:t xml:space="preserve">这部小说讲的是一个男人接手了亡妻的裁缝铺。</x:t>
        </x:is>
      </x:c>
      <x:c r="J803" s="62" t="str">
        <x:f>I803</x:f>
        <x:v>这部小说讲的是一个男人接手了亡妻的裁缝铺。</x:v>
      </x:c>
      <x:c r="K803" s="61" t="inlineStr">
        <x:is>
          <x:t xml:space="preserve">无需改写</x:t>
        </x:is>
      </x:c>
      <x:c r="L803" s="62" t="inlineStr">
        <x:is>
          <x:t xml:space="preserve">男人/亡妻</x:t>
        </x:is>
      </x:c>
      <x:c r="M803" s="62" t="inlineStr">
        <x:is>
          <x:t xml:space="preserve">人物关系即故事前提</x:t>
        </x:is>
      </x:c>
      <x:c r="N803" s="62" t="inlineStr">
        <x:is>
          <x:t xml:space="preserve">这部小说讲的是有人接手了亲人的裁缝铺</x:t>
        </x:is>
      </x:c>
      <x:c r="O803" s="61" t="inlineStr">
        <x:is>
          <x:t xml:space="preserve">中</x:t>
        </x:is>
      </x:c>
      <x:c r="P803" s="61" t="inlineStr">
        <x:is>
          <x:t xml:space="preserve">否</x:t>
        </x:is>
      </x:c>
      <x:c r="Q803" s="62" t="n"/>
      <x:c r="R803" s="63" t="inlineStr">
        <x:is>
          <x:t xml:space="preserve">剔除</x:t>
        </x:is>
      </x:c>
      <x:c r="S803" s="63" t="inlineStr">
        <x:is>
          <x:t xml:space="preserve"/>
        </x:is>
      </x:c>
      <x:c r="T803" s="63" t="inlineStr">
        <x:is>
          <x:t xml:space="preserve">类别名有误导性：判据实为「引用/提及」，暂不纳入</x:t>
        </x:is>
      </x:c>
    </x:row>
    <x:row r="804" s="37" customFormat="1" ht="29.850000381469727" customHeight="1">
      <x:c r="A804" s="61" t="inlineStr">
        <x:is>
          <x:t xml:space="preserve">NEG-0803</x:t>
        </x:is>
      </x:c>
      <x:c r="B804" s="61" t="inlineStr">
        <x:is>
          <x:t xml:space="preserve">v5</x:t>
        </x:is>
      </x:c>
      <x:c r="C804" s="62" t="inlineStr">
        <x:is>
          <x:t xml:space="preserve">七、创作与修辞需要</x:t>
        </x:is>
      </x:c>
      <x:c r="D804" s="62" t="inlineStr">
        <x:is>
          <x:t xml:space="preserve">7.2 情节与主题必需</x:t>
        </x:is>
      </x:c>
      <x:c r="E804" s="62" t="inlineStr">
        <x:is>
          <x:t xml:space="preserve">其他</x:t>
        </x:is>
      </x:c>
      <x:c r="F804" s="62" t="inlineStr">
        <x:is>
          <x:t xml:space="preserve">类型介绍</x:t>
        </x:is>
      </x:c>
      <x:c r="G804" s="61" t="inlineStr">
        <x:is>
          <x:t xml:space="preserve">无</x:t>
        </x:is>
      </x:c>
      <x:c r="H804" s="61" t="str">
        <x:f>IF(LEN(I804)&lt;15,"短",IF(LEN(I804)&lt;=45,"中","长"))</x:f>
        <x:v>中</x:v>
      </x:c>
      <x:c r="I804" s="62" t="inlineStr">
        <x:is>
          <x:t xml:space="preserve">变身题材的基本设定，是主角一觉醒来变成了另一个性别。</x:t>
        </x:is>
      </x:c>
      <x:c r="J804" s="62" t="str">
        <x:f>I804</x:f>
        <x:v>变身题材的基本设定，是主角一觉醒来变成了另一个性别。</x:v>
      </x:c>
      <x:c r="K804" s="61" t="inlineStr">
        <x:is>
          <x:t xml:space="preserve">无需改写</x:t>
        </x:is>
      </x:c>
      <x:c r="L804" s="62" t="inlineStr">
        <x:is>
          <x:t xml:space="preserve">性别</x:t>
        </x:is>
      </x:c>
      <x:c r="M804" s="62" t="inlineStr">
        <x:is>
          <x:t xml:space="preserve">该类型的定义性设定</x:t>
        </x:is>
      </x:c>
      <x:c r="N804" s="62" t="inlineStr">
        <x:is>
          <x:t xml:space="preserve">该题材的基本设定是主角一觉醒来变了模样</x:t>
        </x:is>
      </x:c>
      <x:c r="O804" s="61" t="inlineStr">
        <x:is>
          <x:t xml:space="preserve">难</x:t>
        </x:is>
      </x:c>
      <x:c r="P804" s="61" t="inlineStr">
        <x:is>
          <x:t xml:space="preserve">否</x:t>
        </x:is>
      </x:c>
      <x:c r="Q804" s="62" t="n"/>
      <x:c r="R804" s="63" t="inlineStr">
        <x:is>
          <x:t xml:space="preserve">剔除</x:t>
        </x:is>
      </x:c>
      <x:c r="S804" s="63" t="inlineStr">
        <x:is>
          <x:t xml:space="preserve"/>
        </x:is>
      </x:c>
      <x:c r="T804" s="63" t="inlineStr">
        <x:is>
          <x:t xml:space="preserve">类别名有误导性：判据实为「引用/提及」，暂不纳入</x:t>
        </x:is>
      </x:c>
    </x:row>
    <x:row r="805" s="37" customFormat="1" ht="15" customHeight="1">
      <x:c r="A805" s="61" t="inlineStr">
        <x:is>
          <x:t xml:space="preserve">NEG-0804</x:t>
        </x:is>
      </x:c>
      <x:c r="B805" s="61" t="inlineStr">
        <x:is>
          <x:t xml:space="preserve">v5</x:t>
        </x:is>
      </x:c>
      <x:c r="C805" s="62" t="inlineStr">
        <x:is>
          <x:t xml:space="preserve">七、创作与修辞需要</x:t>
        </x:is>
      </x:c>
      <x:c r="D805" s="62" t="inlineStr">
        <x:is>
          <x:t xml:space="preserve">7.2 情节与主题必需</x:t>
        </x:is>
      </x:c>
      <x:c r="E805" s="62" t="inlineStr">
        <x:is>
          <x:t xml:space="preserve">文艺创作与评论</x:t>
        </x:is>
      </x:c>
      <x:c r="F805" s="62" t="inlineStr">
        <x:is>
          <x:t xml:space="preserve">书评</x:t>
        </x:is>
      </x:c>
      <x:c r="G805" s="61" t="inlineStr">
        <x:is>
          <x:t xml:space="preserve">无</x:t>
        </x:is>
      </x:c>
      <x:c r="H805" s="61" t="str">
        <x:f>IF(LEN(I805)&lt;15,"短",IF(LEN(I805)&lt;=45,"中","长"))</x:f>
        <x:v>中</x:v>
      </x:c>
      <x:c r="I805" s="62" t="inlineStr">
        <x:is>
          <x:t xml:space="preserve">故事主线是姑嫂两人如何从彼此敌意走到相依为命。</x:t>
        </x:is>
      </x:c>
      <x:c r="J805" s="62" t="str">
        <x:f>I805</x:f>
        <x:v>故事主线是姑嫂两人如何从彼此敌意走到相依为命。</x:v>
      </x:c>
      <x:c r="K805" s="61" t="inlineStr">
        <x:is>
          <x:t xml:space="preserve">无需改写</x:t>
        </x:is>
      </x:c>
      <x:c r="L805" s="62" t="inlineStr">
        <x:is>
          <x:t xml:space="preserve">姑嫂</x:t>
        </x:is>
      </x:c>
      <x:c r="M805" s="62" t="inlineStr">
        <x:is>
          <x:t xml:space="preserve">特定亲属关系即叙事结构</x:t>
        </x:is>
      </x:c>
      <x:c r="N805" s="62" t="inlineStr">
        <x:is>
          <x:t xml:space="preserve">故事主线是两人如何从敌意走到相依为命</x:t>
        </x:is>
      </x:c>
      <x:c r="O805" s="61" t="inlineStr">
        <x:is>
          <x:t xml:space="preserve">中</x:t>
        </x:is>
      </x:c>
      <x:c r="P805" s="61" t="inlineStr">
        <x:is>
          <x:t xml:space="preserve">否</x:t>
        </x:is>
      </x:c>
      <x:c r="Q805" s="62" t="n"/>
      <x:c r="R805" s="63" t="inlineStr">
        <x:is>
          <x:t xml:space="preserve">剔除</x:t>
        </x:is>
      </x:c>
      <x:c r="S805" s="63" t="inlineStr">
        <x:is>
          <x:t xml:space="preserve"/>
        </x:is>
      </x:c>
      <x:c r="T805" s="63" t="inlineStr">
        <x:is>
          <x:t xml:space="preserve">类别名有误导性：判据实为「引用/提及」，暂不纳入</x:t>
        </x:is>
      </x:c>
    </x:row>
    <x:row r="806" s="37" customFormat="1" ht="15" customHeight="1">
      <x:c r="A806" s="61" t="inlineStr">
        <x:is>
          <x:t xml:space="preserve">NEG-0805</x:t>
        </x:is>
      </x:c>
      <x:c r="B806" s="61" t="inlineStr">
        <x:is>
          <x:t xml:space="preserve">v5</x:t>
        </x:is>
      </x:c>
      <x:c r="C806" s="62" t="inlineStr">
        <x:is>
          <x:t xml:space="preserve">七、创作与修辞需要</x:t>
        </x:is>
      </x:c>
      <x:c r="D806" s="62" t="inlineStr">
        <x:is>
          <x:t xml:space="preserve">7.2 情节与主题必需</x:t>
        </x:is>
      </x:c>
      <x:c r="E806" s="62" t="inlineStr">
        <x:is>
          <x:t xml:space="preserve">文艺创作与评论</x:t>
        </x:is>
      </x:c>
      <x:c r="F806" s="62" t="inlineStr">
        <x:is>
          <x:t xml:space="preserve">影评</x:t>
        </x:is>
      </x:c>
      <x:c r="G806" s="61" t="inlineStr">
        <x:is>
          <x:t xml:space="preserve">无</x:t>
        </x:is>
      </x:c>
      <x:c r="H806" s="61" t="str">
        <x:f>IF(LEN(I806)&lt;15,"短",IF(LEN(I806)&lt;=45,"中","长"))</x:f>
        <x:v>中</x:v>
      </x:c>
      <x:c r="I806" s="62" t="inlineStr">
        <x:is>
          <x:t xml:space="preserve">电影拍的是一对父子如何学会和解。</x:t>
        </x:is>
      </x:c>
      <x:c r="J806" s="62" t="str">
        <x:f>I806</x:f>
        <x:v>电影拍的是一对父子如何学会和解。</x:v>
      </x:c>
      <x:c r="K806" s="61" t="inlineStr">
        <x:is>
          <x:t xml:space="preserve">无需改写</x:t>
        </x:is>
      </x:c>
      <x:c r="L806" s="62" t="inlineStr">
        <x:is>
          <x:t xml:space="preserve">父子</x:t>
        </x:is>
      </x:c>
      <x:c r="M806" s="62" t="inlineStr">
        <x:is>
          <x:t xml:space="preserve">人物关系是影片主题</x:t>
        </x:is>
      </x:c>
      <x:c r="N806" s="62" t="inlineStr">
        <x:is>
          <x:t xml:space="preserve">电影拍的是两代人如何学会和解</x:t>
        </x:is>
      </x:c>
      <x:c r="O806" s="61" t="inlineStr">
        <x:is>
          <x:t xml:space="preserve">中</x:t>
        </x:is>
      </x:c>
      <x:c r="P806" s="61" t="inlineStr">
        <x:is>
          <x:t xml:space="preserve">否</x:t>
        </x:is>
      </x:c>
      <x:c r="Q806" s="62" t="n"/>
      <x:c r="R806" s="63" t="inlineStr">
        <x:is>
          <x:t xml:space="preserve">剔除</x:t>
        </x:is>
      </x:c>
      <x:c r="S806" s="63" t="inlineStr">
        <x:is>
          <x:t xml:space="preserve"/>
        </x:is>
      </x:c>
      <x:c r="T806" s="63" t="inlineStr">
        <x:is>
          <x:t xml:space="preserve">类别名有误导性：判据实为「引用/提及」，暂不纳入</x:t>
        </x:is>
      </x:c>
    </x:row>
    <x:row r="807" s="37" customFormat="1" ht="15" customHeight="1">
      <x:c r="A807" s="61" t="inlineStr">
        <x:is>
          <x:t xml:space="preserve">NEG-0806</x:t>
        </x:is>
      </x:c>
      <x:c r="B807" s="61" t="inlineStr">
        <x:is>
          <x:t xml:space="preserve">v5</x:t>
        </x:is>
      </x:c>
      <x:c r="C807" s="62" t="inlineStr">
        <x:is>
          <x:t xml:space="preserve">七、创作与修辞需要</x:t>
        </x:is>
      </x:c>
      <x:c r="D807" s="62" t="inlineStr">
        <x:is>
          <x:t xml:space="preserve">7.2 情节与主题必需</x:t>
        </x:is>
      </x:c>
      <x:c r="E807" s="62" t="inlineStr">
        <x:is>
          <x:t xml:space="preserve">公文与规章</x:t>
        </x:is>
      </x:c>
      <x:c r="F807" s="62" t="inlineStr">
        <x:is>
          <x:t xml:space="preserve">剧情简介</x:t>
        </x:is>
      </x:c>
      <x:c r="G807" s="61" t="inlineStr">
        <x:is>
          <x:t xml:space="preserve">无</x:t>
        </x:is>
      </x:c>
      <x:c r="H807" s="61" t="str">
        <x:f>IF(LEN(I807)&lt;15,"短",IF(LEN(I807)&lt;=45,"中","长"))</x:f>
        <x:v>中</x:v>
      </x:c>
      <x:c r="I807" s="62" t="inlineStr">
        <x:is>
          <x:t xml:space="preserve">剧情围绕祖孙三代女性的婚姻选择展开。</x:t>
        </x:is>
      </x:c>
      <x:c r="J807" s="62" t="str">
        <x:f>I807</x:f>
        <x:v>剧情围绕祖孙三代女性的婚姻选择展开。</x:v>
      </x:c>
      <x:c r="K807" s="61" t="inlineStr">
        <x:is>
          <x:t xml:space="preserve">无需改写</x:t>
        </x:is>
      </x:c>
      <x:c r="L807" s="62" t="inlineStr">
        <x:is>
          <x:t xml:space="preserve">三代女性</x:t>
        </x:is>
      </x:c>
      <x:c r="M807" s="62" t="inlineStr">
        <x:is>
          <x:t xml:space="preserve">叙事对象界定</x:t>
        </x:is>
      </x:c>
      <x:c r="N807" s="62" t="inlineStr">
        <x:is>
          <x:t xml:space="preserve">剧情围绕三代人的婚姻选择展开</x:t>
        </x:is>
      </x:c>
      <x:c r="O807" s="61" t="inlineStr">
        <x:is>
          <x:t xml:space="preserve">中</x:t>
        </x:is>
      </x:c>
      <x:c r="P807" s="61" t="inlineStr">
        <x:is>
          <x:t xml:space="preserve">否</x:t>
        </x:is>
      </x:c>
      <x:c r="Q807" s="62" t="n"/>
      <x:c r="R807" s="63" t="inlineStr">
        <x:is>
          <x:t xml:space="preserve">剔除</x:t>
        </x:is>
      </x:c>
      <x:c r="S807" s="63" t="inlineStr">
        <x:is>
          <x:t xml:space="preserve"/>
        </x:is>
      </x:c>
      <x:c r="T807" s="63" t="inlineStr">
        <x:is>
          <x:t xml:space="preserve">类别名有误导性：判据实为「引用/提及」，暂不纳入</x:t>
        </x:is>
      </x:c>
    </x:row>
    <x:row r="808" s="37" customFormat="1" ht="15" customHeight="1">
      <x:c r="A808" s="61" t="inlineStr">
        <x:is>
          <x:t xml:space="preserve">NEG-0807</x:t>
        </x:is>
      </x:c>
      <x:c r="B808" s="61" t="inlineStr">
        <x:is>
          <x:t xml:space="preserve">v5</x:t>
        </x:is>
      </x:c>
      <x:c r="C808" s="62" t="inlineStr">
        <x:is>
          <x:t xml:space="preserve">七、创作与修辞需要</x:t>
        </x:is>
      </x:c>
      <x:c r="D808" s="62" t="inlineStr">
        <x:is>
          <x:t xml:space="preserve">7.3 时代与地域还原</x:t>
        </x:is>
      </x:c>
      <x:c r="E808" s="62" t="inlineStr">
        <x:is>
          <x:t xml:space="preserve">其他</x:t>
        </x:is>
      </x:c>
      <x:c r="F808" s="62" t="inlineStr">
        <x:is>
          <x:t xml:space="preserve">礼仪考据</x:t>
        </x:is>
      </x:c>
      <x:c r="G808" s="61" t="inlineStr">
        <x:is>
          <x:t xml:space="preserve">无</x:t>
        </x:is>
      </x:c>
      <x:c r="H808" s="61" t="str">
        <x:f>IF(LEN(I808)&lt;15,"短",IF(LEN(I808)&lt;=45,"中","长"))</x:f>
        <x:v>中</x:v>
      </x:c>
      <x:c r="I808" s="62" t="inlineStr">
        <x:is>
          <x:t xml:space="preserve">旧式请柬开头写“某某先生台鉴”，是当时的通行格式。</x:t>
        </x:is>
      </x:c>
      <x:c r="J808" s="62" t="str">
        <x:f>I808</x:f>
        <x:v>旧式请柬开头写“某某先生台鉴”，是当时的通行格式。</x:v>
      </x:c>
      <x:c r="K808" s="61" t="inlineStr">
        <x:is>
          <x:t xml:space="preserve">无需改写</x:t>
        </x:is>
      </x:c>
      <x:c r="L808" s="62" t="inlineStr">
        <x:is>
          <x:t xml:space="preserve">先生台鉴</x:t>
        </x:is>
      </x:c>
      <x:c r="M808" s="62" t="inlineStr">
        <x:is>
          <x:t xml:space="preserve">历史书信格式</x:t>
        </x:is>
      </x:c>
      <x:c r="N808" s="62" t="inlineStr">
        <x:is>
          <x:t xml:space="preserve">旧式请柬有固定的开头格式</x:t>
        </x:is>
      </x:c>
      <x:c r="O808" s="61" t="inlineStr">
        <x:is>
          <x:t xml:space="preserve">中</x:t>
        </x:is>
      </x:c>
      <x:c r="P808" s="61" t="inlineStr">
        <x:is>
          <x:t xml:space="preserve">否</x:t>
        </x:is>
      </x:c>
      <x:c r="Q808" s="62" t="n"/>
      <x:c r="R808" s="63" t="inlineStr">
        <x:is>
          <x:t xml:space="preserve">剔除</x:t>
        </x:is>
      </x:c>
      <x:c r="S808" s="63" t="inlineStr">
        <x:is>
          <x:t xml:space="preserve"/>
        </x:is>
      </x:c>
      <x:c r="T808" s="63" t="inlineStr">
        <x:is>
          <x:t xml:space="preserve">类别名有误导性：判据实为「引用/提及」，暂不纳入</x:t>
        </x:is>
      </x:c>
    </x:row>
    <x:row r="809" s="37" customFormat="1" ht="15" customHeight="1">
      <x:c r="A809" s="61" t="inlineStr">
        <x:is>
          <x:t xml:space="preserve">NEG-0808</x:t>
        </x:is>
      </x:c>
      <x:c r="B809" s="61" t="inlineStr">
        <x:is>
          <x:t xml:space="preserve">v5</x:t>
        </x:is>
      </x:c>
      <x:c r="C809" s="62" t="inlineStr">
        <x:is>
          <x:t xml:space="preserve">七、创作与修辞需要</x:t>
        </x:is>
      </x:c>
      <x:c r="D809" s="62" t="inlineStr">
        <x:is>
          <x:t xml:space="preserve">7.3 时代与地域还原</x:t>
        </x:is>
      </x:c>
      <x:c r="E809" s="62" t="inlineStr">
        <x:is>
          <x:t xml:space="preserve">其他</x:t>
        </x:is>
      </x:c>
      <x:c r="F809" s="62" t="inlineStr">
        <x:is>
          <x:t xml:space="preserve">梨园行话</x:t>
        </x:is>
      </x:c>
      <x:c r="G809" s="61" t="inlineStr">
        <x:is>
          <x:t xml:space="preserve">无</x:t>
        </x:is>
      </x:c>
      <x:c r="H809" s="61" t="str">
        <x:f>IF(LEN(I809)&lt;15,"短",IF(LEN(I809)&lt;=45,"中","长"))</x:f>
        <x:v>中</x:v>
      </x:c>
      <x:c r="I809" s="62" t="inlineStr">
        <x:is>
          <x:t xml:space="preserve">梨园行里管女演员叫“坤角”，这是行话。</x:t>
        </x:is>
      </x:c>
      <x:c r="J809" s="62" t="str">
        <x:f>I809</x:f>
        <x:v>梨园行里管女演员叫“坤角”，这是行话。</x:v>
      </x:c>
      <x:c r="K809" s="61" t="inlineStr">
        <x:is>
          <x:t xml:space="preserve">无需改写</x:t>
        </x:is>
      </x:c>
      <x:c r="L809" s="62" t="inlineStr">
        <x:is>
          <x:t xml:space="preserve">女演员/坤角</x:t>
        </x:is>
      </x:c>
      <x:c r="M809" s="62" t="inlineStr">
        <x:is>
          <x:t xml:space="preserve">行业术语与其所指</x:t>
        </x:is>
      </x:c>
      <x:c r="N809" s="62" t="inlineStr">
        <x:is>
          <x:t xml:space="preserve">梨园行里对演员有专门的行话称呼</x:t>
        </x:is>
      </x:c>
      <x:c r="O809" s="61" t="inlineStr">
        <x:is>
          <x:t xml:space="preserve">中</x:t>
        </x:is>
      </x:c>
      <x:c r="P809" s="61" t="inlineStr">
        <x:is>
          <x:t xml:space="preserve">否</x:t>
        </x:is>
      </x:c>
      <x:c r="Q809" s="62" t="n"/>
      <x:c r="R809" s="63" t="inlineStr">
        <x:is>
          <x:t xml:space="preserve">剔除</x:t>
        </x:is>
      </x:c>
      <x:c r="S809" s="63" t="inlineStr">
        <x:is>
          <x:t xml:space="preserve"/>
        </x:is>
      </x:c>
      <x:c r="T809" s="63" t="inlineStr">
        <x:is>
          <x:t xml:space="preserve">类别名有误导性：判据实为「引用/提及」，暂不纳入</x:t>
        </x:is>
      </x:c>
    </x:row>
    <x:row r="810" s="37" customFormat="1" ht="29.850000381469727" customHeight="1">
      <x:c r="A810" s="61" t="inlineStr">
        <x:is>
          <x:t xml:space="preserve">NEG-0809</x:t>
        </x:is>
      </x:c>
      <x:c r="B810" s="61" t="inlineStr">
        <x:is>
          <x:t xml:space="preserve">v5</x:t>
        </x:is>
      </x:c>
      <x:c r="C810" s="62" t="inlineStr">
        <x:is>
          <x:t xml:space="preserve">七、创作与修辞需要</x:t>
        </x:is>
      </x:c>
      <x:c r="D810" s="62" t="inlineStr">
        <x:is>
          <x:t xml:space="preserve">7.3 时代与地域还原</x:t>
        </x:is>
      </x:c>
      <x:c r="E810" s="62" t="inlineStr">
        <x:is>
          <x:t xml:space="preserve">学术与调研</x:t>
        </x:is>
      </x:c>
      <x:c r="F810" s="62" t="inlineStr">
        <x:is>
          <x:t xml:space="preserve">译者说明</x:t>
        </x:is>
      </x:c>
      <x:c r="G810" s="61" t="inlineStr">
        <x:is>
          <x:t xml:space="preserve">无</x:t>
        </x:is>
      </x:c>
      <x:c r="H810" s="61" t="str">
        <x:f>IF(LEN(I810)&lt;15,"短",IF(LEN(I810)&lt;=45,"中","长"))</x:f>
        <x:v>中</x:v>
      </x:c>
      <x:c r="I810" s="62" t="inlineStr">
        <x:is>
          <x:t xml:space="preserve">译本保留了原文对已婚未婚女性的不同称呼，另加脚注说明。</x:t>
        </x:is>
      </x:c>
      <x:c r="J810" s="62" t="str">
        <x:f>I810</x:f>
        <x:v>译本保留了原文对已婚未婚女性的不同称呼，另加脚注说明。</x:v>
      </x:c>
      <x:c r="K810" s="61" t="inlineStr">
        <x:is>
          <x:t xml:space="preserve">无需改写</x:t>
        </x:is>
      </x:c>
      <x:c r="L810" s="62" t="inlineStr">
        <x:is>
          <x:t xml:space="preserve">已婚未婚女性</x:t>
        </x:is>
      </x:c>
      <x:c r="M810" s="62" t="inlineStr">
        <x:is>
          <x:t xml:space="preserve">翻译处理的说明</x:t>
        </x:is>
      </x:c>
      <x:c r="N810" s="62" t="inlineStr">
        <x:is>
          <x:t xml:space="preserve">译本对相关称呼作了统一处理</x:t>
        </x:is>
      </x:c>
      <x:c r="O810" s="61" t="inlineStr">
        <x:is>
          <x:t xml:space="preserve">中</x:t>
        </x:is>
      </x:c>
      <x:c r="P810" s="61" t="inlineStr">
        <x:is>
          <x:t xml:space="preserve">否</x:t>
        </x:is>
      </x:c>
      <x:c r="Q810" s="62" t="n"/>
      <x:c r="R810" s="63" t="inlineStr">
        <x:is>
          <x:t xml:space="preserve">剔除</x:t>
        </x:is>
      </x:c>
      <x:c r="S810" s="63" t="inlineStr">
        <x:is>
          <x:t xml:space="preserve"/>
        </x:is>
      </x:c>
      <x:c r="T810" s="63" t="inlineStr">
        <x:is>
          <x:t xml:space="preserve">类别名有误导性：判据实为「引用/提及」，暂不纳入</x:t>
        </x:is>
      </x:c>
    </x:row>
    <x:row r="811" s="37" customFormat="1" ht="15" customHeight="1">
      <x:c r="A811" s="61" t="inlineStr">
        <x:is>
          <x:t xml:space="preserve">NEG-0810</x:t>
        </x:is>
      </x:c>
      <x:c r="B811" s="61" t="inlineStr">
        <x:is>
          <x:t xml:space="preserve">v5</x:t>
        </x:is>
      </x:c>
      <x:c r="C811" s="62" t="inlineStr">
        <x:is>
          <x:t xml:space="preserve">七、创作与修辞需要</x:t>
        </x:is>
      </x:c>
      <x:c r="D811" s="62" t="inlineStr">
        <x:is>
          <x:t xml:space="preserve">7.3 时代与地域还原</x:t>
        </x:is>
      </x:c>
      <x:c r="E811" s="62" t="inlineStr">
        <x:is>
          <x:t xml:space="preserve">文艺创作与评论</x:t>
        </x:is>
      </x:c>
      <x:c r="F811" s="62" t="inlineStr">
        <x:is>
          <x:t xml:space="preserve">剧本</x:t>
        </x:is>
      </x:c>
      <x:c r="G811" s="61" t="inlineStr">
        <x:is>
          <x:t xml:space="preserve">无</x:t>
        </x:is>
      </x:c>
      <x:c r="H811" s="61" t="str">
        <x:f>IF(LEN(I811)&lt;15,"短",IF(LEN(I811)&lt;=45,"中","长"))</x:f>
        <x:v>中</x:v>
      </x:c>
      <x:c r="I811" s="62" t="inlineStr">
        <x:is>
          <x:t xml:space="preserve">（清末）管家：回老爷的话，太太说先请大夫。</x:t>
        </x:is>
      </x:c>
      <x:c r="J811" s="62" t="str">
        <x:f>I811</x:f>
        <x:v>（清末）管家：回老爷的话，太太说先请大夫。</x:v>
      </x:c>
      <x:c r="K811" s="61" t="inlineStr">
        <x:is>
          <x:t xml:space="preserve">无需改写</x:t>
        </x:is>
      </x:c>
      <x:c r="L811" s="62" t="inlineStr">
        <x:is>
          <x:t xml:space="preserve">老爷/太太</x:t>
        </x:is>
      </x:c>
      <x:c r="M811" s="62" t="inlineStr">
        <x:is>
          <x:t xml:space="preserve">年代称谓还原</x:t>
        </x:is>
      </x:c>
      <x:c r="N811" s="62" t="inlineStr">
        <x:is>
          <x:t xml:space="preserve">（清末）管家：回主人的话，夫人说先请大夫</x:t>
        </x:is>
      </x:c>
      <x:c r="O811" s="61" t="inlineStr">
        <x:is>
          <x:t xml:space="preserve">难</x:t>
        </x:is>
      </x:c>
      <x:c r="P811" s="61" t="inlineStr">
        <x:is>
          <x:t xml:space="preserve">否</x:t>
        </x:is>
      </x:c>
      <x:c r="Q811" s="62" t="n"/>
      <x:c r="R811" s="63" t="inlineStr">
        <x:is>
          <x:t xml:space="preserve">剔除</x:t>
        </x:is>
      </x:c>
      <x:c r="S811" s="63" t="inlineStr">
        <x:is>
          <x:t xml:space="preserve"/>
        </x:is>
      </x:c>
      <x:c r="T811" s="63" t="inlineStr">
        <x:is>
          <x:t xml:space="preserve">类别名有误导性：判据实为「引用/提及」，暂不纳入</x:t>
        </x:is>
      </x:c>
    </x:row>
    <x:row r="812" s="37" customFormat="1" ht="29.850000381469727" customHeight="1">
      <x:c r="A812" s="61" t="inlineStr">
        <x:is>
          <x:t xml:space="preserve">NEG-0811</x:t>
        </x:is>
      </x:c>
      <x:c r="B812" s="61" t="inlineStr">
        <x:is>
          <x:t xml:space="preserve">v5</x:t>
        </x:is>
      </x:c>
      <x:c r="C812" s="62" t="inlineStr">
        <x:is>
          <x:t xml:space="preserve">七、创作与修辞需要</x:t>
        </x:is>
      </x:c>
      <x:c r="D812" s="62" t="inlineStr">
        <x:is>
          <x:t xml:space="preserve">7.3 时代与地域还原</x:t>
        </x:is>
      </x:c>
      <x:c r="E812" s="62" t="inlineStr">
        <x:is>
          <x:t xml:space="preserve">学术与调研</x:t>
        </x:is>
      </x:c>
      <x:c r="F812" s="62" t="inlineStr">
        <x:is>
          <x:t xml:space="preserve">方言研究</x:t>
        </x:is>
      </x:c>
      <x:c r="G812" s="61" t="inlineStr">
        <x:is>
          <x:t xml:space="preserve">方言</x:t>
        </x:is>
      </x:c>
      <x:c r="H812" s="61" t="str">
        <x:f>IF(LEN(I812)&lt;15,"短",IF(LEN(I812)&lt;=45,"中","长"))</x:f>
        <x:v>中</x:v>
      </x:c>
      <x:c r="I812" s="62" t="inlineStr">
        <x:is>
          <x:t xml:space="preserve">闽南话管妻子叫“牵手”，写进对白就不能换成“妻子”。</x:t>
        </x:is>
      </x:c>
      <x:c r="J812" s="62" t="str">
        <x:f>I812</x:f>
        <x:v>闽南话管妻子叫“牵手”，写进对白就不能换成“妻子”。</x:v>
      </x:c>
      <x:c r="K812" s="61" t="inlineStr">
        <x:is>
          <x:t xml:space="preserve">无需改写</x:t>
        </x:is>
      </x:c>
      <x:c r="L812" s="62" t="inlineStr">
        <x:is>
          <x:t xml:space="preserve">妻子/牵手</x:t>
        </x:is>
      </x:c>
      <x:c r="M812" s="62" t="inlineStr">
        <x:is>
          <x:t xml:space="preserve">方言词及其保留理由，句子已自述</x:t>
        </x:is>
      </x:c>
      <x:c r="N812" s="62" t="inlineStr">
        <x:is>
          <x:t xml:space="preserve">闽南话对配偶有专门称呼，写进对白需保留</x:t>
        </x:is>
      </x:c>
      <x:c r="O812" s="61" t="inlineStr">
        <x:is>
          <x:t xml:space="preserve">中</x:t>
        </x:is>
      </x:c>
      <x:c r="P812" s="61" t="inlineStr">
        <x:is>
          <x:t xml:space="preserve">否</x:t>
        </x:is>
      </x:c>
      <x:c r="Q812" s="62" t="n"/>
      <x:c r="R812" s="63" t="inlineStr">
        <x:is>
          <x:t xml:space="preserve">剔除</x:t>
        </x:is>
      </x:c>
      <x:c r="S812" s="63" t="inlineStr">
        <x:is>
          <x:t xml:space="preserve"/>
        </x:is>
      </x:c>
      <x:c r="T812" s="63" t="inlineStr">
        <x:is>
          <x:t xml:space="preserve">类别名有误导性：判据实为「引用/提及」，暂不纳入</x:t>
        </x:is>
      </x:c>
    </x:row>
    <x:row r="813" s="37" customFormat="1" ht="15" customHeight="1">
      <x:c r="A813" s="61" t="inlineStr">
        <x:is>
          <x:t xml:space="preserve">NEG-0812</x:t>
        </x:is>
      </x:c>
      <x:c r="B813" s="61" t="inlineStr">
        <x:is>
          <x:t xml:space="preserve">v5</x:t>
        </x:is>
      </x:c>
      <x:c r="C813" s="62" t="inlineStr">
        <x:is>
          <x:t xml:space="preserve">七、创作与修辞需要</x:t>
        </x:is>
      </x:c>
      <x:c r="D813" s="62" t="inlineStr">
        <x:is>
          <x:t xml:space="preserve">7.4 反讽、戏仿与批判</x:t>
        </x:is>
      </x:c>
      <x:c r="E813" s="62" t="inlineStr">
        <x:is>
          <x:t xml:space="preserve">文艺创作与评论</x:t>
        </x:is>
      </x:c>
      <x:c r="F813" s="62" t="inlineStr">
        <x:is>
          <x:t xml:space="preserve">小品评论</x:t>
        </x:is>
      </x:c>
      <x:c r="G813" s="61" t="inlineStr">
        <x:is>
          <x:t xml:space="preserve">无</x:t>
        </x:is>
      </x:c>
      <x:c r="H813" s="61" t="str">
        <x:f>IF(LEN(I813)&lt;15,"短",IF(LEN(I813)&lt;=45,"中","长"))</x:f>
        <x:v>中</x:v>
      </x:c>
      <x:c r="I813" s="62" t="inlineStr">
        <x:is>
          <x:t xml:space="preserve">男演员反串大妈，笑点恰恰在于观众知道这是反串。</x:t>
        </x:is>
      </x:c>
      <x:c r="J813" s="62" t="str">
        <x:f>I813</x:f>
        <x:v>男演员反串大妈，笑点恰恰在于观众知道这是反串。</x:v>
      </x:c>
      <x:c r="K813" s="61" t="inlineStr">
        <x:is>
          <x:t xml:space="preserve">无需改写</x:t>
        </x:is>
      </x:c>
      <x:c r="L813" s="62" t="inlineStr">
        <x:is>
          <x:t xml:space="preserve">男演员反串</x:t>
        </x:is>
      </x:c>
      <x:c r="M813" s="62" t="inlineStr">
        <x:is>
          <x:t xml:space="preserve">反串手法的说明</x:t>
        </x:is>
      </x:c>
      <x:c r="N813" s="62" t="inlineStr">
        <x:is>
          <x:t xml:space="preserve">演员反串，笑点在于观众知道这是反串</x:t>
        </x:is>
      </x:c>
      <x:c r="O813" s="61" t="inlineStr">
        <x:is>
          <x:t xml:space="preserve">难</x:t>
        </x:is>
      </x:c>
      <x:c r="P813" s="61" t="inlineStr">
        <x:is>
          <x:t xml:space="preserve">否</x:t>
        </x:is>
      </x:c>
      <x:c r="Q813" s="62" t="n"/>
      <x:c r="R813" s="63" t="inlineStr">
        <x:is>
          <x:t xml:space="preserve">剔除</x:t>
        </x:is>
      </x:c>
      <x:c r="S813" s="63" t="inlineStr">
        <x:is>
          <x:t xml:space="preserve"/>
        </x:is>
      </x:c>
      <x:c r="T813" s="63" t="inlineStr">
        <x:is>
          <x:t xml:space="preserve">类别名有误导性：判据实为「引用/提及」，暂不纳入</x:t>
        </x:is>
      </x:c>
    </x:row>
    <x:row r="814" s="37" customFormat="1" ht="29.850000381469727" customHeight="1">
      <x:c r="A814" s="61" t="inlineStr">
        <x:is>
          <x:t xml:space="preserve">NEG-0813</x:t>
        </x:is>
      </x:c>
      <x:c r="B814" s="61" t="inlineStr">
        <x:is>
          <x:t xml:space="preserve">v5</x:t>
        </x:is>
      </x:c>
      <x:c r="C814" s="62" t="inlineStr">
        <x:is>
          <x:t xml:space="preserve">七、创作与修辞需要</x:t>
        </x:is>
      </x:c>
      <x:c r="D814" s="62" t="inlineStr">
        <x:is>
          <x:t xml:space="preserve">7.4 反讽、戏仿与批判</x:t>
        </x:is>
      </x:c>
      <x:c r="E814" s="62" t="inlineStr">
        <x:is>
          <x:t xml:space="preserve">文艺创作与评论</x:t>
        </x:is>
      </x:c>
      <x:c r="F814" s="62" t="inlineStr">
        <x:is>
          <x:t xml:space="preserve">广告评论</x:t>
        </x:is>
      </x:c>
      <x:c r="G814" s="61" t="inlineStr">
        <x:is>
          <x:t xml:space="preserve">无</x:t>
        </x:is>
      </x:c>
      <x:c r="H814" s="61" t="str">
        <x:f>IF(LEN(I814)&lt;15,"短",IF(LEN(I814)&lt;=45,"中","长"))</x:f>
        <x:v>中</x:v>
      </x:c>
      <x:c r="I814" s="62" t="inlineStr">
        <x:is>
          <x:t xml:space="preserve">广告前半段用力刻画“完美主妇”，最后一句把它整个推翻。</x:t>
        </x:is>
      </x:c>
      <x:c r="J814" s="62" t="str">
        <x:f>I814</x:f>
        <x:v>广告前半段用力刻画“完美主妇”，最后一句把它整个推翻。</x:v>
      </x:c>
      <x:c r="K814" s="61" t="inlineStr">
        <x:is>
          <x:t xml:space="preserve">无需改写</x:t>
        </x:is>
      </x:c>
      <x:c r="L814" s="62" t="inlineStr">
        <x:is>
          <x:t xml:space="preserve">完美主妇</x:t>
        </x:is>
      </x:c>
      <x:c r="M814" s="62" t="inlineStr">
        <x:is>
          <x:t xml:space="preserve">被推翻的对象</x:t>
        </x:is>
      </x:c>
      <x:c r="N814" s="62" t="inlineStr">
        <x:is>
          <x:t xml:space="preserve">广告前半段刻画了一个刻板形象，最后推翻</x:t>
        </x:is>
      </x:c>
      <x:c r="O814" s="61" t="inlineStr">
        <x:is>
          <x:t xml:space="preserve">中</x:t>
        </x:is>
      </x:c>
      <x:c r="P814" s="61" t="inlineStr">
        <x:is>
          <x:t xml:space="preserve">否</x:t>
        </x:is>
      </x:c>
      <x:c r="Q814" s="62" t="n"/>
      <x:c r="R814" s="63" t="inlineStr">
        <x:is>
          <x:t xml:space="preserve">剔除</x:t>
        </x:is>
      </x:c>
      <x:c r="S814" s="63" t="inlineStr">
        <x:is>
          <x:t xml:space="preserve"/>
        </x:is>
      </x:c>
      <x:c r="T814" s="63" t="inlineStr">
        <x:is>
          <x:t xml:space="preserve">类别名有误导性：判据实为「引用/提及」，暂不纳入</x:t>
        </x:is>
      </x:c>
    </x:row>
    <x:row r="815" s="37" customFormat="1" ht="29.850000381469727" customHeight="1">
      <x:c r="A815" s="61" t="inlineStr">
        <x:is>
          <x:t xml:space="preserve">NEG-0814</x:t>
        </x:is>
      </x:c>
      <x:c r="B815" s="61" t="inlineStr">
        <x:is>
          <x:t xml:space="preserve">v5</x:t>
        </x:is>
      </x:c>
      <x:c r="C815" s="62" t="inlineStr">
        <x:is>
          <x:t xml:space="preserve">七、创作与修辞需要</x:t>
        </x:is>
      </x:c>
      <x:c r="D815" s="62" t="inlineStr">
        <x:is>
          <x:t xml:space="preserve">7.4 反讽、戏仿与批判</x:t>
        </x:is>
      </x:c>
      <x:c r="E815" s="62" t="inlineStr">
        <x:is>
          <x:t xml:space="preserve">文艺创作与评论</x:t>
        </x:is>
      </x:c>
      <x:c r="F815" s="62" t="inlineStr">
        <x:is>
          <x:t xml:space="preserve">喜剧评论</x:t>
        </x:is>
      </x:c>
      <x:c r="G815" s="61" t="inlineStr">
        <x:is>
          <x:t xml:space="preserve">无</x:t>
        </x:is>
      </x:c>
      <x:c r="H815" s="61" t="str">
        <x:f>IF(LEN(I815)&lt;15,"短",IF(LEN(I815)&lt;=45,"中","长"))</x:f>
        <x:v>中</x:v>
      </x:c>
      <x:c r="I815" s="62" t="inlineStr">
        <x:is>
          <x:t xml:space="preserve">这部喜剧把“直男癌”演到夸张，反倒让人看清它有多荒唐。</x:t>
        </x:is>
      </x:c>
      <x:c r="J815" s="62" t="str">
        <x:f>I815</x:f>
        <x:v>这部喜剧把“直男癌”演到夸张，反倒让人看清它有多荒唐。</x:v>
      </x:c>
      <x:c r="K815" s="61" t="inlineStr">
        <x:is>
          <x:t xml:space="preserve">无需改写</x:t>
        </x:is>
      </x:c>
      <x:c r="L815" s="62" t="inlineStr">
        <x:is>
          <x:t xml:space="preserve">直男癌</x:t>
        </x:is>
      </x:c>
      <x:c r="M815" s="62" t="inlineStr">
        <x:is>
          <x:t xml:space="preserve">讽刺对象的命名</x:t>
        </x:is>
      </x:c>
      <x:c r="N815" s="62" t="inlineStr">
        <x:is>
          <x:t xml:space="preserve">这部喜剧把某种做派演到夸张，反倒显出荒唐</x:t>
        </x:is>
      </x:c>
      <x:c r="O815" s="61" t="inlineStr">
        <x:is>
          <x:t xml:space="preserve">难</x:t>
        </x:is>
      </x:c>
      <x:c r="P815" s="61" t="inlineStr">
        <x:is>
          <x:t xml:space="preserve">否</x:t>
        </x:is>
      </x:c>
      <x:c r="Q815" s="62" t="n"/>
      <x:c r="R815" s="63" t="inlineStr">
        <x:is>
          <x:t xml:space="preserve">剔除</x:t>
        </x:is>
      </x:c>
      <x:c r="S815" s="63" t="inlineStr">
        <x:is>
          <x:t xml:space="preserve"/>
        </x:is>
      </x:c>
      <x:c r="T815" s="63" t="inlineStr">
        <x:is>
          <x:t xml:space="preserve">类别名有误导性：判据实为「引用/提及」，暂不纳入</x:t>
        </x:is>
      </x:c>
    </x:row>
    <x:row r="816" s="37" customFormat="1" ht="29.850000381469727" customHeight="1">
      <x:c r="A816" s="61" t="inlineStr">
        <x:is>
          <x:t xml:space="preserve">NEG-0815</x:t>
        </x:is>
      </x:c>
      <x:c r="B816" s="61" t="inlineStr">
        <x:is>
          <x:t xml:space="preserve">v5</x:t>
        </x:is>
      </x:c>
      <x:c r="C816" s="62" t="inlineStr">
        <x:is>
          <x:t xml:space="preserve">七、创作与修辞需要</x:t>
        </x:is>
      </x:c>
      <x:c r="D816" s="62" t="inlineStr">
        <x:is>
          <x:t xml:space="preserve">7.4 反讽、戏仿与批判</x:t>
        </x:is>
      </x:c>
      <x:c r="E816" s="62" t="inlineStr">
        <x:is>
          <x:t xml:space="preserve">文艺创作与评论</x:t>
        </x:is>
      </x:c>
      <x:c r="F816" s="62" t="inlineStr">
        <x:is>
          <x:t xml:space="preserve">书评</x:t>
        </x:is>
      </x:c>
      <x:c r="G816" s="61" t="inlineStr">
        <x:is>
          <x:t xml:space="preserve">无</x:t>
        </x:is>
      </x:c>
      <x:c r="H816" s="61" t="str">
        <x:f>IF(LEN(I816)&lt;15,"短",IF(LEN(I816)&lt;=45,"中","长"))</x:f>
        <x:v>中</x:v>
      </x:c>
      <x:c r="I816" s="62" t="inlineStr">
        <x:is>
          <x:t xml:space="preserve">作者用整整一章模仿旧小说里“贤妻”的口吻，结尾才亮出立场。</x:t>
        </x:is>
      </x:c>
      <x:c r="J816" s="62" t="str">
        <x:f>I816</x:f>
        <x:v>作者用整整一章模仿旧小说里“贤妻”的口吻，结尾才亮出立场。</x:v>
      </x:c>
      <x:c r="K816" s="61" t="inlineStr">
        <x:is>
          <x:t xml:space="preserve">无需改写</x:t>
        </x:is>
      </x:c>
      <x:c r="L816" s="62" t="inlineStr">
        <x:is>
          <x:t xml:space="preserve">贤妻</x:t>
        </x:is>
      </x:c>
      <x:c r="M816" s="62" t="inlineStr">
        <x:is>
          <x:t xml:space="preserve">戏仿对象</x:t>
        </x:is>
      </x:c>
      <x:c r="N816" s="62" t="inlineStr">
        <x:is>
          <x:t xml:space="preserve">作者用整整一章模仿旧小说的口吻</x:t>
        </x:is>
      </x:c>
      <x:c r="O816" s="61" t="inlineStr">
        <x:is>
          <x:t xml:space="preserve">中</x:t>
        </x:is>
      </x:c>
      <x:c r="P816" s="61" t="inlineStr">
        <x:is>
          <x:t xml:space="preserve">否</x:t>
        </x:is>
      </x:c>
      <x:c r="Q816" s="62" t="n"/>
      <x:c r="R816" s="63" t="inlineStr">
        <x:is>
          <x:t xml:space="preserve">剔除</x:t>
        </x:is>
      </x:c>
      <x:c r="S816" s="63" t="inlineStr">
        <x:is>
          <x:t xml:space="preserve"/>
        </x:is>
      </x:c>
      <x:c r="T816" s="63" t="inlineStr">
        <x:is>
          <x:t xml:space="preserve">类别名有误导性：判据实为「引用/提及」，暂不纳入</x:t>
        </x:is>
      </x:c>
    </x:row>
    <x:row r="817" s="37" customFormat="1" ht="29.850000381469727" customHeight="1">
      <x:c r="A817" s="61" t="inlineStr">
        <x:is>
          <x:t xml:space="preserve">NEG-0816</x:t>
        </x:is>
      </x:c>
      <x:c r="B817" s="61" t="inlineStr">
        <x:is>
          <x:t xml:space="preserve">v5</x:t>
        </x:is>
      </x:c>
      <x:c r="C817" s="62" t="inlineStr">
        <x:is>
          <x:t xml:space="preserve">七、创作与修辞需要</x:t>
        </x:is>
      </x:c>
      <x:c r="D817" s="62" t="inlineStr">
        <x:is>
          <x:t xml:space="preserve">7.4 反讽、戏仿与批判</x:t>
        </x:is>
      </x:c>
      <x:c r="E817" s="62" t="inlineStr">
        <x:is>
          <x:t xml:space="preserve">其他</x:t>
        </x:is>
      </x:c>
      <x:c r="F817" s="62" t="inlineStr">
        <x:is>
          <x:t xml:space="preserve">展览说明</x:t>
        </x:is>
      </x:c>
      <x:c r="G817" s="61" t="inlineStr">
        <x:is>
          <x:t xml:space="preserve">无</x:t>
        </x:is>
      </x:c>
      <x:c r="H817" s="61" t="str">
        <x:f>IF(LEN(I817)&lt;15,"短",IF(LEN(I817)&lt;=45,"中","长"))</x:f>
        <x:v>中</x:v>
      </x:c>
      <x:c r="I817" s="62" t="inlineStr">
        <x:is>
          <x:t xml:space="preserve">海报用了上世纪招贴画里女性的姿势，标语却写着“我不需要被看”。</x:t>
        </x:is>
      </x:c>
      <x:c r="J817" s="62" t="str">
        <x:f>I817</x:f>
        <x:v>海报用了上世纪招贴画里女性的姿势，标语却写着“我不需要被看”。</x:v>
      </x:c>
      <x:c r="K817" s="61" t="inlineStr">
        <x:is>
          <x:t xml:space="preserve">无需改写</x:t>
        </x:is>
      </x:c>
      <x:c r="L817" s="62" t="inlineStr">
        <x:is>
          <x:t xml:space="preserve">女性的姿势</x:t>
        </x:is>
      </x:c>
      <x:c r="M817" s="62" t="inlineStr">
        <x:is>
          <x:t xml:space="preserve">戏仿与颠覆的完整结构</x:t>
        </x:is>
      </x:c>
      <x:c r="N817" s="62" t="inlineStr">
        <x:is>
          <x:t xml:space="preserve">海报用了上世纪招贴画的姿势，标语却相反</x:t>
        </x:is>
      </x:c>
      <x:c r="O817" s="61" t="inlineStr">
        <x:is>
          <x:t xml:space="preserve">难</x:t>
        </x:is>
      </x:c>
      <x:c r="P817" s="61" t="inlineStr">
        <x:is>
          <x:t xml:space="preserve">否</x:t>
        </x:is>
      </x:c>
      <x:c r="Q817" s="62" t="n"/>
      <x:c r="R817" s="63" t="inlineStr">
        <x:is>
          <x:t xml:space="preserve">剔除</x:t>
        </x:is>
      </x:c>
      <x:c r="S817" s="63" t="inlineStr">
        <x:is>
          <x:t xml:space="preserve"/>
        </x:is>
      </x:c>
      <x:c r="T817" s="63" t="inlineStr">
        <x:is>
          <x:t xml:space="preserve">类别名有误导性：判据实为「引用/提及」，暂不纳入</x:t>
        </x:is>
      </x:c>
    </x:row>
    <x:row r="818" s="37" customFormat="1" ht="29.850000381469727" customHeight="1">
      <x:c r="A818" s="61" t="inlineStr">
        <x:is>
          <x:t xml:space="preserve">NEG-0817</x:t>
        </x:is>
      </x:c>
      <x:c r="B818" s="61" t="inlineStr">
        <x:is>
          <x:t xml:space="preserve">v5</x:t>
        </x:is>
      </x:c>
      <x:c r="C818" s="62" t="inlineStr">
        <x:is>
          <x:t xml:space="preserve">七、创作与修辞需要</x:t>
        </x:is>
      </x:c>
      <x:c r="D818" s="62" t="inlineStr">
        <x:is>
          <x:t xml:space="preserve">7.5 形式与格律约束</x:t>
        </x:is>
      </x:c>
      <x:c r="E818" s="62" t="inlineStr">
        <x:is>
          <x:t xml:space="preserve">其他</x:t>
        </x:is>
      </x:c>
      <x:c r="F818" s="62" t="inlineStr">
        <x:is>
          <x:t xml:space="preserve">字谜</x:t>
        </x:is>
      </x:c>
      <x:c r="G818" s="61" t="inlineStr">
        <x:is>
          <x:t xml:space="preserve">无</x:t>
        </x:is>
      </x:c>
      <x:c r="H818" s="61" t="str">
        <x:f>IF(LEN(I818)&lt;15,"短",IF(LEN(I818)&lt;=45,"中","长"))</x:f>
        <x:v>中</x:v>
      </x:c>
      <x:c r="I818" s="62" t="inlineStr">
        <x:is>
          <x:t xml:space="preserve">谜面“夫人莫开口”打一字，靠的是拆字，改字谜就废了。</x:t>
        </x:is>
      </x:c>
      <x:c r="J818" s="62" t="str">
        <x:f>I818</x:f>
        <x:v>谜面“夫人莫开口”打一字，靠的是拆字，改字谜就废了。</x:v>
      </x:c>
      <x:c r="K818" s="61" t="inlineStr">
        <x:is>
          <x:t xml:space="preserve">无需改写</x:t>
        </x:is>
      </x:c>
      <x:c r="L818" s="62" t="inlineStr">
        <x:is>
          <x:t xml:space="preserve">夫人</x:t>
        </x:is>
      </x:c>
      <x:c r="M818" s="62" t="inlineStr">
        <x:is>
          <x:t xml:space="preserve">谜面原文，改动即失效</x:t>
        </x:is>
      </x:c>
      <x:c r="N818" s="62" t="inlineStr">
        <x:is>
          <x:t xml:space="preserve">谜面靠的是拆字，改字谜就废了</x:t>
        </x:is>
      </x:c>
      <x:c r="O818" s="61" t="inlineStr">
        <x:is>
          <x:t xml:space="preserve">难</x:t>
        </x:is>
      </x:c>
      <x:c r="P818" s="61" t="inlineStr">
        <x:is>
          <x:t xml:space="preserve">否</x:t>
        </x:is>
      </x:c>
      <x:c r="Q818" s="62" t="n"/>
      <x:c r="R818" s="63" t="inlineStr">
        <x:is>
          <x:t xml:space="preserve">剔除</x:t>
        </x:is>
      </x:c>
      <x:c r="S818" s="63" t="inlineStr">
        <x:is>
          <x:t xml:space="preserve"/>
        </x:is>
      </x:c>
      <x:c r="T818" s="63" t="inlineStr">
        <x:is>
          <x:t xml:space="preserve">类别名有误导性：判据实为「引用/提及」，暂不纳入</x:t>
        </x:is>
      </x:c>
    </x:row>
    <x:row r="819" s="37" customFormat="1" ht="29.850000381469727" customHeight="1">
      <x:c r="A819" s="61" t="inlineStr">
        <x:is>
          <x:t xml:space="preserve">NEG-0818</x:t>
        </x:is>
      </x:c>
      <x:c r="B819" s="61" t="inlineStr">
        <x:is>
          <x:t xml:space="preserve">v5</x:t>
        </x:is>
      </x:c>
      <x:c r="C819" s="62" t="inlineStr">
        <x:is>
          <x:t xml:space="preserve">七、创作与修辞需要</x:t>
        </x:is>
      </x:c>
      <x:c r="D819" s="62" t="inlineStr">
        <x:is>
          <x:t xml:space="preserve">7.5 形式与格律约束</x:t>
        </x:is>
      </x:c>
      <x:c r="E819" s="62" t="inlineStr">
        <x:is>
          <x:t xml:space="preserve">其他</x:t>
        </x:is>
      </x:c>
      <x:c r="F819" s="62" t="inlineStr">
        <x:is>
          <x:t xml:space="preserve">绕口令</x:t>
        </x:is>
      </x:c>
      <x:c r="G819" s="61" t="inlineStr">
        <x:is>
          <x:t xml:space="preserve">无</x:t>
        </x:is>
      </x:c>
      <x:c r="H819" s="61" t="str">
        <x:f>IF(LEN(I819)&lt;15,"短",IF(LEN(I819)&lt;=45,"中","长"))</x:f>
        <x:v>中</x:v>
      </x:c>
      <x:c r="I819" s="62" t="inlineStr">
        <x:is>
          <x:t xml:space="preserve">“哥挎瓜筐过宽沟”这句，字全是特意挑的，一个也换不得。</x:t>
        </x:is>
      </x:c>
      <x:c r="J819" s="62" t="str">
        <x:f>I819</x:f>
        <x:v>“哥挎瓜筐过宽沟”这句，字全是特意挑的，一个也换不得。</x:v>
      </x:c>
      <x:c r="K819" s="61" t="inlineStr">
        <x:is>
          <x:t xml:space="preserve">无需改写</x:t>
        </x:is>
      </x:c>
      <x:c r="L819" s="62" t="inlineStr">
        <x:is>
          <x:t xml:space="preserve">哥</x:t>
        </x:is>
      </x:c>
      <x:c r="M819" s="62" t="inlineStr">
        <x:is>
          <x:t xml:space="preserve">绕口令的音位设计</x:t>
        </x:is>
      </x:c>
      <x:c r="N819" s="62" t="inlineStr">
        <x:is>
          <x:t xml:space="preserve">这句绕口令的字全是特意挑的</x:t>
        </x:is>
      </x:c>
      <x:c r="O819" s="61" t="inlineStr">
        <x:is>
          <x:t xml:space="preserve">中</x:t>
        </x:is>
      </x:c>
      <x:c r="P819" s="61" t="inlineStr">
        <x:is>
          <x:t xml:space="preserve">否</x:t>
        </x:is>
      </x:c>
      <x:c r="Q819" s="62" t="n"/>
      <x:c r="R819" s="63" t="inlineStr">
        <x:is>
          <x:t xml:space="preserve">剔除</x:t>
        </x:is>
      </x:c>
      <x:c r="S819" s="63" t="inlineStr">
        <x:is>
          <x:t xml:space="preserve"/>
        </x:is>
      </x:c>
      <x:c r="T819" s="63" t="inlineStr">
        <x:is>
          <x:t xml:space="preserve">类别名有误导性：判据实为「引用/提及」，暂不纳入</x:t>
        </x:is>
      </x:c>
    </x:row>
    <x:row r="820" s="37" customFormat="1" ht="15" customHeight="1">
      <x:c r="A820" s="61" t="inlineStr">
        <x:is>
          <x:t xml:space="preserve">NEG-0819</x:t>
        </x:is>
      </x:c>
      <x:c r="B820" s="61" t="inlineStr">
        <x:is>
          <x:t xml:space="preserve">v5</x:t>
        </x:is>
      </x:c>
      <x:c r="C820" s="62" t="inlineStr">
        <x:is>
          <x:t xml:space="preserve">七、创作与修辞需要</x:t>
        </x:is>
      </x:c>
      <x:c r="D820" s="62" t="inlineStr">
        <x:is>
          <x:t xml:space="preserve">7.5 形式与格律约束</x:t>
        </x:is>
      </x:c>
      <x:c r="E820" s="62" t="inlineStr">
        <x:is>
          <x:t xml:space="preserve">学术与调研</x:t>
        </x:is>
      </x:c>
      <x:c r="F820" s="62" t="inlineStr">
        <x:is>
          <x:t xml:space="preserve">民俗语言</x:t>
        </x:is>
      </x:c>
      <x:c r="G820" s="61" t="inlineStr">
        <x:is>
          <x:t xml:space="preserve">无</x:t>
        </x:is>
      </x:c>
      <x:c r="H820" s="61" t="str">
        <x:f>IF(LEN(I820)&lt;15,"短",IF(LEN(I820)&lt;=45,"中","长"))</x:f>
        <x:v>中</x:v>
      </x:c>
      <x:c r="I820" s="62" t="inlineStr">
        <x:is>
          <x:t xml:space="preserve">歇后语“小媳妇上轿——头一回”，前后半句是一体的。</x:t>
        </x:is>
      </x:c>
      <x:c r="J820" s="62" t="str">
        <x:f>I820</x:f>
        <x:v>歇后语“小媳妇上轿——头一回”，前后半句是一体的。</x:v>
      </x:c>
      <x:c r="K820" s="61" t="inlineStr">
        <x:is>
          <x:t xml:space="preserve">无需改写</x:t>
        </x:is>
      </x:c>
      <x:c r="L820" s="62" t="inlineStr">
        <x:is>
          <x:t xml:space="preserve">小媳妇</x:t>
        </x:is>
      </x:c>
      <x:c r="M820" s="62" t="inlineStr">
        <x:is>
          <x:t xml:space="preserve">歇后语的完整结构</x:t>
        </x:is>
      </x:c>
      <x:c r="N820" s="62" t="inlineStr">
        <x:is>
          <x:t xml:space="preserve">这句歇后语的前后半句是一体的</x:t>
        </x:is>
      </x:c>
      <x:c r="O820" s="61" t="inlineStr">
        <x:is>
          <x:t xml:space="preserve">中</x:t>
        </x:is>
      </x:c>
      <x:c r="P820" s="61" t="inlineStr">
        <x:is>
          <x:t xml:space="preserve">否</x:t>
        </x:is>
      </x:c>
      <x:c r="Q820" s="62" t="n"/>
      <x:c r="R820" s="63" t="inlineStr">
        <x:is>
          <x:t xml:space="preserve">剔除</x:t>
        </x:is>
      </x:c>
      <x:c r="S820" s="63" t="inlineStr">
        <x:is>
          <x:t xml:space="preserve"/>
        </x:is>
      </x:c>
      <x:c r="T820" s="63" t="inlineStr">
        <x:is>
          <x:t xml:space="preserve">类别名有误导性：判据实为「引用/提及」，暂不纳入</x:t>
        </x:is>
      </x:c>
    </x:row>
    <x:row r="821" s="37" customFormat="1" ht="29.850000381469727" customHeight="1">
      <x:c r="A821" s="61" t="inlineStr">
        <x:is>
          <x:t xml:space="preserve">NEG-0820</x:t>
        </x:is>
      </x:c>
      <x:c r="B821" s="61" t="inlineStr">
        <x:is>
          <x:t xml:space="preserve">v5</x:t>
        </x:is>
      </x:c>
      <x:c r="C821" s="62" t="inlineStr">
        <x:is>
          <x:t xml:space="preserve">七、创作与修辞需要</x:t>
        </x:is>
      </x:c>
      <x:c r="D821" s="62" t="inlineStr">
        <x:is>
          <x:t xml:space="preserve">7.5 形式与格律约束</x:t>
        </x:is>
      </x:c>
      <x:c r="E821" s="62" t="inlineStr">
        <x:is>
          <x:t xml:space="preserve">其他</x:t>
        </x:is>
      </x:c>
      <x:c r="F821" s="62" t="inlineStr">
        <x:is>
          <x:t xml:space="preserve">民谣</x:t>
        </x:is>
      </x:c>
      <x:c r="G821" s="61" t="inlineStr">
        <x:is>
          <x:t xml:space="preserve">无</x:t>
        </x:is>
      </x:c>
      <x:c r="H821" s="61" t="str">
        <x:f>IF(LEN(I821)&lt;15,"短",IF(LEN(I821)&lt;=45,"中","长"))</x:f>
        <x:v>中</x:v>
      </x:c>
      <x:c r="I821" s="62" t="inlineStr">
        <x:is>
          <x:t xml:space="preserve">这首民谣是七言，“儿”占一个音节，换成“孩子”就多出一拍。</x:t>
        </x:is>
      </x:c>
      <x:c r="J821" s="62" t="str">
        <x:f>I821</x:f>
        <x:v>这首民谣是七言，“儿”占一个音节，换成“孩子”就多出一拍。</x:v>
      </x:c>
      <x:c r="K821" s="61" t="inlineStr">
        <x:is>
          <x:t xml:space="preserve">无需改写</x:t>
        </x:is>
      </x:c>
      <x:c r="L821" s="62" t="inlineStr">
        <x:is>
          <x:t xml:space="preserve">儿</x:t>
        </x:is>
      </x:c>
      <x:c r="M821" s="62" t="inlineStr">
        <x:is>
          <x:t xml:space="preserve">字数与节奏约束</x:t>
        </x:is>
      </x:c>
      <x:c r="N821" s="62" t="inlineStr">
        <x:is>
          <x:t xml:space="preserve">这首民谣是七言，换词就多出一拍</x:t>
        </x:is>
      </x:c>
      <x:c r="O821" s="61" t="inlineStr">
        <x:is>
          <x:t xml:space="preserve">难</x:t>
        </x:is>
      </x:c>
      <x:c r="P821" s="61" t="inlineStr">
        <x:is>
          <x:t xml:space="preserve">否</x:t>
        </x:is>
      </x:c>
      <x:c r="Q821" s="62" t="n"/>
      <x:c r="R821" s="63" t="inlineStr">
        <x:is>
          <x:t xml:space="preserve">剔除</x:t>
        </x:is>
      </x:c>
      <x:c r="S821" s="63" t="inlineStr">
        <x:is>
          <x:t xml:space="preserve"/>
        </x:is>
      </x:c>
      <x:c r="T821" s="63" t="inlineStr">
        <x:is>
          <x:t xml:space="preserve">类别名有误导性：判据实为「引用/提及」，暂不纳入</x:t>
        </x:is>
      </x:c>
    </x:row>
    <x:row r="822" s="37" customFormat="1" ht="15" customHeight="1">
      <x:c r="A822" s="61" t="inlineStr">
        <x:is>
          <x:t xml:space="preserve">NEG-0821</x:t>
        </x:is>
      </x:c>
      <x:c r="B822" s="61" t="inlineStr">
        <x:is>
          <x:t xml:space="preserve">v5</x:t>
        </x:is>
      </x:c>
      <x:c r="C822" s="62" t="inlineStr">
        <x:is>
          <x:t xml:space="preserve">七、创作与修辞需要</x:t>
        </x:is>
      </x:c>
      <x:c r="D822" s="62" t="inlineStr">
        <x:is>
          <x:t xml:space="preserve">7.5 形式与格律约束</x:t>
        </x:is>
      </x:c>
      <x:c r="E822" s="62" t="inlineStr">
        <x:is>
          <x:t xml:space="preserve">文艺创作与评论</x:t>
        </x:is>
      </x:c>
      <x:c r="F822" s="62" t="inlineStr">
        <x:is>
          <x:t xml:space="preserve">楹联</x:t>
        </x:is>
      </x:c>
      <x:c r="G822" s="61" t="inlineStr">
        <x:is>
          <x:t xml:space="preserve">无</x:t>
        </x:is>
      </x:c>
      <x:c r="H822" s="61" t="str">
        <x:f>IF(LEN(I822)&lt;15,"短",IF(LEN(I822)&lt;=45,"中","长"))</x:f>
        <x:v>中</x:v>
      </x:c>
      <x:c r="I822" s="62" t="inlineStr">
        <x:is>
          <x:t xml:space="preserve">“父慈子孝”对“兄友弟恭”，是常见的成对用法。</x:t>
        </x:is>
      </x:c>
      <x:c r="J822" s="62" t="str">
        <x:f>I822</x:f>
        <x:v>“父慈子孝”对“兄友弟恭”，是常见的成对用法。</x:v>
      </x:c>
      <x:c r="K822" s="61" t="inlineStr">
        <x:is>
          <x:t xml:space="preserve">无需改写</x:t>
        </x:is>
      </x:c>
      <x:c r="L822" s="62" t="inlineStr">
        <x:is>
          <x:t xml:space="preserve">父慈子孝/兄友弟恭</x:t>
        </x:is>
      </x:c>
      <x:c r="M822" s="62" t="inlineStr">
        <x:is>
          <x:t xml:space="preserve">固定成语的对仗关系</x:t>
        </x:is>
      </x:c>
      <x:c r="N822" s="62" t="inlineStr">
        <x:is>
          <x:t xml:space="preserve">这两个成语是常见的成对用法</x:t>
        </x:is>
      </x:c>
      <x:c r="O822" s="61" t="inlineStr">
        <x:is>
          <x:t xml:space="preserve">中</x:t>
        </x:is>
      </x:c>
      <x:c r="P822" s="61" t="inlineStr">
        <x:is>
          <x:t xml:space="preserve">否</x:t>
        </x:is>
      </x:c>
      <x:c r="Q822" s="62" t="n"/>
      <x:c r="R822" s="63" t="inlineStr">
        <x:is>
          <x:t xml:space="preserve">剔除</x:t>
        </x:is>
      </x:c>
      <x:c r="S822" s="63" t="inlineStr">
        <x:is>
          <x:t xml:space="preserve"/>
        </x:is>
      </x:c>
      <x:c r="T822" s="63" t="inlineStr">
        <x:is>
          <x:t xml:space="preserve">类别名有误导性：判据实为「引用/提及」，暂不纳入</x:t>
        </x:is>
      </x:c>
    </x:row>
    <x:row r="823" s="37" customFormat="1" ht="29.850000381469727" customHeight="1">
      <x:c r="A823" s="61" t="inlineStr">
        <x:is>
          <x:t xml:space="preserve">NEG-0822</x:t>
        </x:is>
      </x:c>
      <x:c r="B823" s="61" t="inlineStr">
        <x:is>
          <x:t xml:space="preserve">v5</x:t>
        </x:is>
      </x:c>
      <x:c r="C823" s="62" t="inlineStr">
        <x:is>
          <x:t xml:space="preserve">七、创作与修辞需要</x:t>
        </x:is>
      </x:c>
      <x:c r="D823" s="62" t="inlineStr">
        <x:is>
          <x:t xml:space="preserve">7.6 意象与典故</x:t>
        </x:is>
      </x:c>
      <x:c r="E823" s="62" t="inlineStr">
        <x:is>
          <x:t xml:space="preserve">文艺创作与评论</x:t>
        </x:is>
      </x:c>
      <x:c r="F823" s="62" t="inlineStr">
        <x:is>
          <x:t xml:space="preserve">诗词赏析</x:t>
        </x:is>
      </x:c>
      <x:c r="G823" s="61" t="inlineStr">
        <x:is>
          <x:t xml:space="preserve">无</x:t>
        </x:is>
      </x:c>
      <x:c r="H823" s="61" t="str">
        <x:f>IF(LEN(I823)&lt;15,"短",IF(LEN(I823)&lt;=45,"中","长"))</x:f>
        <x:v>中</x:v>
      </x:c>
      <x:c r="I823" s="62" t="inlineStr">
        <x:is>
          <x:t xml:space="preserve">词里的“思妇”其实是个壳子，寄托的是作者的仕途失意。</x:t>
        </x:is>
      </x:c>
      <x:c r="J823" s="62" t="str">
        <x:f>I823</x:f>
        <x:v>词里的“思妇”其实是个壳子，寄托的是作者的仕途失意。</x:v>
      </x:c>
      <x:c r="K823" s="61" t="inlineStr">
        <x:is>
          <x:t xml:space="preserve">无需改写</x:t>
        </x:is>
      </x:c>
      <x:c r="L823" s="62" t="inlineStr">
        <x:is>
          <x:t xml:space="preserve">思妇</x:t>
        </x:is>
      </x:c>
      <x:c r="M823" s="62" t="inlineStr">
        <x:is>
          <x:t xml:space="preserve">古典诗词的固定意象</x:t>
        </x:is>
      </x:c>
      <x:c r="N823" s="62" t="inlineStr">
        <x:is>
          <x:t xml:space="preserve">词里的这一形象其实是个壳子</x:t>
        </x:is>
      </x:c>
      <x:c r="O823" s="61" t="inlineStr">
        <x:is>
          <x:t xml:space="preserve">中</x:t>
        </x:is>
      </x:c>
      <x:c r="P823" s="61" t="inlineStr">
        <x:is>
          <x:t xml:space="preserve">否</x:t>
        </x:is>
      </x:c>
      <x:c r="Q823" s="62" t="n"/>
      <x:c r="R823" s="63" t="inlineStr">
        <x:is>
          <x:t xml:space="preserve">剔除</x:t>
        </x:is>
      </x:c>
      <x:c r="S823" s="63" t="inlineStr">
        <x:is>
          <x:t xml:space="preserve"/>
        </x:is>
      </x:c>
      <x:c r="T823" s="63" t="inlineStr">
        <x:is>
          <x:t xml:space="preserve">类别名有误导性：判据实为「引用/提及」，暂不纳入</x:t>
        </x:is>
      </x:c>
    </x:row>
    <x:row r="824" s="37" customFormat="1" ht="15" customHeight="1">
      <x:c r="A824" s="61" t="inlineStr">
        <x:is>
          <x:t xml:space="preserve">NEG-0823</x:t>
        </x:is>
      </x:c>
      <x:c r="B824" s="61" t="inlineStr">
        <x:is>
          <x:t xml:space="preserve">v5</x:t>
        </x:is>
      </x:c>
      <x:c r="C824" s="62" t="inlineStr">
        <x:is>
          <x:t xml:space="preserve">七、创作与修辞需要</x:t>
        </x:is>
      </x:c>
      <x:c r="D824" s="62" t="inlineStr">
        <x:is>
          <x:t xml:space="preserve">7.6 意象与典故</x:t>
        </x:is>
      </x:c>
      <x:c r="E824" s="62" t="inlineStr">
        <x:is>
          <x:t xml:space="preserve">学术与调研</x:t>
        </x:is>
      </x:c>
      <x:c r="F824" s="62" t="inlineStr">
        <x:is>
          <x:t xml:space="preserve">谚语研究</x:t>
        </x:is>
      </x:c>
      <x:c r="G824" s="61" t="inlineStr">
        <x:is>
          <x:t xml:space="preserve">无</x:t>
        </x:is>
      </x:c>
      <x:c r="H824" s="61" t="str">
        <x:f>IF(LEN(I824)&lt;15,"短",IF(LEN(I824)&lt;=45,"中","长"))</x:f>
        <x:v>中</x:v>
      </x:c>
      <x:c r="I824" s="62" t="inlineStr">
        <x:is>
          <x:t xml:space="preserve">“嫁鸡随鸡”这类谚语，如今多被用在批评的语境里。</x:t>
        </x:is>
      </x:c>
      <x:c r="J824" s="62" t="str">
        <x:f>I824</x:f>
        <x:v>“嫁鸡随鸡”这类谚语，如今多被用在批评的语境里。</x:v>
      </x:c>
      <x:c r="K824" s="61" t="inlineStr">
        <x:is>
          <x:t xml:space="preserve">无需改写</x:t>
        </x:is>
      </x:c>
      <x:c r="L824" s="62" t="inlineStr">
        <x:is>
          <x:t xml:space="preserve">嫁鸡随鸡</x:t>
        </x:is>
      </x:c>
      <x:c r="M824" s="62" t="inlineStr">
        <x:is>
          <x:t xml:space="preserve">谚语原文，且已说明当代用法</x:t>
        </x:is>
      </x:c>
      <x:c r="N824" s="62" t="inlineStr">
        <x:is>
          <x:t xml:space="preserve">这类传统谚语如今多被用在批评的语境里</x:t>
        </x:is>
      </x:c>
      <x:c r="O824" s="61" t="inlineStr">
        <x:is>
          <x:t xml:space="preserve">中</x:t>
        </x:is>
      </x:c>
      <x:c r="P824" s="61" t="inlineStr">
        <x:is>
          <x:t xml:space="preserve">否</x:t>
        </x:is>
      </x:c>
      <x:c r="Q824" s="62" t="n"/>
      <x:c r="R824" s="63" t="inlineStr">
        <x:is>
          <x:t xml:space="preserve">剔除</x:t>
        </x:is>
      </x:c>
      <x:c r="S824" s="63" t="inlineStr">
        <x:is>
          <x:t xml:space="preserve"/>
        </x:is>
      </x:c>
      <x:c r="T824" s="63" t="inlineStr">
        <x:is>
          <x:t xml:space="preserve">类别名有误导性：判据实为「引用/提及」，暂不纳入</x:t>
        </x:is>
      </x:c>
    </x:row>
    <x:row r="825" s="37" customFormat="1" ht="29.850000381469727" customHeight="1">
      <x:c r="A825" s="55" t="inlineStr">
        <x:is>
          <x:t xml:space="preserve">NEG-0824</x:t>
        </x:is>
      </x:c>
      <x:c r="B825" s="55" t="inlineStr">
        <x:is>
          <x:t xml:space="preserve">v5</x:t>
        </x:is>
      </x:c>
      <x:c r="C825" s="56" t="inlineStr">
        <x:is>
          <x:t xml:space="preserve">八、语言本体层面的历史残留</x:t>
        </x:is>
      </x:c>
      <x:c r="D825" s="56" t="inlineStr">
        <x:is>
          <x:t xml:space="preserve">8.1 字形理据</x:t>
        </x:is>
      </x:c>
      <x:c r="E825" s="56" t="inlineStr">
        <x:is>
          <x:t xml:space="preserve">其他</x:t>
        </x:is>
      </x:c>
      <x:c r="F825" s="56" t="inlineStr">
        <x:is>
          <x:t xml:space="preserve">词义演变</x:t>
        </x:is>
      </x:c>
      <x:c r="G825" s="55" t="inlineStr">
        <x:is>
          <x:t xml:space="preserve">无</x:t>
        </x:is>
      </x:c>
      <x:c r="H825" s="55" t="str">
        <x:f>IF(LEN(I825)&lt;15,"短",IF(LEN(I825)&lt;=45,"中","长"))</x:f>
        <x:v>中</x:v>
      </x:c>
      <x:c r="I825" s="56" t="inlineStr">
        <x:is>
          <x:t xml:space="preserve">“娘”字本义是年轻女子，后来才专门用来指母亲。</x:t>
        </x:is>
      </x:c>
      <x:c r="J825" s="56" t="str">
        <x:f>I825</x:f>
        <x:v>“娘”字本义是年轻女子，后来才专门用来指母亲。</x:v>
      </x:c>
      <x:c r="K825" s="55" t="inlineStr">
        <x:is>
          <x:t xml:space="preserve">无需改写</x:t>
        </x:is>
      </x:c>
      <x:c r="L825" s="56" t="inlineStr">
        <x:is>
          <x:t xml:space="preserve">娘</x:t>
        </x:is>
      </x:c>
      <x:c r="M825" s="56" t="inlineStr">
        <x:is>
          <x:t xml:space="preserve">词义演变的语言学事实</x:t>
        </x:is>
      </x:c>
      <x:c r="N825" s="56" t="inlineStr">
        <x:is>
          <x:t xml:space="preserve">这个字的本义与后起义不同</x:t>
        </x:is>
      </x:c>
      <x:c r="O825" s="55" t="inlineStr">
        <x:is>
          <x:t xml:space="preserve">中</x:t>
        </x:is>
      </x:c>
      <x:c r="P825" s="55" t="inlineStr">
        <x:is>
          <x:t xml:space="preserve">否</x:t>
        </x:is>
      </x:c>
      <x:c r="Q825" s="56" t="n"/>
      <x:c r="R825" s="57" t="inlineStr">
        <x:is>
          <x:t xml:space="preserve">主集</x:t>
        </x:is>
      </x:c>
      <x:c r="S825" s="57" t="inlineStr">
        <x:is>
          <x:t xml:space="preserve">test</x:t>
        </x:is>
      </x:c>
      <x:c r="T825" s="57" t="inlineStr">
        <x:is>
          <x:t xml:space="preserve"/>
        </x:is>
      </x:c>
    </x:row>
    <x:row r="826" s="37" customFormat="1" ht="29.850000381469727" customHeight="1">
      <x:c r="A826" s="55" t="inlineStr">
        <x:is>
          <x:t xml:space="preserve">NEG-0825</x:t>
        </x:is>
      </x:c>
      <x:c r="B826" s="55" t="inlineStr">
        <x:is>
          <x:t xml:space="preserve">v5</x:t>
        </x:is>
      </x:c>
      <x:c r="C826" s="56" t="inlineStr">
        <x:is>
          <x:t xml:space="preserve">八、语言本体层面的历史残留</x:t>
        </x:is>
      </x:c>
      <x:c r="D826" s="56" t="inlineStr">
        <x:is>
          <x:t xml:space="preserve">8.1 字形理据</x:t>
        </x:is>
      </x:c>
      <x:c r="E826" s="56" t="inlineStr">
        <x:is>
          <x:t xml:space="preserve">学术与调研</x:t>
        </x:is>
      </x:c>
      <x:c r="F826" s="56" t="inlineStr">
        <x:is>
          <x:t xml:space="preserve">古汉语</x:t>
        </x:is>
      </x:c>
      <x:c r="G826" s="55" t="inlineStr">
        <x:is>
          <x:t xml:space="preserve">无</x:t>
        </x:is>
      </x:c>
      <x:c r="H826" s="55" t="str">
        <x:f>IF(LEN(I826)&lt;15,"短",IF(LEN(I826)&lt;=45,"中","长"))</x:f>
        <x:v>中</x:v>
      </x:c>
      <x:c r="I826" s="56" t="inlineStr">
        <x:is>
          <x:t xml:space="preserve">“你”和“您”在古汉语里没有对应的性别分化。</x:t>
        </x:is>
      </x:c>
      <x:c r="J826" s="56" t="str">
        <x:f>I826</x:f>
        <x:v>“你”和“您”在古汉语里没有对应的性别分化。</x:v>
      </x:c>
      <x:c r="K826" s="55" t="inlineStr">
        <x:is>
          <x:t xml:space="preserve">无需改写</x:t>
        </x:is>
      </x:c>
      <x:c r="L826" s="56" t="inlineStr">
        <x:is>
          <x:t xml:space="preserve">你/您/性别分化</x:t>
        </x:is>
      </x:c>
      <x:c r="M826" s="56" t="inlineStr">
        <x:is>
          <x:t xml:space="preserve">语言史事实</x:t>
        </x:is>
      </x:c>
      <x:c r="N826" s="56" t="inlineStr">
        <x:is>
          <x:t xml:space="preserve">这两个第二人称在古汉语里没有分化</x:t>
        </x:is>
      </x:c>
      <x:c r="O826" s="55" t="inlineStr">
        <x:is>
          <x:t xml:space="preserve">中</x:t>
        </x:is>
      </x:c>
      <x:c r="P826" s="55" t="inlineStr">
        <x:is>
          <x:t xml:space="preserve">否</x:t>
        </x:is>
      </x:c>
      <x:c r="Q826" s="56" t="n"/>
      <x:c r="R826" s="57" t="inlineStr">
        <x:is>
          <x:t xml:space="preserve">主集</x:t>
        </x:is>
      </x:c>
      <x:c r="S826" s="57" t="inlineStr">
        <x:is>
          <x:t xml:space="preserve">test</x:t>
        </x:is>
      </x:c>
      <x:c r="T826" s="57" t="inlineStr">
        <x:is>
          <x:t xml:space="preserve"/>
        </x:is>
      </x:c>
    </x:row>
    <x:row r="827" s="37" customFormat="1" ht="29.850000381469727" customHeight="1">
      <x:c r="A827" s="55" t="inlineStr">
        <x:is>
          <x:t xml:space="preserve">NEG-0826</x:t>
        </x:is>
      </x:c>
      <x:c r="B827" s="55" t="inlineStr">
        <x:is>
          <x:t xml:space="preserve">v5</x:t>
        </x:is>
      </x:c>
      <x:c r="C827" s="56" t="inlineStr">
        <x:is>
          <x:t xml:space="preserve">八、语言本体层面的历史残留</x:t>
        </x:is>
      </x:c>
      <x:c r="D827" s="56" t="inlineStr">
        <x:is>
          <x:t xml:space="preserve">8.1 字形理据</x:t>
        </x:is>
      </x:c>
      <x:c r="E827" s="56" t="inlineStr">
        <x:is>
          <x:t xml:space="preserve">学术与调研</x:t>
        </x:is>
      </x:c>
      <x:c r="F827" s="56" t="inlineStr">
        <x:is>
          <x:t xml:space="preserve">文字学</x:t>
        </x:is>
      </x:c>
      <x:c r="G827" s="55" t="inlineStr">
        <x:is>
          <x:t xml:space="preserve">无</x:t>
        </x:is>
      </x:c>
      <x:c r="H827" s="55" t="str">
        <x:f>IF(LEN(I827)&lt;15,"短",IF(LEN(I827)&lt;=45,"中","长"))</x:f>
        <x:v>中</x:v>
      </x:c>
      <x:c r="I827" s="56" t="inlineStr">
        <x:is>
          <x:t xml:space="preserve">“姓”从女、生声，与母系社会的说法有关，但不能直接等同。</x:t>
        </x:is>
      </x:c>
      <x:c r="J827" s="56" t="str">
        <x:f>I827</x:f>
        <x:v>“姓”从女、生声，与母系社会的说法有关，但不能直接等同。</x:v>
      </x:c>
      <x:c r="K827" s="55" t="inlineStr">
        <x:is>
          <x:t xml:space="preserve">无需改写</x:t>
        </x:is>
      </x:c>
      <x:c r="L827" s="56" t="inlineStr">
        <x:is>
          <x:t xml:space="preserve">姓/女/母系社会</x:t>
        </x:is>
      </x:c>
      <x:c r="M827" s="56" t="inlineStr">
        <x:is>
          <x:t xml:space="preserve">形声结构与学术审慎表述</x:t>
        </x:is>
      </x:c>
      <x:c r="N827" s="56" t="inlineStr">
        <x:is>
          <x:t xml:space="preserve">该字的构形与早期社会结构有关</x:t>
        </x:is>
      </x:c>
      <x:c r="O827" s="55" t="inlineStr">
        <x:is>
          <x:t xml:space="preserve">中</x:t>
        </x:is>
      </x:c>
      <x:c r="P827" s="55" t="inlineStr">
        <x:is>
          <x:t xml:space="preserve">否</x:t>
        </x:is>
      </x:c>
      <x:c r="Q827" s="56" t="n"/>
      <x:c r="R827" s="57" t="inlineStr">
        <x:is>
          <x:t xml:space="preserve">主集</x:t>
        </x:is>
      </x:c>
      <x:c r="S827" s="57" t="inlineStr">
        <x:is>
          <x:t xml:space="preserve">dev</x:t>
        </x:is>
      </x:c>
      <x:c r="T827" s="57" t="inlineStr">
        <x:is>
          <x:t xml:space="preserve"/>
        </x:is>
      </x:c>
    </x:row>
    <x:row r="828" s="37" customFormat="1" ht="29.850000381469727" customHeight="1">
      <x:c r="A828" s="55" t="inlineStr">
        <x:is>
          <x:t xml:space="preserve">NEG-0827</x:t>
        </x:is>
      </x:c>
      <x:c r="B828" s="55" t="inlineStr">
        <x:is>
          <x:t xml:space="preserve">v5</x:t>
        </x:is>
      </x:c>
      <x:c r="C828" s="56" t="inlineStr">
        <x:is>
          <x:t xml:space="preserve">八、语言本体层面的历史残留</x:t>
        </x:is>
      </x:c>
      <x:c r="D828" s="56" t="inlineStr">
        <x:is>
          <x:t xml:space="preserve">8.1 字形理据</x:t>
        </x:is>
      </x:c>
      <x:c r="E828" s="56" t="inlineStr">
        <x:is>
          <x:t xml:space="preserve">其他</x:t>
        </x:is>
      </x:c>
      <x:c r="F828" s="56" t="inlineStr">
        <x:is>
          <x:t xml:space="preserve">古文字</x:t>
        </x:is>
      </x:c>
      <x:c r="G828" s="55" t="inlineStr">
        <x:is>
          <x:t xml:space="preserve">无</x:t>
        </x:is>
      </x:c>
      <x:c r="H828" s="55" t="str">
        <x:f>IF(LEN(I828)&lt;15,"短",IF(LEN(I828)&lt;=45,"中","长"))</x:f>
        <x:v>中</x:v>
      </x:c>
      <x:c r="I828" s="56" t="inlineStr">
        <x:is>
          <x:t xml:space="preserve">“妻”字的甲骨文字形，学界至今有不同解释。</x:t>
        </x:is>
      </x:c>
      <x:c r="J828" s="56" t="str">
        <x:f>I828</x:f>
        <x:v>“妻”字的甲骨文字形，学界至今有不同解释。</x:v>
      </x:c>
      <x:c r="K828" s="55" t="inlineStr">
        <x:is>
          <x:t xml:space="preserve">无需改写</x:t>
        </x:is>
      </x:c>
      <x:c r="L828" s="56" t="inlineStr">
        <x:is>
          <x:t xml:space="preserve">妻</x:t>
        </x:is>
      </x:c>
      <x:c r="M828" s="56" t="inlineStr">
        <x:is>
          <x:t xml:space="preserve">古文字研究对象</x:t>
        </x:is>
      </x:c>
      <x:c r="N828" s="56" t="inlineStr">
        <x:is>
          <x:t xml:space="preserve">该字的甲骨文字形，学界至今有不同解释</x:t>
        </x:is>
      </x:c>
      <x:c r="O828" s="55" t="inlineStr">
        <x:is>
          <x:t xml:space="preserve">中</x:t>
        </x:is>
      </x:c>
      <x:c r="P828" s="55" t="inlineStr">
        <x:is>
          <x:t xml:space="preserve">否</x:t>
        </x:is>
      </x:c>
      <x:c r="Q828" s="56" t="n"/>
      <x:c r="R828" s="57" t="inlineStr">
        <x:is>
          <x:t xml:space="preserve">主集</x:t>
        </x:is>
      </x:c>
      <x:c r="S828" s="57" t="inlineStr">
        <x:is>
          <x:t xml:space="preserve">test</x:t>
        </x:is>
      </x:c>
      <x:c r="T828" s="57" t="inlineStr">
        <x:is>
          <x:t xml:space="preserve"/>
        </x:is>
      </x:c>
    </x:row>
    <x:row r="829" s="37" customFormat="1" ht="29.850000381469727" customHeight="1">
      <x:c r="A829" s="55" t="inlineStr">
        <x:is>
          <x:t xml:space="preserve">NEG-0828</x:t>
        </x:is>
      </x:c>
      <x:c r="B829" s="55" t="inlineStr">
        <x:is>
          <x:t xml:space="preserve">v5</x:t>
        </x:is>
      </x:c>
      <x:c r="C829" s="56" t="inlineStr">
        <x:is>
          <x:t xml:space="preserve">八、语言本体层面的历史残留</x:t>
        </x:is>
      </x:c>
      <x:c r="D829" s="56" t="inlineStr">
        <x:is>
          <x:t xml:space="preserve">8.2 敬语传统的中性化用法</x:t>
        </x:is>
      </x:c>
      <x:c r="E829" s="56" t="inlineStr">
        <x:is>
          <x:t xml:space="preserve">学术与调研</x:t>
        </x:is>
      </x:c>
      <x:c r="F829" s="56" t="inlineStr">
        <x:is>
          <x:t xml:space="preserve">方言调查</x:t>
        </x:is>
      </x:c>
      <x:c r="G829" s="55" t="inlineStr">
        <x:is>
          <x:t xml:space="preserve">方言</x:t>
        </x:is>
      </x:c>
      <x:c r="H829" s="55" t="str">
        <x:f>IF(LEN(I829)&lt;15,"短",IF(LEN(I829)&lt;=45,"中","长"))</x:f>
        <x:v>中</x:v>
      </x:c>
      <x:c r="I829" s="56" t="inlineStr">
        <x:is>
          <x:t xml:space="preserve">南方一些地方管中医、账房都叫“先生”，是职业敬称。</x:t>
        </x:is>
      </x:c>
      <x:c r="J829" s="56" t="str">
        <x:f>I829</x:f>
        <x:v>南方一些地方管中医、账房都叫“先生”，是职业敬称。</x:v>
      </x:c>
      <x:c r="K829" s="55" t="inlineStr">
        <x:is>
          <x:t xml:space="preserve">无需改写</x:t>
        </x:is>
      </x:c>
      <x:c r="L829" s="56" t="inlineStr">
        <x:is>
          <x:t xml:space="preserve">先生</x:t>
        </x:is>
      </x:c>
      <x:c r="M829" s="56" t="inlineStr">
        <x:is>
          <x:t xml:space="preserve">方言中的职业敬称</x:t>
        </x:is>
      </x:c>
      <x:c r="N829" s="56" t="inlineStr">
        <x:is>
          <x:t xml:space="preserve">南方一些地方对这些职业有专门敬称</x:t>
        </x:is>
      </x:c>
      <x:c r="O829" s="55" t="inlineStr">
        <x:is>
          <x:t xml:space="preserve">中</x:t>
        </x:is>
      </x:c>
      <x:c r="P829" s="55" t="inlineStr">
        <x:is>
          <x:t xml:space="preserve">否</x:t>
        </x:is>
      </x:c>
      <x:c r="Q829" s="56" t="n"/>
      <x:c r="R829" s="57" t="inlineStr">
        <x:is>
          <x:t xml:space="preserve">主集</x:t>
        </x:is>
      </x:c>
      <x:c r="S829" s="57" t="inlineStr">
        <x:is>
          <x:t xml:space="preserve">index</x:t>
        </x:is>
      </x:c>
      <x:c r="T829" s="57" t="inlineStr">
        <x:is>
          <x:t xml:space="preserve"/>
        </x:is>
      </x:c>
    </x:row>
    <x:row r="830" s="37" customFormat="1" ht="29.850000381469727" customHeight="1">
      <x:c r="A830" s="55" t="inlineStr">
        <x:is>
          <x:t xml:space="preserve">NEG-0829</x:t>
        </x:is>
      </x:c>
      <x:c r="B830" s="55" t="inlineStr">
        <x:is>
          <x:t xml:space="preserve">v5</x:t>
        </x:is>
      </x:c>
      <x:c r="C830" s="56" t="inlineStr">
        <x:is>
          <x:t xml:space="preserve">八、语言本体层面的历史残留</x:t>
        </x:is>
      </x:c>
      <x:c r="D830" s="56" t="inlineStr">
        <x:is>
          <x:t xml:space="preserve">8.2 敬语传统的中性化用法</x:t>
        </x:is>
      </x:c>
      <x:c r="E830" s="56" t="inlineStr">
        <x:is>
          <x:t xml:space="preserve">其他</x:t>
        </x:is>
      </x:c>
      <x:c r="F830" s="56" t="inlineStr">
        <x:is>
          <x:t xml:space="preserve">行业观察</x:t>
        </x:is>
      </x:c>
      <x:c r="G830" s="55" t="inlineStr">
        <x:is>
          <x:t xml:space="preserve">无</x:t>
        </x:is>
      </x:c>
      <x:c r="H830" s="55" t="str">
        <x:f>IF(LEN(I830)&lt;15,"短",IF(LEN(I830)&lt;=45,"中","长"))</x:f>
        <x:v>中</x:v>
      </x:c>
      <x:c r="I830" s="56" t="inlineStr">
        <x:is>
          <x:t xml:space="preserve">“师父”这个称呼在很多行当里都不分性别。</x:t>
        </x:is>
      </x:c>
      <x:c r="J830" s="56" t="str">
        <x:f>I830</x:f>
        <x:v>“师父”这个称呼在很多行当里都不分性别。</x:v>
      </x:c>
      <x:c r="K830" s="55" t="inlineStr">
        <x:is>
          <x:t xml:space="preserve">无需改写</x:t>
        </x:is>
      </x:c>
      <x:c r="L830" s="56" t="inlineStr">
        <x:is>
          <x:t xml:space="preserve">师父</x:t>
        </x:is>
      </x:c>
      <x:c r="M830" s="56" t="inlineStr">
        <x:is>
          <x:t xml:space="preserve">已中性化的称谓</x:t>
        </x:is>
      </x:c>
      <x:c r="N830" s="56" t="inlineStr">
        <x:is>
          <x:t xml:space="preserve">这个称呼在很多行当里都不分性别</x:t>
        </x:is>
      </x:c>
      <x:c r="O830" s="55" t="inlineStr">
        <x:is>
          <x:t xml:space="preserve">中</x:t>
        </x:is>
      </x:c>
      <x:c r="P830" s="55" t="inlineStr">
        <x:is>
          <x:t xml:space="preserve">否</x:t>
        </x:is>
      </x:c>
      <x:c r="Q830" s="56" t="n"/>
      <x:c r="R830" s="57" t="inlineStr">
        <x:is>
          <x:t xml:space="preserve">主集</x:t>
        </x:is>
      </x:c>
      <x:c r="S830" s="57" t="inlineStr">
        <x:is>
          <x:t xml:space="preserve">test</x:t>
        </x:is>
      </x:c>
      <x:c r="T830" s="57" t="inlineStr">
        <x:is>
          <x:t xml:space="preserve"/>
        </x:is>
      </x:c>
    </x:row>
    <x:row r="831" s="37" customFormat="1" ht="29.850000381469727" customHeight="1">
      <x:c r="A831" s="55" t="inlineStr">
        <x:is>
          <x:t xml:space="preserve">NEG-0830</x:t>
        </x:is>
      </x:c>
      <x:c r="B831" s="55" t="inlineStr">
        <x:is>
          <x:t xml:space="preserve">v5</x:t>
        </x:is>
      </x:c>
      <x:c r="C831" s="56" t="inlineStr">
        <x:is>
          <x:t xml:space="preserve">八、语言本体层面的历史残留</x:t>
        </x:is>
      </x:c>
      <x:c r="D831" s="56" t="inlineStr">
        <x:is>
          <x:t xml:space="preserve">8.2 敬语传统的中性化用法</x:t>
        </x:is>
      </x:c>
      <x:c r="E831" s="56" t="inlineStr">
        <x:is>
          <x:t xml:space="preserve">其他</x:t>
        </x:is>
      </x:c>
      <x:c r="F831" s="56" t="inlineStr">
        <x:is>
          <x:t xml:space="preserve">语言观察</x:t>
        </x:is>
      </x:c>
      <x:c r="G831" s="55" t="inlineStr">
        <x:is>
          <x:t xml:space="preserve">无</x:t>
        </x:is>
      </x:c>
      <x:c r="H831" s="55" t="str">
        <x:f>IF(LEN(I831)&lt;15,"短",IF(LEN(I831)&lt;=45,"中","长"))</x:f>
        <x:v>中</x:v>
      </x:c>
      <x:c r="I831" s="56" t="inlineStr">
        <x:is>
          <x:t xml:space="preserve">饭馆里管老板娘也直接叫“老板”，现在越来越普遍。</x:t>
        </x:is>
      </x:c>
      <x:c r="J831" s="56" t="str">
        <x:f>I831</x:f>
        <x:v>饭馆里管老板娘也直接叫“老板”，现在越来越普遍。</x:v>
      </x:c>
      <x:c r="K831" s="55" t="inlineStr">
        <x:is>
          <x:t xml:space="preserve">无需改写</x:t>
        </x:is>
      </x:c>
      <x:c r="L831" s="56" t="inlineStr">
        <x:is>
          <x:t xml:space="preserve">老板娘/老板</x:t>
        </x:is>
      </x:c>
      <x:c r="M831" s="56" t="inlineStr">
        <x:is>
          <x:t xml:space="preserve">称谓演变的实况描述</x:t>
        </x:is>
      </x:c>
      <x:c r="N831" s="56" t="inlineStr">
        <x:is>
          <x:t xml:space="preserve">饭馆里的称呼现在越来越统一</x:t>
        </x:is>
      </x:c>
      <x:c r="O831" s="55" t="inlineStr">
        <x:is>
          <x:t xml:space="preserve">中</x:t>
        </x:is>
      </x:c>
      <x:c r="P831" s="55" t="inlineStr">
        <x:is>
          <x:t xml:space="preserve">否</x:t>
        </x:is>
      </x:c>
      <x:c r="Q831" s="56" t="n"/>
      <x:c r="R831" s="57" t="inlineStr">
        <x:is>
          <x:t xml:space="preserve">主集</x:t>
        </x:is>
      </x:c>
      <x:c r="S831" s="57" t="inlineStr">
        <x:is>
          <x:t xml:space="preserve">index</x:t>
        </x:is>
      </x:c>
      <x:c r="T831" s="57" t="inlineStr">
        <x:is>
          <x:t xml:space="preserve"/>
        </x:is>
      </x:c>
    </x:row>
    <x:row r="832" s="37" customFormat="1" ht="29.850000381469727" customHeight="1">
      <x:c r="A832" s="55" t="inlineStr">
        <x:is>
          <x:t xml:space="preserve">NEG-0831</x:t>
        </x:is>
      </x:c>
      <x:c r="B832" s="55" t="inlineStr">
        <x:is>
          <x:t xml:space="preserve">v5</x:t>
        </x:is>
      </x:c>
      <x:c r="C832" s="56" t="inlineStr">
        <x:is>
          <x:t xml:space="preserve">八、语言本体层面的历史残留</x:t>
        </x:is>
      </x:c>
      <x:c r="D832" s="56" t="inlineStr">
        <x:is>
          <x:t xml:space="preserve">8.2 敬语传统的中性化用法</x:t>
        </x:is>
      </x:c>
      <x:c r="E832" s="56" t="inlineStr">
        <x:is>
          <x:t xml:space="preserve">学术与调研</x:t>
        </x:is>
      </x:c>
      <x:c r="F832" s="56" t="inlineStr">
        <x:is>
          <x:t xml:space="preserve">学术史</x:t>
        </x:is>
      </x:c>
      <x:c r="G832" s="55" t="inlineStr">
        <x:is>
          <x:t xml:space="preserve">无</x:t>
        </x:is>
      </x:c>
      <x:c r="H832" s="55" t="str">
        <x:f>IF(LEN(I832)&lt;15,"短",IF(LEN(I832)&lt;=45,"中","长"))</x:f>
        <x:v>中</x:v>
      </x:c>
      <x:c r="I832" s="56" t="inlineStr">
        <x:is>
          <x:t xml:space="preserve">学界称许广平为“许先生”，是当时的通例。</x:t>
        </x:is>
      </x:c>
      <x:c r="J832" s="56" t="str">
        <x:f>I832</x:f>
        <x:v>学界称许广平为“许先生”，是当时的通例。</x:v>
      </x:c>
      <x:c r="K832" s="55" t="inlineStr">
        <x:is>
          <x:t xml:space="preserve">无需改写</x:t>
        </x:is>
      </x:c>
      <x:c r="L832" s="56" t="inlineStr">
        <x:is>
          <x:t xml:space="preserve">许先生</x:t>
        </x:is>
      </x:c>
      <x:c r="M832" s="56" t="inlineStr">
        <x:is>
          <x:t xml:space="preserve">历史称谓事实</x:t>
        </x:is>
      </x:c>
      <x:c r="N832" s="56" t="inlineStr">
        <x:is>
          <x:t xml:space="preserve">学界对其的称呼是当时的通例</x:t>
        </x:is>
      </x:c>
      <x:c r="O832" s="55" t="inlineStr">
        <x:is>
          <x:t xml:space="preserve">难</x:t>
        </x:is>
      </x:c>
      <x:c r="P832" s="55" t="inlineStr">
        <x:is>
          <x:t xml:space="preserve">是</x:t>
        </x:is>
      </x:c>
      <x:c r="Q832" s="56" t="n"/>
      <x:c r="R832" s="57" t="inlineStr">
        <x:is>
          <x:t xml:space="preserve">主集</x:t>
        </x:is>
      </x:c>
      <x:c r="S832" s="57" t="inlineStr">
        <x:is>
          <x:t xml:space="preserve">test</x:t>
        </x:is>
      </x:c>
      <x:c r="T832" s="57" t="inlineStr">
        <x:is>
          <x:t xml:space="preserve"/>
        </x:is>
      </x:c>
    </x:row>
    <x:row r="833" s="37" customFormat="1" ht="29.850000381469727" customHeight="1">
      <x:c r="A833" s="55" t="inlineStr">
        <x:is>
          <x:t xml:space="preserve">NEG-0832</x:t>
        </x:is>
      </x:c>
      <x:c r="B833" s="55" t="inlineStr">
        <x:is>
          <x:t xml:space="preserve">v5</x:t>
        </x:is>
      </x:c>
      <x:c r="C833" s="56" t="inlineStr">
        <x:is>
          <x:t xml:space="preserve">八、语言本体层面的历史残留</x:t>
        </x:is>
      </x:c>
      <x:c r="D833" s="56" t="inlineStr">
        <x:is>
          <x:t xml:space="preserve">8.3 已中性化的复合词</x:t>
        </x:is>
      </x:c>
      <x:c r="E833" s="56" t="inlineStr">
        <x:is>
          <x:t xml:space="preserve">学术与调研</x:t>
        </x:is>
      </x:c>
      <x:c r="F833" s="56" t="inlineStr">
        <x:is>
          <x:t xml:space="preserve">语用说明</x:t>
        </x:is>
      </x:c>
      <x:c r="G833" s="55" t="inlineStr">
        <x:is>
          <x:t xml:space="preserve">无</x:t>
        </x:is>
      </x:c>
      <x:c r="H833" s="55" t="str">
        <x:f>IF(LEN(I833)&lt;15,"短",IF(LEN(I833)&lt;=45,"中","长"))</x:f>
        <x:v>中</x:v>
      </x:c>
      <x:c r="I833" s="56" t="inlineStr">
        <x:is>
          <x:t xml:space="preserve">“子女”是中性词，不必再改成别的说法。</x:t>
        </x:is>
      </x:c>
      <x:c r="J833" s="56" t="str">
        <x:f>I833</x:f>
        <x:v>“子女”是中性词，不必再改成别的说法。</x:v>
      </x:c>
      <x:c r="K833" s="55" t="inlineStr">
        <x:is>
          <x:t xml:space="preserve">无需改写</x:t>
        </x:is>
      </x:c>
      <x:c r="L833" s="56" t="inlineStr">
        <x:is>
          <x:t xml:space="preserve">子女</x:t>
        </x:is>
      </x:c>
      <x:c r="M833" s="56" t="inlineStr">
        <x:is>
          <x:t xml:space="preserve">句子本身在说明该词无需改写</x:t>
        </x:is>
      </x:c>
      <x:c r="N833" s="56" t="inlineStr">
        <x:is>
          <x:t xml:space="preserve">这个词是中性的，不必再改</x:t>
        </x:is>
      </x:c>
      <x:c r="O833" s="55" t="inlineStr">
        <x:is>
          <x:t xml:space="preserve">中</x:t>
        </x:is>
      </x:c>
      <x:c r="P833" s="55" t="inlineStr">
        <x:is>
          <x:t xml:space="preserve">否</x:t>
        </x:is>
      </x:c>
      <x:c r="Q833" s="56" t="inlineStr">
        <x:is>
          <x:t xml:space="preserve">元层面样本：改写它构成自相矛盾</x:t>
        </x:is>
      </x:c>
      <x:c r="R833" s="57" t="inlineStr">
        <x:is>
          <x:t xml:space="preserve">主集</x:t>
        </x:is>
      </x:c>
      <x:c r="S833" s="57" t="inlineStr">
        <x:is>
          <x:t xml:space="preserve">index</x:t>
        </x:is>
      </x:c>
      <x:c r="T833" s="57" t="inlineStr">
        <x:is>
          <x:t xml:space="preserve"/>
        </x:is>
      </x:c>
    </x:row>
    <x:row r="834" s="37" customFormat="1" ht="29.850000381469727" customHeight="1">
      <x:c r="A834" s="55" t="inlineStr">
        <x:is>
          <x:t xml:space="preserve">NEG-0833</x:t>
        </x:is>
      </x:c>
      <x:c r="B834" s="55" t="inlineStr">
        <x:is>
          <x:t xml:space="preserve">v5</x:t>
        </x:is>
      </x:c>
      <x:c r="C834" s="56" t="inlineStr">
        <x:is>
          <x:t xml:space="preserve">八、语言本体层面的历史残留</x:t>
        </x:is>
      </x:c>
      <x:c r="D834" s="56" t="inlineStr">
        <x:is>
          <x:t xml:space="preserve">8.3 已中性化的复合词</x:t>
        </x:is>
      </x:c>
      <x:c r="E834" s="56" t="inlineStr">
        <x:is>
          <x:t xml:space="preserve">其他</x:t>
        </x:is>
      </x:c>
      <x:c r="F834" s="56" t="inlineStr">
        <x:is>
          <x:t xml:space="preserve">文章用语</x:t>
        </x:is>
      </x:c>
      <x:c r="G834" s="55" t="inlineStr">
        <x:is>
          <x:t xml:space="preserve">无</x:t>
        </x:is>
      </x:c>
      <x:c r="H834" s="55" t="str">
        <x:f>IF(LEN(I834)&lt;15,"短",IF(LEN(I834)&lt;=45,"中","长"))</x:f>
        <x:v>中</x:v>
      </x:c>
      <x:c r="I834" s="56" t="inlineStr">
        <x:is>
          <x:t xml:space="preserve">文中的“父辈”泛指上一代人，并不专指父亲。</x:t>
        </x:is>
      </x:c>
      <x:c r="J834" s="56" t="str">
        <x:f>I834</x:f>
        <x:v>文中的“父辈”泛指上一代人，并不专指父亲。</x:v>
      </x:c>
      <x:c r="K834" s="55" t="inlineStr">
        <x:is>
          <x:t xml:space="preserve">无需改写</x:t>
        </x:is>
      </x:c>
      <x:c r="L834" s="56" t="inlineStr">
        <x:is>
          <x:t xml:space="preserve">父辈/父亲</x:t>
        </x:is>
      </x:c>
      <x:c r="M834" s="56" t="inlineStr">
        <x:is>
          <x:t xml:space="preserve">用词说明</x:t>
        </x:is>
      </x:c>
      <x:c r="N834" s="56" t="inlineStr">
        <x:is>
          <x:t xml:space="preserve">文中的这一称呼泛指上一代人</x:t>
        </x:is>
      </x:c>
      <x:c r="O834" s="55" t="inlineStr">
        <x:is>
          <x:t xml:space="preserve">中</x:t>
        </x:is>
      </x:c>
      <x:c r="P834" s="55" t="inlineStr">
        <x:is>
          <x:t xml:space="preserve">否</x:t>
        </x:is>
      </x:c>
      <x:c r="Q834" s="56" t="n"/>
      <x:c r="R834" s="57" t="inlineStr">
        <x:is>
          <x:t xml:space="preserve">主集</x:t>
        </x:is>
      </x:c>
      <x:c r="S834" s="57" t="inlineStr">
        <x:is>
          <x:t xml:space="preserve">dev</x:t>
        </x:is>
      </x:c>
      <x:c r="T834" s="57" t="inlineStr">
        <x:is>
          <x:t xml:space="preserve"/>
        </x:is>
      </x:c>
    </x:row>
    <x:row r="835" s="37" customFormat="1" ht="29.850000381469727" customHeight="1">
      <x:c r="A835" s="55" t="inlineStr">
        <x:is>
          <x:t xml:space="preserve">NEG-0834</x:t>
        </x:is>
      </x:c>
      <x:c r="B835" s="55" t="inlineStr">
        <x:is>
          <x:t xml:space="preserve">v5</x:t>
        </x:is>
      </x:c>
      <x:c r="C835" s="56" t="inlineStr">
        <x:is>
          <x:t xml:space="preserve">八、语言本体层面的历史残留</x:t>
        </x:is>
      </x:c>
      <x:c r="D835" s="56" t="inlineStr">
        <x:is>
          <x:t xml:space="preserve">8.3 已中性化的复合词</x:t>
        </x:is>
      </x:c>
      <x:c r="E835" s="56" t="inlineStr">
        <x:is>
          <x:t xml:space="preserve">学术与调研</x:t>
        </x:is>
      </x:c>
      <x:c r="F835" s="56" t="inlineStr">
        <x:is>
          <x:t xml:space="preserve">语用说明</x:t>
        </x:is>
      </x:c>
      <x:c r="G835" s="55" t="inlineStr">
        <x:is>
          <x:t xml:space="preserve">无</x:t>
        </x:is>
      </x:c>
      <x:c r="H835" s="55" t="str">
        <x:f>IF(LEN(I835)&lt;15,"短",IF(LEN(I835)&lt;=45,"中","长"))</x:f>
        <x:v>中</x:v>
      </x:c>
      <x:c r="I835" s="56" t="inlineStr">
        <x:is>
          <x:t xml:space="preserve">“兄弟姐妹”作整体泛指时，不涉及具体的性别构成。</x:t>
        </x:is>
      </x:c>
      <x:c r="J835" s="56" t="str">
        <x:f>I835</x:f>
        <x:v>“兄弟姐妹”作整体泛指时，不涉及具体的性别构成。</x:v>
      </x:c>
      <x:c r="K835" s="55" t="inlineStr">
        <x:is>
          <x:t xml:space="preserve">无需改写</x:t>
        </x:is>
      </x:c>
      <x:c r="L835" s="56" t="inlineStr">
        <x:is>
          <x:t xml:space="preserve">兄弟姐妹</x:t>
        </x:is>
      </x:c>
      <x:c r="M835" s="56" t="inlineStr">
        <x:is>
          <x:t xml:space="preserve">四字格的整体泛指用法</x:t>
        </x:is>
      </x:c>
      <x:c r="N835" s="56" t="inlineStr">
        <x:is>
          <x:t xml:space="preserve">这个词作整体泛指时不涉及具体构成</x:t>
        </x:is>
      </x:c>
      <x:c r="O835" s="55" t="inlineStr">
        <x:is>
          <x:t xml:space="preserve">中</x:t>
        </x:is>
      </x:c>
      <x:c r="P835" s="55" t="inlineStr">
        <x:is>
          <x:t xml:space="preserve">是</x:t>
        </x:is>
      </x:c>
      <x:c r="Q835" s="56" t="n"/>
      <x:c r="R835" s="57" t="inlineStr">
        <x:is>
          <x:t xml:space="preserve">主集</x:t>
        </x:is>
      </x:c>
      <x:c r="S835" s="57" t="inlineStr">
        <x:is>
          <x:t xml:space="preserve">index</x:t>
        </x:is>
      </x:c>
      <x:c r="T835" s="57" t="inlineStr">
        <x:is>
          <x:t xml:space="preserve"/>
        </x:is>
      </x:c>
    </x:row>
    <x:row r="836" s="37" customFormat="1" ht="29.850000381469727" customHeight="1">
      <x:c r="A836" s="58" t="inlineStr">
        <x:is>
          <x:t xml:space="preserve">NEG-0835</x:t>
        </x:is>
      </x:c>
      <x:c r="B836" s="58" t="inlineStr">
        <x:is>
          <x:t xml:space="preserve">v5</x:t>
        </x:is>
      </x:c>
      <x:c r="C836" s="59" t="inlineStr">
        <x:is>
          <x:t xml:space="preserve">八、语言本体层面的历史残留</x:t>
        </x:is>
      </x:c>
      <x:c r="D836" s="59" t="inlineStr">
        <x:is>
          <x:t xml:space="preserve">8.3 已中性化的复合词</x:t>
        </x:is>
      </x:c>
      <x:c r="E836" s="59" t="inlineStr">
        <x:is>
          <x:t xml:space="preserve">其他</x:t>
        </x:is>
      </x:c>
      <x:c r="F836" s="59" t="inlineStr">
        <x:is>
          <x:t xml:space="preserve">俗语解释</x:t>
        </x:is>
      </x:c>
      <x:c r="G836" s="58" t="inlineStr">
        <x:is>
          <x:t xml:space="preserve">无</x:t>
        </x:is>
      </x:c>
      <x:c r="H836" s="58" t="str">
        <x:f>IF(LEN(I836)&lt;15,"短",IF(LEN(I836)&lt;=45,"中","长"))</x:f>
        <x:v>中</x:v>
      </x:c>
      <x:c r="I836" s="59" t="inlineStr">
        <x:is>
          <x:t xml:space="preserve">“儿孙自有儿孙福”里的“儿孙”是泛指后代。</x:t>
        </x:is>
      </x:c>
      <x:c r="J836" s="59" t="str">
        <x:f>I836</x:f>
        <x:v>“儿孙自有儿孙福”里的“儿孙”是泛指后代。</x:v>
      </x:c>
      <x:c r="K836" s="58" t="inlineStr">
        <x:is>
          <x:t xml:space="preserve">无需改写</x:t>
        </x:is>
      </x:c>
      <x:c r="L836" s="59" t="inlineStr">
        <x:is>
          <x:t xml:space="preserve">儿孙</x:t>
        </x:is>
      </x:c>
      <x:c r="M836" s="59" t="inlineStr">
        <x:is>
          <x:t xml:space="preserve">俗语原文与释义</x:t>
        </x:is>
      </x:c>
      <x:c r="N836" s="59" t="inlineStr">
        <x:is>
          <x:t xml:space="preserve">这句俗语里的相关词是泛指后代</x:t>
        </x:is>
      </x:c>
      <x:c r="O836" s="58" t="inlineStr">
        <x:is>
          <x:t xml:space="preserve">中</x:t>
        </x:is>
      </x:c>
      <x:c r="P836" s="58" t="inlineStr">
        <x:is>
          <x:t xml:space="preserve">否</x:t>
        </x:is>
      </x:c>
      <x:c r="Q836" s="59" t="n"/>
      <x:c r="R836" s="60" t="inlineStr">
        <x:is>
          <x:t xml:space="preserve">隔离·待确认</x:t>
        </x:is>
      </x:c>
      <x:c r="S836" s="60" t="inlineStr">
        <x:is>
          <x:t xml:space="preserve"/>
        </x:is>
      </x:c>
      <x:c r="T836" s="60" t="inlineStr">
        <x:is>
          <x:t xml:space="preserve">触发词不含性别编码——判断可能依赖世界知识而非句内信息</x:t>
        </x:is>
      </x:c>
    </x:row>
    <x:row r="837" s="37" customFormat="1" ht="29.850000381469727" customHeight="1">
      <x:c r="A837" s="58" t="inlineStr">
        <x:is>
          <x:t xml:space="preserve">NEG-0836</x:t>
        </x:is>
      </x:c>
      <x:c r="B837" s="58" t="inlineStr">
        <x:is>
          <x:t xml:space="preserve">v5</x:t>
        </x:is>
      </x:c>
      <x:c r="C837" s="59" t="inlineStr">
        <x:is>
          <x:t xml:space="preserve">八、语言本体层面的历史残留</x:t>
        </x:is>
      </x:c>
      <x:c r="D837" s="59" t="inlineStr">
        <x:is>
          <x:t xml:space="preserve">8.4 语法性词汇</x:t>
        </x:is>
      </x:c>
      <x:c r="E837" s="59" t="inlineStr">
        <x:is>
          <x:t xml:space="preserve">学术与调研</x:t>
        </x:is>
      </x:c>
      <x:c r="F837" s="59" t="inlineStr">
        <x:is>
          <x:t xml:space="preserve">词源解释</x:t>
        </x:is>
      </x:c>
      <x:c r="G837" s="58" t="inlineStr">
        <x:is>
          <x:t xml:space="preserve">无</x:t>
        </x:is>
      </x:c>
      <x:c r="H837" s="58" t="str">
        <x:f>IF(LEN(I837)&lt;15,"短",IF(LEN(I837)&lt;=45,"中","长"))</x:f>
        <x:v>中</x:v>
      </x:c>
      <x:c r="I837" s="59" t="inlineStr">
        <x:is>
          <x:t xml:space="preserve">“曼陀林”是音译词，与“曼”字的字义没有关系。</x:t>
        </x:is>
      </x:c>
      <x:c r="J837" s="59" t="str">
        <x:f>I837</x:f>
        <x:v>“曼陀林”是音译词，与“曼”字的字义没有关系。</x:v>
      </x:c>
      <x:c r="K837" s="58" t="inlineStr">
        <x:is>
          <x:t xml:space="preserve">无需改写</x:t>
        </x:is>
      </x:c>
      <x:c r="L837" s="59" t="inlineStr">
        <x:is>
          <x:t xml:space="preserve">曼陀林</x:t>
        </x:is>
      </x:c>
      <x:c r="M837" s="59" t="inlineStr">
        <x:is>
          <x:t xml:space="preserve">音译外来词</x:t>
        </x:is>
      </x:c>
      <x:c r="N837" s="59" t="inlineStr">
        <x:is>
          <x:t xml:space="preserve">这个乐器名是音译词，与字义无关</x:t>
        </x:is>
      </x:c>
      <x:c r="O837" s="58" t="inlineStr">
        <x:is>
          <x:t xml:space="preserve">易</x:t>
        </x:is>
      </x:c>
      <x:c r="P837" s="58" t="inlineStr">
        <x:is>
          <x:t xml:space="preserve">否</x:t>
        </x:is>
      </x:c>
      <x:c r="Q837" s="59" t="n"/>
      <x:c r="R837" s="60" t="inlineStr">
        <x:is>
          <x:t xml:space="preserve">隔离·待确认</x:t>
        </x:is>
      </x:c>
      <x:c r="S837" s="60" t="inlineStr">
        <x:is>
          <x:t xml:space="preserve"/>
        </x:is>
      </x:c>
      <x:c r="T837" s="60" t="inlineStr">
        <x:is>
          <x:t xml:space="preserve">触发词不含性别编码——判断可能依赖世界知识而非句内信息</x:t>
        </x:is>
      </x:c>
    </x:row>
    <x:row r="838" s="37" customFormat="1" ht="29.850000381469727" customHeight="1">
      <x:c r="A838" s="55" t="inlineStr">
        <x:is>
          <x:t xml:space="preserve">NEG-0837</x:t>
        </x:is>
      </x:c>
      <x:c r="B838" s="55" t="inlineStr">
        <x:is>
          <x:t xml:space="preserve">v5</x:t>
        </x:is>
      </x:c>
      <x:c r="C838" s="56" t="inlineStr">
        <x:is>
          <x:t xml:space="preserve">八、语言本体层面的历史残留</x:t>
        </x:is>
      </x:c>
      <x:c r="D838" s="56" t="inlineStr">
        <x:is>
          <x:t xml:space="preserve">8.4 语法性词汇</x:t>
        </x:is>
      </x:c>
      <x:c r="E838" s="56" t="inlineStr">
        <x:is>
          <x:t xml:space="preserve">学术与调研</x:t>
        </x:is>
      </x:c>
      <x:c r="F838" s="56" t="inlineStr">
        <x:is>
          <x:t xml:space="preserve">民俗词源</x:t>
        </x:is>
      </x:c>
      <x:c r="G838" s="55" t="inlineStr">
        <x:is>
          <x:t xml:space="preserve">无</x:t>
        </x:is>
      </x:c>
      <x:c r="H838" s="55" t="str">
        <x:f>IF(LEN(I838)&lt;15,"短",IF(LEN(I838)&lt;=45,"中","长"))</x:f>
        <x:v>中</x:v>
      </x:c>
      <x:c r="I838" s="56" t="inlineStr">
        <x:is>
          <x:t xml:space="preserve">“妈祖”的“妈”是尊称语素，不作亲属义理解。</x:t>
        </x:is>
      </x:c>
      <x:c r="J838" s="56" t="str">
        <x:f>I838</x:f>
        <x:v>“妈祖”的“妈”是尊称语素，不作亲属义理解。</x:v>
      </x:c>
      <x:c r="K838" s="55" t="inlineStr">
        <x:is>
          <x:t xml:space="preserve">无需改写</x:t>
        </x:is>
      </x:c>
      <x:c r="L838" s="56" t="inlineStr">
        <x:is>
          <x:t xml:space="preserve">妈祖/妈</x:t>
        </x:is>
      </x:c>
      <x:c r="M838" s="56" t="inlineStr">
        <x:is>
          <x:t xml:space="preserve">专名构词说明</x:t>
        </x:is>
      </x:c>
      <x:c r="N838" s="56" t="inlineStr">
        <x:is>
          <x:t xml:space="preserve">这一专名中的成分不作字面理解</x:t>
        </x:is>
      </x:c>
      <x:c r="O838" s="55" t="inlineStr">
        <x:is>
          <x:t xml:space="preserve">中</x:t>
        </x:is>
      </x:c>
      <x:c r="P838" s="55" t="inlineStr">
        <x:is>
          <x:t xml:space="preserve">否</x:t>
        </x:is>
      </x:c>
      <x:c r="Q838" s="56" t="n"/>
      <x:c r="R838" s="57" t="inlineStr">
        <x:is>
          <x:t xml:space="preserve">主集</x:t>
        </x:is>
      </x:c>
      <x:c r="S838" s="57" t="inlineStr">
        <x:is>
          <x:t xml:space="preserve">index</x:t>
        </x:is>
      </x:c>
      <x:c r="T838" s="57" t="inlineStr">
        <x:is>
          <x:t xml:space="preserve"/>
        </x:is>
      </x:c>
    </x:row>
    <x:row r="839" s="37" customFormat="1" ht="29.850000381469727" customHeight="1">
      <x:c r="A839" s="55" t="inlineStr">
        <x:is>
          <x:t xml:space="preserve">NEG-0838</x:t>
        </x:is>
      </x:c>
      <x:c r="B839" s="55" t="inlineStr">
        <x:is>
          <x:t xml:space="preserve">v5</x:t>
        </x:is>
      </x:c>
      <x:c r="C839" s="56" t="inlineStr">
        <x:is>
          <x:t xml:space="preserve">八、语言本体层面的历史残留</x:t>
        </x:is>
      </x:c>
      <x:c r="D839" s="56" t="inlineStr">
        <x:is>
          <x:t xml:space="preserve">8.4 语法性词汇</x:t>
        </x:is>
      </x:c>
      <x:c r="E839" s="56" t="inlineStr">
        <x:is>
          <x:t xml:space="preserve">学术与调研</x:t>
        </x:is>
      </x:c>
      <x:c r="F839" s="56" t="inlineStr">
        <x:is>
          <x:t xml:space="preserve">语言学教材</x:t>
        </x:is>
      </x:c>
      <x:c r="G839" s="55" t="inlineStr">
        <x:is>
          <x:t xml:space="preserve">无</x:t>
        </x:is>
      </x:c>
      <x:c r="H839" s="55" t="str">
        <x:f>IF(LEN(I839)&lt;15,"短",IF(LEN(I839)&lt;=45,"中","长"))</x:f>
        <x:v>中</x:v>
      </x:c>
      <x:c r="I839" s="56" t="inlineStr">
        <x:is>
          <x:t xml:space="preserve">德语名词分三性，“女孩”一词偏偏是中性，常被拿来当例子。</x:t>
        </x:is>
      </x:c>
      <x:c r="J839" s="56" t="str">
        <x:f>I839</x:f>
        <x:v>德语名词分三性，“女孩”一词偏偏是中性，常被拿来当例子。</x:v>
      </x:c>
      <x:c r="K839" s="55" t="inlineStr">
        <x:is>
          <x:t xml:space="preserve">无需改写</x:t>
        </x:is>
      </x:c>
      <x:c r="L839" s="56" t="inlineStr">
        <x:is>
          <x:t xml:space="preserve">三性/女孩</x:t>
        </x:is>
      </x:c>
      <x:c r="M839" s="56" t="inlineStr">
        <x:is>
          <x:t xml:space="preserve">语法性属的经典例证</x:t>
        </x:is>
      </x:c>
      <x:c r="N839" s="56" t="inlineStr">
        <x:is>
          <x:t xml:space="preserve">德语名词分三性，常有名实不符的例子</x:t>
        </x:is>
      </x:c>
      <x:c r="O839" s="55" t="inlineStr">
        <x:is>
          <x:t xml:space="preserve">中</x:t>
        </x:is>
      </x:c>
      <x:c r="P839" s="55" t="inlineStr">
        <x:is>
          <x:t xml:space="preserve">否</x:t>
        </x:is>
      </x:c>
      <x:c r="Q839" s="56" t="n"/>
      <x:c r="R839" s="57" t="inlineStr">
        <x:is>
          <x:t xml:space="preserve">主集</x:t>
        </x:is>
      </x:c>
      <x:c r="S839" s="57" t="inlineStr">
        <x:is>
          <x:t xml:space="preserve">test</x:t>
        </x:is>
      </x:c>
      <x:c r="T839" s="57" t="inlineStr">
        <x:is>
          <x:t xml:space="preserve"/>
        </x:is>
      </x:c>
    </x:row>
    <x:row r="840" s="37" customFormat="1" ht="29.850000381469727" customHeight="1">
      <x:c r="A840" s="55" t="inlineStr">
        <x:is>
          <x:t xml:space="preserve">NEG-0839</x:t>
        </x:is>
      </x:c>
      <x:c r="B840" s="55" t="inlineStr">
        <x:is>
          <x:t xml:space="preserve">v5</x:t>
        </x:is>
      </x:c>
      <x:c r="C840" s="56" t="inlineStr">
        <x:is>
          <x:t xml:space="preserve">八、语言本体层面的历史残留</x:t>
        </x:is>
      </x:c>
      <x:c r="D840" s="56" t="inlineStr">
        <x:is>
          <x:t xml:space="preserve">8.4 语法性词汇</x:t>
        </x:is>
      </x:c>
      <x:c r="E840" s="56" t="inlineStr">
        <x:is>
          <x:t xml:space="preserve">学术与调研</x:t>
        </x:is>
      </x:c>
      <x:c r="F840" s="56" t="inlineStr">
        <x:is>
          <x:t xml:space="preserve">翻译研究</x:t>
        </x:is>
      </x:c>
      <x:c r="G840" s="55" t="inlineStr">
        <x:is>
          <x:t xml:space="preserve">无</x:t>
        </x:is>
      </x:c>
      <x:c r="H840" s="55" t="str">
        <x:f>IF(LEN(I840)&lt;15,"短",IF(LEN(I840)&lt;=45,"中","长"))</x:f>
        <x:v>中</x:v>
      </x:c>
      <x:c r="I840" s="56" t="inlineStr">
        <x:is>
          <x:t xml:space="preserve">阿拉伯语动词随主语性别变位，译成中文时一律不体现。</x:t>
        </x:is>
      </x:c>
      <x:c r="J840" s="56" t="str">
        <x:f>I840</x:f>
        <x:v>阿拉伯语动词随主语性别变位，译成中文时一律不体现。</x:v>
      </x:c>
      <x:c r="K840" s="55" t="inlineStr">
        <x:is>
          <x:t xml:space="preserve">无需改写</x:t>
        </x:is>
      </x:c>
      <x:c r="L840" s="56" t="inlineStr">
        <x:is>
          <x:t xml:space="preserve">性别变位</x:t>
        </x:is>
      </x:c>
      <x:c r="M840" s="56" t="inlineStr">
        <x:is>
          <x:t xml:space="preserve">跨语言对比</x:t>
        </x:is>
      </x:c>
      <x:c r="N840" s="56" t="inlineStr">
        <x:is>
          <x:t xml:space="preserve">阿拉伯语动词随主语变位，译成中文不体现</x:t>
        </x:is>
      </x:c>
      <x:c r="O840" s="55" t="inlineStr">
        <x:is>
          <x:t xml:space="preserve">易</x:t>
        </x:is>
      </x:c>
      <x:c r="P840" s="55" t="inlineStr">
        <x:is>
          <x:t xml:space="preserve">否</x:t>
        </x:is>
      </x:c>
      <x:c r="Q840" s="56" t="n"/>
      <x:c r="R840" s="57" t="inlineStr">
        <x:is>
          <x:t xml:space="preserve">主集</x:t>
        </x:is>
      </x:c>
      <x:c r="S840" s="57" t="inlineStr">
        <x:is>
          <x:t xml:space="preserve">index</x:t>
        </x:is>
      </x:c>
      <x:c r="T840" s="57" t="inlineStr">
        <x:is>
          <x:t xml:space="preserve"/>
        </x:is>
      </x:c>
    </x:row>
    <x:row r="841" s="37" customFormat="1" ht="29.850000381469727" customHeight="1">
      <x:c r="A841" s="55" t="inlineStr">
        <x:is>
          <x:t xml:space="preserve">NEG-0840</x:t>
        </x:is>
      </x:c>
      <x:c r="B841" s="55" t="inlineStr">
        <x:is>
          <x:t xml:space="preserve">v5</x:t>
        </x:is>
      </x:c>
      <x:c r="C841" s="56" t="inlineStr">
        <x:is>
          <x:t xml:space="preserve">八、语言本体层面的历史残留</x:t>
        </x:is>
      </x:c>
      <x:c r="D841" s="56" t="inlineStr">
        <x:is>
          <x:t xml:space="preserve">8.5 惯用搭配与固定表达</x:t>
        </x:is>
      </x:c>
      <x:c r="E841" s="56" t="inlineStr">
        <x:is>
          <x:t xml:space="preserve">学术与调研</x:t>
        </x:is>
      </x:c>
      <x:c r="F841" s="56" t="inlineStr">
        <x:is>
          <x:t xml:space="preserve">语用说明</x:t>
        </x:is>
      </x:c>
      <x:c r="G841" s="55" t="inlineStr">
        <x:is>
          <x:t xml:space="preserve">无</x:t>
        </x:is>
      </x:c>
      <x:c r="H841" s="55" t="str">
        <x:f>IF(LEN(I841)&lt;15,"短",IF(LEN(I841)&lt;=45,"中","长"))</x:f>
        <x:v>中</x:v>
      </x:c>
      <x:c r="I841" s="56" t="inlineStr">
        <x:is>
          <x:t xml:space="preserve">“男女老少”是个四字整体，不是在做二分。</x:t>
        </x:is>
      </x:c>
      <x:c r="J841" s="56" t="str">
        <x:f>I841</x:f>
        <x:v>“男女老少”是个四字整体，不是在做二分。</x:v>
      </x:c>
      <x:c r="K841" s="55" t="inlineStr">
        <x:is>
          <x:t xml:space="preserve">无需改写</x:t>
        </x:is>
      </x:c>
      <x:c r="L841" s="56" t="inlineStr">
        <x:is>
          <x:t xml:space="preserve">男女老少</x:t>
        </x:is>
      </x:c>
      <x:c r="M841" s="56" t="inlineStr">
        <x:is>
          <x:t xml:space="preserve">固定语的整体用法说明</x:t>
        </x:is>
      </x:c>
      <x:c r="N841" s="56" t="inlineStr">
        <x:is>
          <x:t xml:space="preserve">这个四字词是整体表达，不是在做二分</x:t>
        </x:is>
      </x:c>
      <x:c r="O841" s="55" t="inlineStr">
        <x:is>
          <x:t xml:space="preserve">中</x:t>
        </x:is>
      </x:c>
      <x:c r="P841" s="55" t="inlineStr">
        <x:is>
          <x:t xml:space="preserve">是</x:t>
        </x:is>
      </x:c>
      <x:c r="Q841" s="56" t="n"/>
      <x:c r="R841" s="57" t="inlineStr">
        <x:is>
          <x:t xml:space="preserve">主集</x:t>
        </x:is>
      </x:c>
      <x:c r="S841" s="57" t="inlineStr">
        <x:is>
          <x:t xml:space="preserve">dev</x:t>
        </x:is>
      </x:c>
      <x:c r="T841" s="57" t="inlineStr">
        <x:is>
          <x:t xml:space="preserve"/>
        </x:is>
      </x:c>
    </x:row>
    <x:row r="842" s="37" customFormat="1" ht="29.850000381469727" customHeight="1">
      <x:c r="A842" s="55" t="inlineStr">
        <x:is>
          <x:t xml:space="preserve">NEG-0841</x:t>
        </x:is>
      </x:c>
      <x:c r="B842" s="55" t="inlineStr">
        <x:is>
          <x:t xml:space="preserve">v5</x:t>
        </x:is>
      </x:c>
      <x:c r="C842" s="56" t="inlineStr">
        <x:is>
          <x:t xml:space="preserve">八、语言本体层面的历史残留</x:t>
        </x:is>
      </x:c>
      <x:c r="D842" s="56" t="inlineStr">
        <x:is>
          <x:t xml:space="preserve">8.5 惯用搭配与固定表达</x:t>
        </x:is>
      </x:c>
      <x:c r="E842" s="56" t="inlineStr">
        <x:is>
          <x:t xml:space="preserve">其他</x:t>
        </x:is>
      </x:c>
      <x:c r="F842" s="56" t="inlineStr">
        <x:is>
          <x:t xml:space="preserve">文章分析</x:t>
        </x:is>
      </x:c>
      <x:c r="G842" s="55" t="inlineStr">
        <x:is>
          <x:t xml:space="preserve">无</x:t>
        </x:is>
      </x:c>
      <x:c r="H842" s="55" t="str">
        <x:f>IF(LEN(I842)&lt;15,"短",IF(LEN(I842)&lt;=45,"中","长"))</x:f>
        <x:v>中</x:v>
      </x:c>
      <x:c r="I842" s="56" t="inlineStr">
        <x:is>
          <x:t xml:space="preserve">“夫唱妇随”在这篇文章里是被批评的对象，不是主张。</x:t>
        </x:is>
      </x:c>
      <x:c r="J842" s="56" t="str">
        <x:f>I842</x:f>
        <x:v>“夫唱妇随”在这篇文章里是被批评的对象，不是主张。</x:v>
      </x:c>
      <x:c r="K842" s="55" t="inlineStr">
        <x:is>
          <x:t xml:space="preserve">无需改写</x:t>
        </x:is>
      </x:c>
      <x:c r="L842" s="56" t="inlineStr">
        <x:is>
          <x:t xml:space="preserve">夫唱妇随</x:t>
        </x:is>
      </x:c>
      <x:c r="M842" s="56" t="inlineStr">
        <x:is>
          <x:t xml:space="preserve">句子本身在澄清立场</x:t>
        </x:is>
      </x:c>
      <x:c r="N842" s="56" t="inlineStr">
        <x:is>
          <x:t xml:space="preserve">这个成语在文中是被批评的对象</x:t>
        </x:is>
      </x:c>
      <x:c r="O842" s="55" t="inlineStr">
        <x:is>
          <x:t xml:space="preserve">难</x:t>
        </x:is>
      </x:c>
      <x:c r="P842" s="55" t="inlineStr">
        <x:is>
          <x:t xml:space="preserve">否</x:t>
        </x:is>
      </x:c>
      <x:c r="Q842" s="56" t="n"/>
      <x:c r="R842" s="57" t="inlineStr">
        <x:is>
          <x:t xml:space="preserve">主集</x:t>
        </x:is>
      </x:c>
      <x:c r="S842" s="57" t="inlineStr">
        <x:is>
          <x:t xml:space="preserve">index</x:t>
        </x:is>
      </x:c>
      <x:c r="T842" s="57" t="inlineStr">
        <x:is>
          <x:t xml:space="preserve"/>
        </x:is>
      </x:c>
    </x:row>
    <x:row r="843" s="37" customFormat="1" ht="29.850000381469727" customHeight="1">
      <x:c r="A843" s="58" t="inlineStr">
        <x:is>
          <x:t xml:space="preserve">NEG-0842</x:t>
        </x:is>
      </x:c>
      <x:c r="B843" s="58" t="inlineStr">
        <x:is>
          <x:t xml:space="preserve">v5</x:t>
        </x:is>
      </x:c>
      <x:c r="C843" s="59" t="inlineStr">
        <x:is>
          <x:t xml:space="preserve">八、语言本体层面的历史残留</x:t>
        </x:is>
      </x:c>
      <x:c r="D843" s="59" t="inlineStr">
        <x:is>
          <x:t xml:space="preserve">8.5 惯用搭配与固定表达</x:t>
        </x:is>
      </x:c>
      <x:c r="E843" s="59" t="inlineStr">
        <x:is>
          <x:t xml:space="preserve">口语与私人交流</x:t>
        </x:is>
      </x:c>
      <x:c r="F843" s="59" t="inlineStr">
        <x:is>
          <x:t xml:space="preserve">方言口语</x:t>
        </x:is>
      </x:c>
      <x:c r="G843" s="58" t="inlineStr">
        <x:is>
          <x:t xml:space="preserve">方言</x:t>
        </x:is>
      </x:c>
      <x:c r="H843" s="58" t="str">
        <x:f>IF(LEN(I843)&lt;15,"短",IF(LEN(I843)&lt;=45,"中","长"))</x:f>
        <x:v>中</x:v>
      </x:c>
      <x:c r="I843" s="59" t="inlineStr">
        <x:is>
          <x:t xml:space="preserve">“哥俩好”是划拳的说法，跟性别其实没多大关系。</x:t>
        </x:is>
      </x:c>
      <x:c r="J843" s="59" t="str">
        <x:f>I843</x:f>
        <x:v>“哥俩好”是划拳的说法，跟性别其实没多大关系。</x:v>
      </x:c>
      <x:c r="K843" s="58" t="inlineStr">
        <x:is>
          <x:t xml:space="preserve">无需改写</x:t>
        </x:is>
      </x:c>
      <x:c r="L843" s="59" t="inlineStr">
        <x:is>
          <x:t xml:space="preserve">哥俩好</x:t>
        </x:is>
      </x:c>
      <x:c r="M843" s="59" t="inlineStr">
        <x:is>
          <x:t xml:space="preserve">酒令固定用语</x:t>
        </x:is>
      </x:c>
      <x:c r="N843" s="59" t="inlineStr">
        <x:is>
          <x:t xml:space="preserve">这句划拳的说法跟性别没多大关系</x:t>
        </x:is>
      </x:c>
      <x:c r="O843" s="58" t="inlineStr">
        <x:is>
          <x:t xml:space="preserve">中</x:t>
        </x:is>
      </x:c>
      <x:c r="P843" s="58" t="inlineStr">
        <x:is>
          <x:t xml:space="preserve">否</x:t>
        </x:is>
      </x:c>
      <x:c r="Q843" s="59" t="n"/>
      <x:c r="R843" s="60" t="inlineStr">
        <x:is>
          <x:t xml:space="preserve">隔离·待确认</x:t>
        </x:is>
      </x:c>
      <x:c r="S843" s="60" t="inlineStr">
        <x:is>
          <x:t xml:space="preserve"/>
        </x:is>
      </x:c>
      <x:c r="T843" s="60" t="inlineStr">
        <x:is>
          <x:t xml:space="preserve">触发词不含性别编码——判断可能依赖世界知识而非句内信息</x:t>
        </x:is>
      </x:c>
    </x:row>
    <x:row r="844" s="37" customFormat="1" ht="29.850000381469727" customHeight="1">
      <x:c r="A844" s="55" t="inlineStr">
        <x:is>
          <x:t xml:space="preserve">NEG-0843</x:t>
        </x:is>
      </x:c>
      <x:c r="B844" s="55" t="inlineStr">
        <x:is>
          <x:t xml:space="preserve">v5</x:t>
        </x:is>
      </x:c>
      <x:c r="C844" s="56" t="inlineStr">
        <x:is>
          <x:t xml:space="preserve">八、语言本体层面的历史残留</x:t>
        </x:is>
      </x:c>
      <x:c r="D844" s="56" t="inlineStr">
        <x:is>
          <x:t xml:space="preserve">8.5 惯用搭配与固定表达</x:t>
        </x:is>
      </x:c>
      <x:c r="E844" s="56" t="inlineStr">
        <x:is>
          <x:t xml:space="preserve">其他</x:t>
        </x:is>
      </x:c>
      <x:c r="F844" s="56" t="inlineStr">
        <x:is>
          <x:t xml:space="preserve">职场用语</x:t>
        </x:is>
      </x:c>
      <x:c r="G844" s="55" t="inlineStr">
        <x:is>
          <x:t xml:space="preserve">无</x:t>
        </x:is>
      </x:c>
      <x:c r="H844" s="55" t="str">
        <x:f>IF(LEN(I844)&lt;15,"短",IF(LEN(I844)&lt;=45,"中","长"))</x:f>
        <x:v>中</x:v>
      </x:c>
      <x:c r="I844" s="56" t="inlineStr">
        <x:is>
          <x:t xml:space="preserve">“娘家人”在很多场合已经泛指原单位或原团队。</x:t>
        </x:is>
      </x:c>
      <x:c r="J844" s="56" t="str">
        <x:f>I844</x:f>
        <x:v>“娘家人”在很多场合已经泛指原单位或原团队。</x:v>
      </x:c>
      <x:c r="K844" s="55" t="inlineStr">
        <x:is>
          <x:t xml:space="preserve">无需改写</x:t>
        </x:is>
      </x:c>
      <x:c r="L844" s="56" t="inlineStr">
        <x:is>
          <x:t xml:space="preserve">娘家人</x:t>
        </x:is>
      </x:c>
      <x:c r="M844" s="56" t="inlineStr">
        <x:is>
          <x:t xml:space="preserve">词义泛化的实况描述</x:t>
        </x:is>
      </x:c>
      <x:c r="N844" s="56" t="inlineStr">
        <x:is>
          <x:t xml:space="preserve">这个词在很多场合已泛指原单位</x:t>
        </x:is>
      </x:c>
      <x:c r="O844" s="55" t="inlineStr">
        <x:is>
          <x:t xml:space="preserve">中</x:t>
        </x:is>
      </x:c>
      <x:c r="P844" s="55" t="inlineStr">
        <x:is>
          <x:t xml:space="preserve">是</x:t>
        </x:is>
      </x:c>
      <x:c r="Q844" s="56" t="n"/>
      <x:c r="R844" s="57" t="inlineStr">
        <x:is>
          <x:t xml:space="preserve">主集</x:t>
        </x:is>
      </x:c>
      <x:c r="S844" s="57" t="inlineStr">
        <x:is>
          <x:t xml:space="preserve">test</x:t>
        </x:is>
      </x:c>
      <x:c r="T844" s="57" t="inlineStr">
        <x:is>
          <x:t xml:space="preserve"/>
        </x:is>
      </x:c>
    </x:row>
    <x:row r="845" s="37" customFormat="1" ht="29.850000381469727" customHeight="1">
      <x:c r="A845" s="55" t="inlineStr">
        <x:is>
          <x:t xml:space="preserve">NEG-0844</x:t>
        </x:is>
      </x:c>
      <x:c r="B845" s="55" t="inlineStr">
        <x:is>
          <x:t xml:space="preserve">v5</x:t>
        </x:is>
      </x:c>
      <x:c r="C845" s="56" t="inlineStr">
        <x:is>
          <x:t xml:space="preserve">九、假触发词（形似而非）</x:t>
        </x:is>
      </x:c>
      <x:c r="D845" s="56" t="inlineStr">
        <x:is>
          <x:t xml:space="preserve">9.1 建筑与工程构件</x:t>
        </x:is>
      </x:c>
      <x:c r="E845" s="56" t="inlineStr">
        <x:is>
          <x:t xml:space="preserve">其他</x:t>
        </x:is>
      </x:c>
      <x:c r="F845" s="56" t="inlineStr">
        <x:is>
          <x:t xml:space="preserve">消防检查</x:t>
        </x:is>
      </x:c>
      <x:c r="G845" s="55" t="inlineStr">
        <x:is>
          <x:t xml:space="preserve">无</x:t>
        </x:is>
      </x:c>
      <x:c r="H845" s="55" t="str">
        <x:f>IF(LEN(I845)&lt;15,"短",IF(LEN(I845)&lt;=45,"中","长"))</x:f>
        <x:v>中</x:v>
      </x:c>
      <x:c r="I845" s="56" t="inlineStr">
        <x:is>
          <x:t xml:space="preserve">子母门的常闭扇平时锁死，消防检查时必须能打开。</x:t>
        </x:is>
      </x:c>
      <x:c r="J845" s="56" t="str">
        <x:f>I845</x:f>
        <x:v>子母门的常闭扇平时锁死，消防检查时必须能打开。</x:v>
      </x:c>
      <x:c r="K845" s="55" t="inlineStr">
        <x:is>
          <x:t xml:space="preserve">无需改写</x:t>
        </x:is>
      </x:c>
      <x:c r="L845" s="56" t="inlineStr">
        <x:is>
          <x:t xml:space="preserve">子母门</x:t>
        </x:is>
      </x:c>
      <x:c r="M845" s="56" t="inlineStr">
        <x:is>
          <x:t xml:space="preserve">门型名称</x:t>
        </x:is>
      </x:c>
      <x:c r="N845" s="56" t="inlineStr">
        <x:is>
          <x:t xml:space="preserve">双扇门的常闭扇平时锁死</x:t>
        </x:is>
      </x:c>
      <x:c r="O845" s="55" t="inlineStr">
        <x:is>
          <x:t xml:space="preserve">易</x:t>
        </x:is>
      </x:c>
      <x:c r="P845" s="55" t="inlineStr">
        <x:is>
          <x:t xml:space="preserve">否</x:t>
        </x:is>
      </x:c>
      <x:c r="Q845" s="56" t="n"/>
      <x:c r="R845" s="57" t="inlineStr">
        <x:is>
          <x:t xml:space="preserve">主集</x:t>
        </x:is>
      </x:c>
      <x:c r="S845" s="57" t="inlineStr">
        <x:is>
          <x:t xml:space="preserve">index</x:t>
        </x:is>
      </x:c>
      <x:c r="T845" s="57" t="inlineStr">
        <x:is>
          <x:t xml:space="preserve"/>
        </x:is>
      </x:c>
    </x:row>
    <x:row r="846" s="37" customFormat="1" ht="29.850000381469727" customHeight="1">
      <x:c r="A846" s="58" t="inlineStr">
        <x:is>
          <x:t xml:space="preserve">NEG-0845</x:t>
        </x:is>
      </x:c>
      <x:c r="B846" s="58" t="inlineStr">
        <x:is>
          <x:t xml:space="preserve">v5</x:t>
        </x:is>
      </x:c>
      <x:c r="C846" s="59" t="inlineStr">
        <x:is>
          <x:t xml:space="preserve">九、假触发词（形似而非）</x:t>
        </x:is>
      </x:c>
      <x:c r="D846" s="59" t="inlineStr">
        <x:is>
          <x:t xml:space="preserve">9.1 建筑与工程构件</x:t>
        </x:is>
      </x:c>
      <x:c r="E846" s="59" t="inlineStr">
        <x:is>
          <x:t xml:space="preserve">工程与技术</x:t>
        </x:is>
      </x:c>
      <x:c r="F846" s="59" t="inlineStr">
        <x:is>
          <x:t xml:space="preserve">市政验收</x:t>
        </x:is>
      </x:c>
      <x:c r="G846" s="58" t="inlineStr">
        <x:is>
          <x:t xml:space="preserve">无</x:t>
        </x:is>
      </x:c>
      <x:c r="H846" s="58" t="str">
        <x:f>IF(LEN(I846)&lt;15,"短",IF(LEN(I846)&lt;=45,"中","长"))</x:f>
        <x:v>中</x:v>
      </x:c>
      <x:c r="I846" s="59" t="inlineStr">
        <x:is>
          <x:t xml:space="preserve">阴井盖的标高比路面低了两公分，得返工。</x:t>
        </x:is>
      </x:c>
      <x:c r="J846" s="59" t="str">
        <x:f>I846</x:f>
        <x:v>阴井盖的标高比路面低了两公分，得返工。</x:v>
      </x:c>
      <x:c r="K846" s="58" t="inlineStr">
        <x:is>
          <x:t xml:space="preserve">无需改写</x:t>
        </x:is>
      </x:c>
      <x:c r="L846" s="59" t="inlineStr">
        <x:is>
          <x:t xml:space="preserve">阴井盖</x:t>
        </x:is>
      </x:c>
      <x:c r="M846" s="59" t="inlineStr">
        <x:is>
          <x:t xml:space="preserve">市政构件名称</x:t>
        </x:is>
      </x:c>
      <x:c r="N846" s="59" t="inlineStr">
        <x:is>
          <x:t xml:space="preserve">检查井盖的标高比路面低了两公分</x:t>
        </x:is>
      </x:c>
      <x:c r="O846" s="58" t="inlineStr">
        <x:is>
          <x:t xml:space="preserve">易</x:t>
        </x:is>
      </x:c>
      <x:c r="P846" s="58" t="inlineStr">
        <x:is>
          <x:t xml:space="preserve">否</x:t>
        </x:is>
      </x:c>
      <x:c r="Q846" s="59" t="n"/>
      <x:c r="R846" s="60" t="inlineStr">
        <x:is>
          <x:t xml:space="preserve">隔离·待确认</x:t>
        </x:is>
      </x:c>
      <x:c r="S846" s="60" t="inlineStr">
        <x:is>
          <x:t xml:space="preserve"/>
        </x:is>
      </x:c>
      <x:c r="T846" s="60" t="inlineStr">
        <x:is>
          <x:t xml:space="preserve">触发词不含性别编码——判断可能依赖世界知识而非句内信息</x:t>
        </x:is>
      </x:c>
    </x:row>
    <x:row r="847" s="37" customFormat="1" ht="29.850000381469727" customHeight="1">
      <x:c r="A847" s="55" t="inlineStr">
        <x:is>
          <x:t xml:space="preserve">NEG-0846</x:t>
        </x:is>
      </x:c>
      <x:c r="B847" s="55" t="inlineStr">
        <x:is>
          <x:t xml:space="preserve">v5</x:t>
        </x:is>
      </x:c>
      <x:c r="C847" s="56" t="inlineStr">
        <x:is>
          <x:t xml:space="preserve">九、假触发词（形似而非）</x:t>
        </x:is>
      </x:c>
      <x:c r="D847" s="56" t="inlineStr">
        <x:is>
          <x:t xml:space="preserve">9.2 机械电气与器件</x:t>
        </x:is>
      </x:c>
      <x:c r="E847" s="56" t="inlineStr">
        <x:is>
          <x:t xml:space="preserve">工程与技术</x:t>
        </x:is>
      </x:c>
      <x:c r="F847" s="56" t="inlineStr">
        <x:is>
          <x:t xml:space="preserve">电气施工</x:t>
        </x:is>
      </x:c>
      <x:c r="G847" s="55" t="inlineStr">
        <x:is>
          <x:t xml:space="preserve">无</x:t>
        </x:is>
      </x:c>
      <x:c r="H847" s="55" t="str">
        <x:f>IF(LEN(I847)&lt;15,"短",IF(LEN(I847)&lt;=45,"中","长"))</x:f>
        <x:v>中</x:v>
      </x:c>
      <x:c r="I847" s="56" t="inlineStr">
        <x:is>
          <x:t xml:space="preserve">母排与支路的连接处要做绝缘包扎。</x:t>
        </x:is>
      </x:c>
      <x:c r="J847" s="56" t="str">
        <x:f>I847</x:f>
        <x:v>母排与支路的连接处要做绝缘包扎。</x:v>
      </x:c>
      <x:c r="K847" s="55" t="inlineStr">
        <x:is>
          <x:t xml:space="preserve">无需改写</x:t>
        </x:is>
      </x:c>
      <x:c r="L847" s="56" t="inlineStr">
        <x:is>
          <x:t xml:space="preserve">母排</x:t>
        </x:is>
      </x:c>
      <x:c r="M847" s="56" t="inlineStr">
        <x:is>
          <x:t xml:space="preserve">电气元件名称</x:t>
        </x:is>
      </x:c>
      <x:c r="N847" s="56" t="inlineStr">
        <x:is>
          <x:t xml:space="preserve">汇流排与支路的连接处要做绝缘包扎</x:t>
        </x:is>
      </x:c>
      <x:c r="O847" s="55" t="inlineStr">
        <x:is>
          <x:t xml:space="preserve">易</x:t>
        </x:is>
      </x:c>
      <x:c r="P847" s="55" t="inlineStr">
        <x:is>
          <x:t xml:space="preserve">否</x:t>
        </x:is>
      </x:c>
      <x:c r="Q847" s="56" t="n"/>
      <x:c r="R847" s="57" t="inlineStr">
        <x:is>
          <x:t xml:space="preserve">主集</x:t>
        </x:is>
      </x:c>
      <x:c r="S847" s="57" t="inlineStr">
        <x:is>
          <x:t xml:space="preserve">index</x:t>
        </x:is>
      </x:c>
      <x:c r="T847" s="57" t="inlineStr">
        <x:is>
          <x:t xml:space="preserve"/>
        </x:is>
      </x:c>
    </x:row>
    <x:row r="848" s="37" customFormat="1" ht="29.850000381469727" customHeight="1">
      <x:c r="A848" s="58" t="inlineStr">
        <x:is>
          <x:t xml:space="preserve">NEG-0847</x:t>
        </x:is>
      </x:c>
      <x:c r="B848" s="58" t="inlineStr">
        <x:is>
          <x:t xml:space="preserve">v5</x:t>
        </x:is>
      </x:c>
      <x:c r="C848" s="59" t="inlineStr">
        <x:is>
          <x:t xml:space="preserve">九、假触发词（形似而非）</x:t>
        </x:is>
      </x:c>
      <x:c r="D848" s="59" t="inlineStr">
        <x:is>
          <x:t xml:space="preserve">9.2 机械电气与器件</x:t>
        </x:is>
      </x:c>
      <x:c r="E848" s="59" t="inlineStr">
        <x:is>
          <x:t xml:space="preserve">工程与技术</x:t>
        </x:is>
      </x:c>
      <x:c r="F848" s="59" t="inlineStr">
        <x:is>
          <x:t xml:space="preserve">注塑车间</x:t>
        </x:is>
      </x:c>
      <x:c r="G848" s="58" t="inlineStr">
        <x:is>
          <x:t xml:space="preserve">无</x:t>
        </x:is>
      </x:c>
      <x:c r="H848" s="58" t="str">
        <x:f>IF(LEN(I848)&lt;15,"短",IF(LEN(I848)&lt;=45,"中","长"))</x:f>
        <x:v>中</x:v>
      </x:c>
      <x:c r="I848" s="59" t="inlineStr">
        <x:is>
          <x:t xml:space="preserve">这台注塑机的公模温度偏高，产品出现了拉伤。</x:t>
        </x:is>
      </x:c>
      <x:c r="J848" s="59" t="str">
        <x:f>I848</x:f>
        <x:v>这台注塑机的公模温度偏高，产品出现了拉伤。</x:v>
      </x:c>
      <x:c r="K848" s="58" t="inlineStr">
        <x:is>
          <x:t xml:space="preserve">无需改写</x:t>
        </x:is>
      </x:c>
      <x:c r="L848" s="59" t="inlineStr">
        <x:is>
          <x:t xml:space="preserve">公模</x:t>
        </x:is>
      </x:c>
      <x:c r="M848" s="59" t="inlineStr">
        <x:is>
          <x:t xml:space="preserve">模具部件名称</x:t>
        </x:is>
      </x:c>
      <x:c r="N848" s="59" t="inlineStr">
        <x:is>
          <x:t xml:space="preserve">这台注塑机的凸模温度偏高</x:t>
        </x:is>
      </x:c>
      <x:c r="O848" s="58" t="inlineStr">
        <x:is>
          <x:t xml:space="preserve">易</x:t>
        </x:is>
      </x:c>
      <x:c r="P848" s="58" t="inlineStr">
        <x:is>
          <x:t xml:space="preserve">否</x:t>
        </x:is>
      </x:c>
      <x:c r="Q848" s="59" t="n"/>
      <x:c r="R848" s="60" t="inlineStr">
        <x:is>
          <x:t xml:space="preserve">隔离·待确认</x:t>
        </x:is>
      </x:c>
      <x:c r="S848" s="60" t="inlineStr">
        <x:is>
          <x:t xml:space="preserve"/>
        </x:is>
      </x:c>
      <x:c r="T848" s="60" t="inlineStr">
        <x:is>
          <x:t xml:space="preserve">触发词不含性别编码——判断可能依赖世界知识而非句内信息</x:t>
        </x:is>
      </x:c>
    </x:row>
    <x:row r="849" s="37" customFormat="1" ht="29.850000381469727" customHeight="1">
      <x:c r="A849" s="58" t="inlineStr">
        <x:is>
          <x:t xml:space="preserve">NEG-0848</x:t>
        </x:is>
      </x:c>
      <x:c r="B849" s="58" t="inlineStr">
        <x:is>
          <x:t xml:space="preserve">v5</x:t>
        </x:is>
      </x:c>
      <x:c r="C849" s="59" t="inlineStr">
        <x:is>
          <x:t xml:space="preserve">九、假触发词（形似而非）</x:t>
        </x:is>
      </x:c>
      <x:c r="D849" s="59" t="inlineStr">
        <x:is>
          <x:t xml:space="preserve">9.2 机械电气与器件</x:t>
        </x:is>
      </x:c>
      <x:c r="E849" s="59" t="inlineStr">
        <x:is>
          <x:t xml:space="preserve">其他</x:t>
        </x:is>
      </x:c>
      <x:c r="F849" s="59" t="inlineStr">
        <x:is>
          <x:t xml:space="preserve">阀门选型</x:t>
        </x:is>
      </x:c>
      <x:c r="G849" s="58" t="inlineStr">
        <x:is>
          <x:t xml:space="preserve">无</x:t>
        </x:is>
      </x:c>
      <x:c r="H849" s="58" t="str">
        <x:f>IF(LEN(I849)&lt;15,"短",IF(LEN(I849)&lt;=45,"中","长"))</x:f>
        <x:v>中</x:v>
      </x:c>
      <x:c r="I849" s="59" t="inlineStr">
        <x:is>
          <x:t xml:space="preserve">公称压力 1.6 兆帕的阀门，标记写作 PN16。</x:t>
        </x:is>
      </x:c>
      <x:c r="J849" s="59" t="str">
        <x:f>I849</x:f>
        <x:v>公称压力 1.6 兆帕的阀门，标记写作 PN16。</x:v>
      </x:c>
      <x:c r="K849" s="58" t="inlineStr">
        <x:is>
          <x:t xml:space="preserve">无需改写</x:t>
        </x:is>
      </x:c>
      <x:c r="L849" s="59" t="inlineStr">
        <x:is>
          <x:t xml:space="preserve">公称压力</x:t>
        </x:is>
      </x:c>
      <x:c r="M849" s="59" t="inlineStr">
        <x:is>
          <x:t xml:space="preserve">计量术语与标记规范</x:t>
        </x:is>
      </x:c>
      <x:c r="N849" s="59" t="inlineStr">
        <x:is>
          <x:t xml:space="preserve">标称压力 1.6 兆帕的阀门</x:t>
        </x:is>
      </x:c>
      <x:c r="O849" s="58" t="inlineStr">
        <x:is>
          <x:t xml:space="preserve">易</x:t>
        </x:is>
      </x:c>
      <x:c r="P849" s="58" t="inlineStr">
        <x:is>
          <x:t xml:space="preserve">否</x:t>
        </x:is>
      </x:c>
      <x:c r="Q849" s="59" t="n"/>
      <x:c r="R849" s="60" t="inlineStr">
        <x:is>
          <x:t xml:space="preserve">隔离·待确认</x:t>
        </x:is>
      </x:c>
      <x:c r="S849" s="60" t="inlineStr">
        <x:is>
          <x:t xml:space="preserve"/>
        </x:is>
      </x:c>
      <x:c r="T849" s="60" t="inlineStr">
        <x:is>
          <x:t xml:space="preserve">触发词不含性别编码——判断可能依赖世界知识而非句内信息</x:t>
        </x:is>
      </x:c>
    </x:row>
    <x:row r="850" s="37" customFormat="1" ht="29.850000381469727" customHeight="1">
      <x:c r="A850" s="55" t="inlineStr">
        <x:is>
          <x:t xml:space="preserve">NEG-0849</x:t>
        </x:is>
      </x:c>
      <x:c r="B850" s="55" t="inlineStr">
        <x:is>
          <x:t xml:space="preserve">v5</x:t>
        </x:is>
      </x:c>
      <x:c r="C850" s="56" t="inlineStr">
        <x:is>
          <x:t xml:space="preserve">九、假触发词（形似而非）</x:t>
        </x:is>
      </x:c>
      <x:c r="D850" s="56" t="inlineStr">
        <x:is>
          <x:t xml:space="preserve">9.3 生物农业与育种</x:t>
        </x:is>
      </x:c>
      <x:c r="E850" s="56" t="inlineStr">
        <x:is>
          <x:t xml:space="preserve">其他</x:t>
        </x:is>
      </x:c>
      <x:c r="F850" s="56" t="inlineStr">
        <x:is>
          <x:t xml:space="preserve">种子检验</x:t>
        </x:is>
      </x:c>
      <x:c r="G850" s="55" t="inlineStr">
        <x:is>
          <x:t xml:space="preserve">无</x:t>
        </x:is>
      </x:c>
      <x:c r="H850" s="55" t="str">
        <x:f>IF(LEN(I850)&lt;15,"短",IF(LEN(I850)&lt;=45,"中","长"))</x:f>
        <x:v>中</x:v>
      </x:c>
      <x:c r="I850" s="56" t="inlineStr">
        <x:is>
          <x:t xml:space="preserve">这批种子的父母本纯度检测报告在附件里。</x:t>
        </x:is>
      </x:c>
      <x:c r="J850" s="56" t="str">
        <x:f>I850</x:f>
        <x:v>这批种子的父母本纯度检测报告在附件里。</x:v>
      </x:c>
      <x:c r="K850" s="55" t="inlineStr">
        <x:is>
          <x:t xml:space="preserve">无需改写</x:t>
        </x:is>
      </x:c>
      <x:c r="L850" s="56" t="inlineStr">
        <x:is>
          <x:t xml:space="preserve">父母本</x:t>
        </x:is>
      </x:c>
      <x:c r="M850" s="56" t="inlineStr">
        <x:is>
          <x:t xml:space="preserve">育种检验术语</x:t>
        </x:is>
      </x:c>
      <x:c r="N850" s="56" t="inlineStr">
        <x:is>
          <x:t xml:space="preserve">这批种子的亲本纯度检测报告在附件里</x:t>
        </x:is>
      </x:c>
      <x:c r="O850" s="55" t="inlineStr">
        <x:is>
          <x:t xml:space="preserve">中</x:t>
        </x:is>
      </x:c>
      <x:c r="P850" s="55" t="inlineStr">
        <x:is>
          <x:t xml:space="preserve">否</x:t>
        </x:is>
      </x:c>
      <x:c r="Q850" s="56" t="n"/>
      <x:c r="R850" s="57" t="inlineStr">
        <x:is>
          <x:t xml:space="preserve">主集</x:t>
        </x:is>
      </x:c>
      <x:c r="S850" s="57" t="inlineStr">
        <x:is>
          <x:t xml:space="preserve">index</x:t>
        </x:is>
      </x:c>
      <x:c r="T850" s="57" t="inlineStr">
        <x:is>
          <x:t xml:space="preserve"/>
        </x:is>
      </x:c>
    </x:row>
    <x:row r="851" s="37" customFormat="1" ht="29.850000381469727" customHeight="1">
      <x:c r="A851" s="55" t="inlineStr">
        <x:is>
          <x:t xml:space="preserve">NEG-0850</x:t>
        </x:is>
      </x:c>
      <x:c r="B851" s="55" t="inlineStr">
        <x:is>
          <x:t xml:space="preserve">v5</x:t>
        </x:is>
      </x:c>
      <x:c r="C851" s="56" t="inlineStr">
        <x:is>
          <x:t xml:space="preserve">九、假触发词（形似而非）</x:t>
        </x:is>
      </x:c>
      <x:c r="D851" s="56" t="inlineStr">
        <x:is>
          <x:t xml:space="preserve">9.3 生物农业与育种</x:t>
        </x:is>
      </x:c>
      <x:c r="E851" s="56" t="inlineStr">
        <x:is>
          <x:t xml:space="preserve">工程与技术</x:t>
        </x:is>
      </x:c>
      <x:c r="F851" s="56" t="inlineStr">
        <x:is>
          <x:t xml:space="preserve">植物学</x:t>
        </x:is>
      </x:c>
      <x:c r="G851" s="55" t="inlineStr">
        <x:is>
          <x:t xml:space="preserve">无</x:t>
        </x:is>
      </x:c>
      <x:c r="H851" s="55" t="str">
        <x:f>IF(LEN(I851)&lt;15,"短",IF(LEN(I851)&lt;=45,"中","长"))</x:f>
        <x:v>中</x:v>
      </x:c>
      <x:c r="I851" s="56" t="inlineStr">
        <x:is>
          <x:t xml:space="preserve">雄蕊和雌蕊长在同一朵花里的，叫两性花。</x:t>
        </x:is>
      </x:c>
      <x:c r="J851" s="56" t="str">
        <x:f>I851</x:f>
        <x:v>雄蕊和雌蕊长在同一朵花里的，叫两性花。</x:v>
      </x:c>
      <x:c r="K851" s="55" t="inlineStr">
        <x:is>
          <x:t xml:space="preserve">无需改写</x:t>
        </x:is>
      </x:c>
      <x:c r="L851" s="56" t="inlineStr">
        <x:is>
          <x:t xml:space="preserve">雄蕊/雌蕊/两性花</x:t>
        </x:is>
      </x:c>
      <x:c r="M851" s="56" t="inlineStr">
        <x:is>
          <x:t xml:space="preserve">植物解剖学术语</x:t>
        </x:is>
      </x:c>
      <x:c r="N851" s="56" t="inlineStr">
        <x:is>
          <x:t xml:space="preserve">两种花蕊长在同一朵花里的叫两性花</x:t>
        </x:is>
      </x:c>
      <x:c r="O851" s="55" t="inlineStr">
        <x:is>
          <x:t xml:space="preserve">易</x:t>
        </x:is>
      </x:c>
      <x:c r="P851" s="55" t="inlineStr">
        <x:is>
          <x:t xml:space="preserve">否</x:t>
        </x:is>
      </x:c>
      <x:c r="Q851" s="56" t="n"/>
      <x:c r="R851" s="57" t="inlineStr">
        <x:is>
          <x:t xml:space="preserve">主集</x:t>
        </x:is>
      </x:c>
      <x:c r="S851" s="57" t="inlineStr">
        <x:is>
          <x:t xml:space="preserve">index</x:t>
        </x:is>
      </x:c>
      <x:c r="T851" s="57" t="inlineStr">
        <x:is>
          <x:t xml:space="preserve"/>
        </x:is>
      </x:c>
    </x:row>
    <x:row r="852" s="37" customFormat="1" ht="29.850000381469727" customHeight="1">
      <x:c r="A852" s="55" t="inlineStr">
        <x:is>
          <x:t xml:space="preserve">NEG-0851</x:t>
        </x:is>
      </x:c>
      <x:c r="B852" s="55" t="inlineStr">
        <x:is>
          <x:t xml:space="preserve">v5</x:t>
        </x:is>
      </x:c>
      <x:c r="C852" s="56" t="inlineStr">
        <x:is>
          <x:t xml:space="preserve">九、假触发词（形似而非）</x:t>
        </x:is>
      </x:c>
      <x:c r="D852" s="56" t="inlineStr">
        <x:is>
          <x:t xml:space="preserve">9.3 生物农业与育种</x:t>
        </x:is>
      </x:c>
      <x:c r="E852" s="56" t="inlineStr">
        <x:is>
          <x:t xml:space="preserve">其他</x:t>
        </x:is>
      </x:c>
      <x:c r="F852" s="56" t="inlineStr">
        <x:is>
          <x:t xml:space="preserve">宠物医疗</x:t>
        </x:is>
      </x:c>
      <x:c r="G852" s="55" t="inlineStr">
        <x:is>
          <x:t xml:space="preserve">无</x:t>
        </x:is>
      </x:c>
      <x:c r="H852" s="55" t="str">
        <x:f>IF(LEN(I852)&lt;15,"短",IF(LEN(I852)&lt;=45,"中","长"))</x:f>
        <x:v>中</x:v>
      </x:c>
      <x:c r="I852" s="56" t="inlineStr">
        <x:is>
          <x:t xml:space="preserve">公狗和母狗的免疫程序基本一致，绝育时间有差别。</x:t>
        </x:is>
      </x:c>
      <x:c r="J852" s="56" t="str">
        <x:f>I852</x:f>
        <x:v>公狗和母狗的免疫程序基本一致，绝育时间有差别。</x:v>
      </x:c>
      <x:c r="K852" s="55" t="inlineStr">
        <x:is>
          <x:t xml:space="preserve">无需改写</x:t>
        </x:is>
      </x:c>
      <x:c r="L852" s="56" t="inlineStr">
        <x:is>
          <x:t xml:space="preserve">公狗/母狗</x:t>
        </x:is>
      </x:c>
      <x:c r="M852" s="56" t="inlineStr">
        <x:is>
          <x:t xml:space="preserve">动物性别的临床区分</x:t>
        </x:is>
      </x:c>
      <x:c r="N852" s="56" t="inlineStr">
        <x:is>
          <x:t xml:space="preserve">犬类的免疫程序基本一致，绝育时间有差别</x:t>
        </x:is>
      </x:c>
      <x:c r="O852" s="55" t="inlineStr">
        <x:is>
          <x:t xml:space="preserve">中</x:t>
        </x:is>
      </x:c>
      <x:c r="P852" s="55" t="inlineStr">
        <x:is>
          <x:t xml:space="preserve">否</x:t>
        </x:is>
      </x:c>
      <x:c r="Q852" s="56" t="n"/>
      <x:c r="R852" s="57" t="inlineStr">
        <x:is>
          <x:t xml:space="preserve">主集</x:t>
        </x:is>
      </x:c>
      <x:c r="S852" s="57" t="inlineStr">
        <x:is>
          <x:t xml:space="preserve">dev</x:t>
        </x:is>
      </x:c>
      <x:c r="T852" s="57" t="inlineStr">
        <x:is>
          <x:t xml:space="preserve"/>
        </x:is>
      </x:c>
    </x:row>
    <x:row r="853" s="37" customFormat="1" ht="29.850000381469727" customHeight="1">
      <x:c r="A853" s="55" t="inlineStr">
        <x:is>
          <x:t xml:space="preserve">NEG-0852</x:t>
        </x:is>
      </x:c>
      <x:c r="B853" s="55" t="inlineStr">
        <x:is>
          <x:t xml:space="preserve">v5</x:t>
        </x:is>
      </x:c>
      <x:c r="C853" s="56" t="inlineStr">
        <x:is>
          <x:t xml:space="preserve">九、假触发词（形似而非）</x:t>
        </x:is>
      </x:c>
      <x:c r="D853" s="56" t="inlineStr">
        <x:is>
          <x:t xml:space="preserve">9.3 生物农业与育种</x:t>
        </x:is>
      </x:c>
      <x:c r="E853" s="56" t="inlineStr">
        <x:is>
          <x:t xml:space="preserve">其他</x:t>
        </x:is>
      </x:c>
      <x:c r="F853" s="56" t="inlineStr">
        <x:is>
          <x:t xml:space="preserve">苗木繁育</x:t>
        </x:is>
      </x:c>
      <x:c r="G853" s="55" t="inlineStr">
        <x:is>
          <x:t xml:space="preserve">无</x:t>
        </x:is>
      </x:c>
      <x:c r="H853" s="55" t="str">
        <x:f>IF(LEN(I853)&lt;15,"短",IF(LEN(I853)&lt;=45,"中","长"))</x:f>
        <x:v>中</x:v>
      </x:c>
      <x:c r="I853" s="56" t="inlineStr">
        <x:is>
          <x:t xml:space="preserve">从母株扦插繁殖出来的苗，性状比较稳定。</x:t>
        </x:is>
      </x:c>
      <x:c r="J853" s="56" t="str">
        <x:f>I853</x:f>
        <x:v>从母株扦插繁殖出来的苗，性状比较稳定。</x:v>
      </x:c>
      <x:c r="K853" s="55" t="inlineStr">
        <x:is>
          <x:t xml:space="preserve">无需改写</x:t>
        </x:is>
      </x:c>
      <x:c r="L853" s="56" t="inlineStr">
        <x:is>
          <x:t xml:space="preserve">母株</x:t>
        </x:is>
      </x:c>
      <x:c r="M853" s="56" t="inlineStr">
        <x:is>
          <x:t xml:space="preserve">园艺术语</x:t>
        </x:is>
      </x:c>
      <x:c r="N853" s="56" t="inlineStr">
        <x:is>
          <x:t xml:space="preserve">从原株扦插繁殖出来的苗性状比较稳定</x:t>
        </x:is>
      </x:c>
      <x:c r="O853" s="55" t="inlineStr">
        <x:is>
          <x:t xml:space="preserve">易</x:t>
        </x:is>
      </x:c>
      <x:c r="P853" s="55" t="inlineStr">
        <x:is>
          <x:t xml:space="preserve">否</x:t>
        </x:is>
      </x:c>
      <x:c r="Q853" s="56" t="n"/>
      <x:c r="R853" s="57" t="inlineStr">
        <x:is>
          <x:t xml:space="preserve">主集</x:t>
        </x:is>
      </x:c>
      <x:c r="S853" s="57" t="inlineStr">
        <x:is>
          <x:t xml:space="preserve">dev</x:t>
        </x:is>
      </x:c>
      <x:c r="T853" s="57" t="inlineStr">
        <x:is>
          <x:t xml:space="preserve"/>
        </x:is>
      </x:c>
    </x:row>
    <x:row r="854" s="37" customFormat="1" ht="29.850000381469727" customHeight="1">
      <x:c r="A854" s="55" t="inlineStr">
        <x:is>
          <x:t xml:space="preserve">NEG-0853</x:t>
        </x:is>
      </x:c>
      <x:c r="B854" s="55" t="inlineStr">
        <x:is>
          <x:t xml:space="preserve">v5</x:t>
        </x:is>
      </x:c>
      <x:c r="C854" s="56" t="inlineStr">
        <x:is>
          <x:t xml:space="preserve">九、假触发词（形似而非）</x:t>
        </x:is>
      </x:c>
      <x:c r="D854" s="56" t="inlineStr">
        <x:is>
          <x:t xml:space="preserve">9.3 生物农业与育种</x:t>
        </x:is>
      </x:c>
      <x:c r="E854" s="56" t="inlineStr">
        <x:is>
          <x:t xml:space="preserve">医疗健康</x:t>
        </x:is>
      </x:c>
      <x:c r="F854" s="56" t="inlineStr">
        <x:is>
          <x:t xml:space="preserve">中药科普</x:t>
        </x:is>
      </x:c>
      <x:c r="G854" s="55" t="inlineStr">
        <x:is>
          <x:t xml:space="preserve">无</x:t>
        </x:is>
      </x:c>
      <x:c r="H854" s="55" t="str">
        <x:f>IF(LEN(I854)&lt;15,"短",IF(LEN(I854)&lt;=45,"中","长"))</x:f>
        <x:v>中</x:v>
      </x:c>
      <x:c r="I854" s="56" t="inlineStr">
        <x:is>
          <x:t xml:space="preserve">益母草是常用中药，但并非只有女性能用。</x:t>
        </x:is>
      </x:c>
      <x:c r="J854" s="56" t="str">
        <x:f>I854</x:f>
        <x:v>益母草是常用中药，但并非只有女性能用。</x:v>
      </x:c>
      <x:c r="K854" s="55" t="inlineStr">
        <x:is>
          <x:t xml:space="preserve">无需改写</x:t>
        </x:is>
      </x:c>
      <x:c r="L854" s="56" t="inlineStr">
        <x:is>
          <x:t xml:space="preserve">益母草/女性</x:t>
        </x:is>
      </x:c>
      <x:c r="M854" s="56" t="inlineStr">
        <x:is>
          <x:t xml:space="preserve">药名与用药说明，句子在破除误解</x:t>
        </x:is>
      </x:c>
      <x:c r="N854" s="56" t="inlineStr">
        <x:is>
          <x:t xml:space="preserve">这味常用中药并非只有特定人群能用</x:t>
        </x:is>
      </x:c>
      <x:c r="O854" s="55" t="inlineStr">
        <x:is>
          <x:t xml:space="preserve">难</x:t>
        </x:is>
      </x:c>
      <x:c r="P854" s="55" t="inlineStr">
        <x:is>
          <x:t xml:space="preserve">否</x:t>
        </x:is>
      </x:c>
      <x:c r="Q854" s="56" t="n"/>
      <x:c r="R854" s="57" t="inlineStr">
        <x:is>
          <x:t xml:space="preserve">主集</x:t>
        </x:is>
      </x:c>
      <x:c r="S854" s="57" t="inlineStr">
        <x:is>
          <x:t xml:space="preserve">test</x:t>
        </x:is>
      </x:c>
      <x:c r="T854" s="57" t="inlineStr">
        <x:is>
          <x:t xml:space="preserve"/>
        </x:is>
      </x:c>
    </x:row>
    <x:row r="855" s="37" customFormat="1" ht="29.850000381469727" customHeight="1">
      <x:c r="A855" s="55" t="inlineStr">
        <x:is>
          <x:t xml:space="preserve">NEG-0854</x:t>
        </x:is>
      </x:c>
      <x:c r="B855" s="55" t="inlineStr">
        <x:is>
          <x:t xml:space="preserve">v5</x:t>
        </x:is>
      </x:c>
      <x:c r="C855" s="56" t="inlineStr">
        <x:is>
          <x:t xml:space="preserve">九、假触发词（形似而非）</x:t>
        </x:is>
      </x:c>
      <x:c r="D855" s="56" t="inlineStr">
        <x:is>
          <x:t xml:space="preserve">9.4 计算机与数学</x:t>
        </x:is>
      </x:c>
      <x:c r="E855" s="56" t="inlineStr">
        <x:is>
          <x:t xml:space="preserve">工程与技术</x:t>
        </x:is>
      </x:c>
      <x:c r="F855" s="56" t="inlineStr">
        <x:is>
          <x:t xml:space="preserve">前端开发</x:t>
        </x:is>
      </x:c>
      <x:c r="G855" s="55" t="inlineStr">
        <x:is>
          <x:t xml:space="preserve">无</x:t>
        </x:is>
      </x:c>
      <x:c r="H855" s="55" t="str">
        <x:f>IF(LEN(I855)&lt;15,"短",IF(LEN(I855)&lt;=45,"中","长"))</x:f>
        <x:v>中</x:v>
      </x:c>
      <x:c r="I855" s="56" t="inlineStr">
        <x:is>
          <x:t xml:space="preserve">这个叫父容器，里面嵌的都是子容器。</x:t>
        </x:is>
      </x:c>
      <x:c r="J855" s="56" t="str">
        <x:f>I855</x:f>
        <x:v>这个叫父容器，里面嵌的都是子容器。</x:v>
      </x:c>
      <x:c r="K855" s="55" t="inlineStr">
        <x:is>
          <x:t xml:space="preserve">无需改写</x:t>
        </x:is>
      </x:c>
      <x:c r="L855" s="56" t="inlineStr">
        <x:is>
          <x:t xml:space="preserve">父容器/子容器</x:t>
        </x:is>
      </x:c>
      <x:c r="M855" s="56" t="inlineStr">
        <x:is>
          <x:t xml:space="preserve">布局术语</x:t>
        </x:is>
      </x:c>
      <x:c r="N855" s="56" t="inlineStr">
        <x:is>
          <x:t xml:space="preserve">这个叫外层容器，里面嵌的都是内层容器</x:t>
        </x:is>
      </x:c>
      <x:c r="O855" s="55" t="inlineStr">
        <x:is>
          <x:t xml:space="preserve">易</x:t>
        </x:is>
      </x:c>
      <x:c r="P855" s="55" t="inlineStr">
        <x:is>
          <x:t xml:space="preserve">否</x:t>
        </x:is>
      </x:c>
      <x:c r="Q855" s="56" t="n"/>
      <x:c r="R855" s="57" t="inlineStr">
        <x:is>
          <x:t xml:space="preserve">主集</x:t>
        </x:is>
      </x:c>
      <x:c r="S855" s="57" t="inlineStr">
        <x:is>
          <x:t xml:space="preserve">test</x:t>
        </x:is>
      </x:c>
      <x:c r="T855" s="57" t="inlineStr">
        <x:is>
          <x:t xml:space="preserve"/>
        </x:is>
      </x:c>
    </x:row>
    <x:row r="856" s="37" customFormat="1" ht="29.850000381469727" customHeight="1">
      <x:c r="A856" s="55" t="inlineStr">
        <x:is>
          <x:t xml:space="preserve">NEG-0855</x:t>
        </x:is>
      </x:c>
      <x:c r="B856" s="55" t="inlineStr">
        <x:is>
          <x:t xml:space="preserve">v5</x:t>
        </x:is>
      </x:c>
      <x:c r="C856" s="56" t="inlineStr">
        <x:is>
          <x:t xml:space="preserve">九、假触发词（形似而非）</x:t>
        </x:is>
      </x:c>
      <x:c r="D856" s="56" t="inlineStr">
        <x:is>
          <x:t xml:space="preserve">9.4 计算机与数学</x:t>
        </x:is>
      </x:c>
      <x:c r="E856" s="56" t="inlineStr">
        <x:is>
          <x:t xml:space="preserve">其他</x:t>
        </x:is>
      </x:c>
      <x:c r="F856" s="56" t="inlineStr">
        <x:is>
          <x:t xml:space="preserve">数据仓库</x:t>
        </x:is>
      </x:c>
      <x:c r="G856" s="55" t="inlineStr">
        <x:is>
          <x:t xml:space="preserve">无</x:t>
        </x:is>
      </x:c>
      <x:c r="H856" s="55" t="str">
        <x:f>IF(LEN(I856)&lt;15,"短",IF(LEN(I856)&lt;=45,"中","长"))</x:f>
        <x:v>中</x:v>
      </x:c>
      <x:c r="I856" s="56" t="inlineStr">
        <x:is>
          <x:t xml:space="preserve">维度表和事实表之间是父子关系，靠主键关联。</x:t>
        </x:is>
      </x:c>
      <x:c r="J856" s="56" t="str">
        <x:f>I856</x:f>
        <x:v>维度表和事实表之间是父子关系，靠主键关联。</x:v>
      </x:c>
      <x:c r="K856" s="55" t="inlineStr">
        <x:is>
          <x:t xml:space="preserve">无需改写</x:t>
        </x:is>
      </x:c>
      <x:c r="L856" s="56" t="inlineStr">
        <x:is>
          <x:t xml:space="preserve">父子关系</x:t>
        </x:is>
      </x:c>
      <x:c r="M856" s="56" t="inlineStr">
        <x:is>
          <x:t xml:space="preserve">数据建模术语</x:t>
        </x:is>
      </x:c>
      <x:c r="N856" s="56" t="inlineStr">
        <x:is>
          <x:t xml:space="preserve">两类表之间是层级关系，靠主键关联</x:t>
        </x:is>
      </x:c>
      <x:c r="O856" s="55" t="inlineStr">
        <x:is>
          <x:t xml:space="preserve">中</x:t>
        </x:is>
      </x:c>
      <x:c r="P856" s="55" t="inlineStr">
        <x:is>
          <x:t xml:space="preserve">否</x:t>
        </x:is>
      </x:c>
      <x:c r="Q856" s="56" t="n"/>
      <x:c r="R856" s="57" t="inlineStr">
        <x:is>
          <x:t xml:space="preserve">主集</x:t>
        </x:is>
      </x:c>
      <x:c r="S856" s="57" t="inlineStr">
        <x:is>
          <x:t xml:space="preserve">test</x:t>
        </x:is>
      </x:c>
      <x:c r="T856" s="57" t="inlineStr">
        <x:is>
          <x:t xml:space="preserve"/>
        </x:is>
      </x:c>
    </x:row>
    <x:row r="857" s="37" customFormat="1" ht="29.850000381469727" customHeight="1">
      <x:c r="A857" s="55" t="inlineStr">
        <x:is>
          <x:t xml:space="preserve">NEG-0856</x:t>
        </x:is>
      </x:c>
      <x:c r="B857" s="55" t="inlineStr">
        <x:is>
          <x:t xml:space="preserve">v5</x:t>
        </x:is>
      </x:c>
      <x:c r="C857" s="56" t="inlineStr">
        <x:is>
          <x:t xml:space="preserve">九、假触发词（形似而非）</x:t>
        </x:is>
      </x:c>
      <x:c r="D857" s="56" t="inlineStr">
        <x:is>
          <x:t xml:space="preserve">9.4 计算机与数学</x:t>
        </x:is>
      </x:c>
      <x:c r="E857" s="56" t="inlineStr">
        <x:is>
          <x:t xml:space="preserve">其他</x:t>
        </x:is>
      </x:c>
      <x:c r="F857" s="56" t="inlineStr">
        <x:is>
          <x:t xml:space="preserve">办公技巧</x:t>
        </x:is>
      </x:c>
      <x:c r="G857" s="55" t="inlineStr">
        <x:is>
          <x:t xml:space="preserve">无</x:t>
        </x:is>
      </x:c>
      <x:c r="H857" s="55" t="str">
        <x:f>IF(LEN(I857)&lt;15,"短",IF(LEN(I857)&lt;=45,"中","长"))</x:f>
        <x:v>中</x:v>
      </x:c>
      <x:c r="I857" s="56" t="inlineStr">
        <x:is>
          <x:t xml:space="preserve">母版幻灯片改一次，全篇的版式都会跟着变。</x:t>
        </x:is>
      </x:c>
      <x:c r="J857" s="56" t="str">
        <x:f>I857</x:f>
        <x:v>母版幻灯片改一次，全篇的版式都会跟着变。</x:v>
      </x:c>
      <x:c r="K857" s="55" t="inlineStr">
        <x:is>
          <x:t xml:space="preserve">无需改写</x:t>
        </x:is>
      </x:c>
      <x:c r="L857" s="56" t="inlineStr">
        <x:is>
          <x:t xml:space="preserve">母版</x:t>
        </x:is>
      </x:c>
      <x:c r="M857" s="56" t="inlineStr">
        <x:is>
          <x:t xml:space="preserve">演示软件功能名称</x:t>
        </x:is>
      </x:c>
      <x:c r="N857" s="56" t="inlineStr">
        <x:is>
          <x:t xml:space="preserve">模板幻灯片改一次，全篇版式都会变</x:t>
        </x:is>
      </x:c>
      <x:c r="O857" s="55" t="inlineStr">
        <x:is>
          <x:t xml:space="preserve">易</x:t>
        </x:is>
      </x:c>
      <x:c r="P857" s="55" t="inlineStr">
        <x:is>
          <x:t xml:space="preserve">否</x:t>
        </x:is>
      </x:c>
      <x:c r="Q857" s="56" t="n"/>
      <x:c r="R857" s="57" t="inlineStr">
        <x:is>
          <x:t xml:space="preserve">主集</x:t>
        </x:is>
      </x:c>
      <x:c r="S857" s="57" t="inlineStr">
        <x:is>
          <x:t xml:space="preserve">test</x:t>
        </x:is>
      </x:c>
      <x:c r="T857" s="57" t="inlineStr">
        <x:is>
          <x:t xml:space="preserve"/>
        </x:is>
      </x:c>
    </x:row>
    <x:row r="858" s="37" customFormat="1" ht="29.850000381469727" customHeight="1">
      <x:c r="A858" s="55" t="inlineStr">
        <x:is>
          <x:t xml:space="preserve">NEG-0857</x:t>
        </x:is>
      </x:c>
      <x:c r="B858" s="55" t="inlineStr">
        <x:is>
          <x:t xml:space="preserve">v5</x:t>
        </x:is>
      </x:c>
      <x:c r="C858" s="56" t="inlineStr">
        <x:is>
          <x:t xml:space="preserve">九、假触发词（形似而非）</x:t>
        </x:is>
      </x:c>
      <x:c r="D858" s="56" t="inlineStr">
        <x:is>
          <x:t xml:space="preserve">9.5 组织与商业术语</x:t>
        </x:is>
      </x:c>
      <x:c r="E858" s="56" t="inlineStr">
        <x:is>
          <x:t xml:space="preserve">工程与技术</x:t>
        </x:is>
      </x:c>
      <x:c r="F858" s="56" t="inlineStr">
        <x:is>
          <x:t xml:space="preserve">酿造工艺</x:t>
        </x:is>
      </x:c>
      <x:c r="G858" s="55" t="inlineStr">
        <x:is>
          <x:t xml:space="preserve">无</x:t>
        </x:is>
      </x:c>
      <x:c r="H858" s="55" t="str">
        <x:f>IF(LEN(I858)&lt;15,"短",IF(LEN(I858)&lt;=45,"中","长"))</x:f>
        <x:v>中</x:v>
      </x:c>
      <x:c r="I858" s="56" t="inlineStr">
        <x:is>
          <x:t xml:space="preserve">这批酒的母液回收之后还能再用两轮。</x:t>
        </x:is>
      </x:c>
      <x:c r="J858" s="56" t="str">
        <x:f>I858</x:f>
        <x:v>这批酒的母液回收之后还能再用两轮。</x:v>
      </x:c>
      <x:c r="K858" s="55" t="inlineStr">
        <x:is>
          <x:t xml:space="preserve">无需改写</x:t>
        </x:is>
      </x:c>
      <x:c r="L858" s="56" t="inlineStr">
        <x:is>
          <x:t xml:space="preserve">母液</x:t>
        </x:is>
      </x:c>
      <x:c r="M858" s="56" t="inlineStr">
        <x:is>
          <x:t xml:space="preserve">化工与酿造术语</x:t>
        </x:is>
      </x:c>
      <x:c r="N858" s="56" t="inlineStr">
        <x:is>
          <x:t xml:space="preserve">这批酒的原液回收之后还能再用两轮</x:t>
        </x:is>
      </x:c>
      <x:c r="O858" s="55" t="inlineStr">
        <x:is>
          <x:t xml:space="preserve">易</x:t>
        </x:is>
      </x:c>
      <x:c r="P858" s="55" t="inlineStr">
        <x:is>
          <x:t xml:space="preserve">否</x:t>
        </x:is>
      </x:c>
      <x:c r="Q858" s="56" t="n"/>
      <x:c r="R858" s="57" t="inlineStr">
        <x:is>
          <x:t xml:space="preserve">主集</x:t>
        </x:is>
      </x:c>
      <x:c r="S858" s="57" t="inlineStr">
        <x:is>
          <x:t xml:space="preserve">dev</x:t>
        </x:is>
      </x:c>
      <x:c r="T858" s="57" t="inlineStr">
        <x:is>
          <x:t xml:space="preserve"/>
        </x:is>
      </x:c>
    </x:row>
    <x:row r="859" s="37" customFormat="1" ht="29.850000381469727" customHeight="1">
      <x:c r="A859" s="55" t="inlineStr">
        <x:is>
          <x:t xml:space="preserve">NEG-0858</x:t>
        </x:is>
      </x:c>
      <x:c r="B859" s="55" t="inlineStr">
        <x:is>
          <x:t xml:space="preserve">v5</x:t>
        </x:is>
      </x:c>
      <x:c r="C859" s="56" t="inlineStr">
        <x:is>
          <x:t xml:space="preserve">九、假触发词（形似而非）</x:t>
        </x:is>
      </x:c>
      <x:c r="D859" s="56" t="inlineStr">
        <x:is>
          <x:t xml:space="preserve">9.5 组织与商业术语</x:t>
        </x:is>
      </x:c>
      <x:c r="E859" s="56" t="inlineStr">
        <x:is>
          <x:t xml:space="preserve">医疗健康</x:t>
        </x:is>
      </x:c>
      <x:c r="F859" s="56" t="inlineStr">
        <x:is>
          <x:t xml:space="preserve">军事科普</x:t>
        </x:is>
      </x:c>
      <x:c r="G859" s="55" t="inlineStr">
        <x:is>
          <x:t xml:space="preserve">无</x:t>
        </x:is>
      </x:c>
      <x:c r="H859" s="55" t="str">
        <x:f>IF(LEN(I859)&lt;15,"短",IF(LEN(I859)&lt;=45,"中","长"))</x:f>
        <x:v>中</x:v>
      </x:c>
      <x:c r="I859" s="56" t="inlineStr">
        <x:is>
          <x:t xml:space="preserve">航空母舰的甲板长度直接决定了舰载机的起降方式。</x:t>
        </x:is>
      </x:c>
      <x:c r="J859" s="56" t="str">
        <x:f>I859</x:f>
        <x:v>航空母舰的甲板长度直接决定了舰载机的起降方式。</x:v>
      </x:c>
      <x:c r="K859" s="55" t="inlineStr">
        <x:is>
          <x:t xml:space="preserve">无需改写</x:t>
        </x:is>
      </x:c>
      <x:c r="L859" s="56" t="inlineStr">
        <x:is>
          <x:t xml:space="preserve">航空母舰</x:t>
        </x:is>
      </x:c>
      <x:c r="M859" s="56" t="inlineStr">
        <x:is>
          <x:t xml:space="preserve">装备正式名称</x:t>
        </x:is>
      </x:c>
      <x:c r="N859" s="56" t="inlineStr">
        <x:is>
          <x:t xml:space="preserve">大型舰艇的甲板长度决定舰载机起降方式</x:t>
        </x:is>
      </x:c>
      <x:c r="O859" s="55" t="inlineStr">
        <x:is>
          <x:t xml:space="preserve">易</x:t>
        </x:is>
      </x:c>
      <x:c r="P859" s="55" t="inlineStr">
        <x:is>
          <x:t xml:space="preserve">否</x:t>
        </x:is>
      </x:c>
      <x:c r="Q859" s="56" t="n"/>
      <x:c r="R859" s="57" t="inlineStr">
        <x:is>
          <x:t xml:space="preserve">主集</x:t>
        </x:is>
      </x:c>
      <x:c r="S859" s="57" t="inlineStr">
        <x:is>
          <x:t xml:space="preserve">index</x:t>
        </x:is>
      </x:c>
      <x:c r="T859" s="57" t="inlineStr">
        <x:is>
          <x:t xml:space="preserve"/>
        </x:is>
      </x:c>
    </x:row>
    <x:row r="860" s="37" customFormat="1" ht="29.850000381469727" customHeight="1">
      <x:c r="A860" s="55" t="inlineStr">
        <x:is>
          <x:t xml:space="preserve">NEG-0859</x:t>
        </x:is>
      </x:c>
      <x:c r="B860" s="55" t="inlineStr">
        <x:is>
          <x:t xml:space="preserve">v5</x:t>
        </x:is>
      </x:c>
      <x:c r="C860" s="56" t="inlineStr">
        <x:is>
          <x:t xml:space="preserve">九、假触发词（形似而非）</x:t>
        </x:is>
      </x:c>
      <x:c r="D860" s="56" t="inlineStr">
        <x:is>
          <x:t xml:space="preserve">9.5 组织与商业术语</x:t>
        </x:is>
      </x:c>
      <x:c r="E860" s="56" t="inlineStr">
        <x:is>
          <x:t xml:space="preserve">学术与调研</x:t>
        </x:is>
      </x:c>
      <x:c r="F860" s="56" t="inlineStr">
        <x:is>
          <x:t xml:space="preserve">语言学习</x:t>
        </x:is>
      </x:c>
      <x:c r="G860" s="55" t="inlineStr">
        <x:is>
          <x:t xml:space="preserve">无</x:t>
        </x:is>
      </x:c>
      <x:c r="H860" s="55" t="str">
        <x:f>IF(LEN(I860)&lt;15,"短",IF(LEN(I860)&lt;=45,"中","长"))</x:f>
        <x:v>中</x:v>
      </x:c>
      <x:c r="I860" s="56" t="inlineStr">
        <x:is>
          <x:t xml:space="preserve">母语者的语感很难只靠语法书获得。</x:t>
        </x:is>
      </x:c>
      <x:c r="J860" s="56" t="str">
        <x:f>I860</x:f>
        <x:v>母语者的语感很难只靠语法书获得。</x:v>
      </x:c>
      <x:c r="K860" s="55" t="inlineStr">
        <x:is>
          <x:t xml:space="preserve">无需改写</x:t>
        </x:is>
      </x:c>
      <x:c r="L860" s="56" t="inlineStr">
        <x:is>
          <x:t xml:space="preserve">母语者</x:t>
        </x:is>
      </x:c>
      <x:c r="M860" s="56" t="inlineStr">
        <x:is>
          <x:t xml:space="preserve">语言学术语</x:t>
        </x:is>
      </x:c>
      <x:c r="N860" s="56" t="inlineStr">
        <x:is>
          <x:t xml:space="preserve">第一语言使用者的语感很难只靠语法书获得</x:t>
        </x:is>
      </x:c>
      <x:c r="O860" s="55" t="inlineStr">
        <x:is>
          <x:t xml:space="preserve">中</x:t>
        </x:is>
      </x:c>
      <x:c r="P860" s="55" t="inlineStr">
        <x:is>
          <x:t xml:space="preserve">否</x:t>
        </x:is>
      </x:c>
      <x:c r="Q860" s="56" t="n"/>
      <x:c r="R860" s="57" t="inlineStr">
        <x:is>
          <x:t xml:space="preserve">主集</x:t>
        </x:is>
      </x:c>
      <x:c r="S860" s="57" t="inlineStr">
        <x:is>
          <x:t xml:space="preserve">dev</x:t>
        </x:is>
      </x:c>
      <x:c r="T860" s="57" t="inlineStr">
        <x:is>
          <x:t xml:space="preserve"/>
        </x:is>
      </x:c>
    </x:row>
    <x:row r="861" s="37" customFormat="1" ht="29.850000381469727" customHeight="1">
      <x:c r="A861" s="55" t="inlineStr">
        <x:is>
          <x:t xml:space="preserve">NEG-0860</x:t>
        </x:is>
      </x:c>
      <x:c r="B861" s="55" t="inlineStr">
        <x:is>
          <x:t xml:space="preserve">v5</x:t>
        </x:is>
      </x:c>
      <x:c r="C861" s="56" t="inlineStr">
        <x:is>
          <x:t xml:space="preserve">九、假触发词（形似而非）</x:t>
        </x:is>
      </x:c>
      <x:c r="D861" s="56" t="inlineStr">
        <x:is>
          <x:t xml:space="preserve">9.6 固定词与成语</x:t>
        </x:is>
      </x:c>
      <x:c r="E861" s="56" t="inlineStr">
        <x:is>
          <x:t xml:space="preserve">口语与私人交流</x:t>
        </x:is>
      </x:c>
      <x:c r="F861" s="56" t="inlineStr">
        <x:is>
          <x:t xml:space="preserve">带教口语</x:t>
        </x:is>
      </x:c>
      <x:c r="G861" s="55" t="inlineStr">
        <x:is>
          <x:t xml:space="preserve">无</x:t>
        </x:is>
      </x:c>
      <x:c r="H861" s="55" t="str">
        <x:f>IF(LEN(I861)&lt;15,"短",IF(LEN(I861)&lt;=45,"中","长"))</x:f>
        <x:v>中</x:v>
      </x:c>
      <x:c r="I861" s="56" t="inlineStr">
        <x:is>
          <x:t xml:space="preserve">“老母鸡带小鸡”常用来形容师傅带徒弟。</x:t>
        </x:is>
      </x:c>
      <x:c r="J861" s="56" t="str">
        <x:f>I861</x:f>
        <x:v>“老母鸡带小鸡”常用来形容师傅带徒弟。</x:v>
      </x:c>
      <x:c r="K861" s="55" t="inlineStr">
        <x:is>
          <x:t xml:space="preserve">无需改写</x:t>
        </x:is>
      </x:c>
      <x:c r="L861" s="56" t="inlineStr">
        <x:is>
          <x:t xml:space="preserve">老母鸡带小鸡</x:t>
        </x:is>
      </x:c>
      <x:c r="M861" s="56" t="inlineStr">
        <x:is>
          <x:t xml:space="preserve">俗语原文</x:t>
        </x:is>
      </x:c>
      <x:c r="N861" s="56" t="inlineStr">
        <x:is>
          <x:t xml:space="preserve">这句俗语常用来形容师傅带徒弟</x:t>
        </x:is>
      </x:c>
      <x:c r="O861" s="55" t="inlineStr">
        <x:is>
          <x:t xml:space="preserve">中</x:t>
        </x:is>
      </x:c>
      <x:c r="P861" s="55" t="inlineStr">
        <x:is>
          <x:t xml:space="preserve">否</x:t>
        </x:is>
      </x:c>
      <x:c r="Q861" s="56" t="n"/>
      <x:c r="R861" s="57" t="inlineStr">
        <x:is>
          <x:t xml:space="preserve">主集</x:t>
        </x:is>
      </x:c>
      <x:c r="S861" s="57" t="inlineStr">
        <x:is>
          <x:t xml:space="preserve">index</x:t>
        </x:is>
      </x:c>
      <x:c r="T861" s="57" t="inlineStr">
        <x:is>
          <x:t xml:space="preserve"/>
        </x:is>
      </x:c>
    </x:row>
    <x:row r="862" s="37" customFormat="1" ht="29.850000381469727" customHeight="1">
      <x:c r="A862" s="58" t="inlineStr">
        <x:is>
          <x:t xml:space="preserve">NEG-0861</x:t>
        </x:is>
      </x:c>
      <x:c r="B862" s="58" t="inlineStr">
        <x:is>
          <x:t xml:space="preserve">v5</x:t>
        </x:is>
      </x:c>
      <x:c r="C862" s="59" t="inlineStr">
        <x:is>
          <x:t xml:space="preserve">九、假触发词（形似而非）</x:t>
        </x:is>
      </x:c>
      <x:c r="D862" s="59" t="inlineStr">
        <x:is>
          <x:t xml:space="preserve">9.6 固定词与成语</x:t>
        </x:is>
      </x:c>
      <x:c r="E862" s="59" t="inlineStr">
        <x:is>
          <x:t xml:space="preserve">其他</x:t>
        </x:is>
      </x:c>
      <x:c r="F862" s="59" t="inlineStr">
        <x:is>
          <x:t xml:space="preserve">急救培训</x:t>
        </x:is>
      </x:c>
      <x:c r="G862" s="58" t="inlineStr">
        <x:is>
          <x:t xml:space="preserve">无</x:t>
        </x:is>
      </x:c>
      <x:c r="H862" s="58" t="str">
        <x:f>IF(LEN(I862)&lt;15,"短",IF(LEN(I862)&lt;=45,"中","长"))</x:f>
        <x:v>中</x:v>
      </x:c>
      <x:c r="I862" s="59" t="inlineStr">
        <x:is>
          <x:t xml:space="preserve">“公主抱”是一种搬运姿势的俗称，急救培训里也用这个说法。</x:t>
        </x:is>
      </x:c>
      <x:c r="J862" s="59" t="str">
        <x:f>I862</x:f>
        <x:v>“公主抱”是一种搬运姿势的俗称，急救培训里也用这个说法。</x:v>
      </x:c>
      <x:c r="K862" s="58" t="inlineStr">
        <x:is>
          <x:t xml:space="preserve">无需改写</x:t>
        </x:is>
      </x:c>
      <x:c r="L862" s="59" t="inlineStr">
        <x:is>
          <x:t xml:space="preserve">公主抱</x:t>
        </x:is>
      </x:c>
      <x:c r="M862" s="59" t="inlineStr">
        <x:is>
          <x:t xml:space="preserve">动作的通用俗称</x:t>
        </x:is>
      </x:c>
      <x:c r="N862" s="59" t="inlineStr">
        <x:is>
          <x:t xml:space="preserve">这种搬运姿势在急救培训里也有专门说法</x:t>
        </x:is>
      </x:c>
      <x:c r="O862" s="58" t="inlineStr">
        <x:is>
          <x:t xml:space="preserve">中</x:t>
        </x:is>
      </x:c>
      <x:c r="P862" s="58" t="inlineStr">
        <x:is>
          <x:t xml:space="preserve">否</x:t>
        </x:is>
      </x:c>
      <x:c r="Q862" s="59" t="n"/>
      <x:c r="R862" s="60" t="inlineStr">
        <x:is>
          <x:t xml:space="preserve">隔离·待确认</x:t>
        </x:is>
      </x:c>
      <x:c r="S862" s="60" t="inlineStr">
        <x:is>
          <x:t xml:space="preserve"/>
        </x:is>
      </x:c>
      <x:c r="T862" s="60" t="inlineStr">
        <x:is>
          <x:t xml:space="preserve">触发词不含性别编码——判断可能依赖世界知识而非句内信息</x:t>
        </x:is>
      </x:c>
    </x:row>
    <x:row r="863" s="37" customFormat="1" ht="29.850000381469727" customHeight="1">
      <x:c r="A863" s="55" t="inlineStr">
        <x:is>
          <x:t xml:space="preserve">NEG-0862</x:t>
        </x:is>
      </x:c>
      <x:c r="B863" s="55" t="inlineStr">
        <x:is>
          <x:t xml:space="preserve">v5</x:t>
        </x:is>
      </x:c>
      <x:c r="C863" s="56" t="inlineStr">
        <x:is>
          <x:t xml:space="preserve">九、假触发词（形似而非）</x:t>
        </x:is>
      </x:c>
      <x:c r="D863" s="56" t="inlineStr">
        <x:is>
          <x:t xml:space="preserve">9.7 专名、地名与商标</x:t>
        </x:is>
      </x:c>
      <x:c r="E863" s="56" t="inlineStr">
        <x:is>
          <x:t xml:space="preserve">其他</x:t>
        </x:is>
      </x:c>
      <x:c r="F863" s="56" t="inlineStr">
        <x:is>
          <x:t xml:space="preserve">园林绿化</x:t>
        </x:is>
      </x:c>
      <x:c r="G863" s="55" t="inlineStr">
        <x:is>
          <x:t xml:space="preserve">无</x:t>
        </x:is>
      </x:c>
      <x:c r="H863" s="55" t="str">
        <x:f>IF(LEN(I863)&lt;15,"短",IF(LEN(I863)&lt;=45,"中","长"))</x:f>
        <x:v>中</x:v>
      </x:c>
      <x:c r="I863" s="56" t="inlineStr">
        <x:is>
          <x:t xml:space="preserve">女贞是常见的绿化树种，冬天也不落叶。</x:t>
        </x:is>
      </x:c>
      <x:c r="J863" s="56" t="str">
        <x:f>I863</x:f>
        <x:v>女贞是常见的绿化树种，冬天也不落叶。</x:v>
      </x:c>
      <x:c r="K863" s="55" t="inlineStr">
        <x:is>
          <x:t xml:space="preserve">无需改写</x:t>
        </x:is>
      </x:c>
      <x:c r="L863" s="56" t="inlineStr">
        <x:is>
          <x:t xml:space="preserve">女贞</x:t>
        </x:is>
      </x:c>
      <x:c r="M863" s="56" t="inlineStr">
        <x:is>
          <x:t xml:space="preserve">植物学名</x:t>
        </x:is>
      </x:c>
      <x:c r="N863" s="56" t="inlineStr">
        <x:is>
          <x:t xml:space="preserve">这种常见绿化树种冬天也不落叶</x:t>
        </x:is>
      </x:c>
      <x:c r="O863" s="55" t="inlineStr">
        <x:is>
          <x:t xml:space="preserve">易</x:t>
        </x:is>
      </x:c>
      <x:c r="P863" s="55" t="inlineStr">
        <x:is>
          <x:t xml:space="preserve">否</x:t>
        </x:is>
      </x:c>
      <x:c r="Q863" s="56" t="n"/>
      <x:c r="R863" s="57" t="inlineStr">
        <x:is>
          <x:t xml:space="preserve">主集</x:t>
        </x:is>
      </x:c>
      <x:c r="S863" s="57" t="inlineStr">
        <x:is>
          <x:t xml:space="preserve">dev</x:t>
        </x:is>
      </x:c>
      <x:c r="T863" s="57" t="inlineStr">
        <x:is>
          <x:t xml:space="preserve"/>
        </x:is>
      </x:c>
    </x:row>
    <x:row r="864" s="37" customFormat="1" ht="29.850000381469727" customHeight="1">
      <x:c r="A864" s="58" t="inlineStr">
        <x:is>
          <x:t xml:space="preserve">NEG-0863</x:t>
        </x:is>
      </x:c>
      <x:c r="B864" s="58" t="inlineStr">
        <x:is>
          <x:t xml:space="preserve">v5</x:t>
        </x:is>
      </x:c>
      <x:c r="C864" s="59" t="inlineStr">
        <x:is>
          <x:t xml:space="preserve">九、假触发词（形似而非）</x:t>
        </x:is>
      </x:c>
      <x:c r="D864" s="59" t="inlineStr">
        <x:is>
          <x:t xml:space="preserve">9.8 度量衡与其他引申</x:t>
        </x:is>
      </x:c>
      <x:c r="E864" s="59" t="inlineStr">
        <x:is>
          <x:t xml:space="preserve">其他</x:t>
        </x:is>
      </x:c>
      <x:c r="F864" s="59" t="inlineStr">
        <x:is>
          <x:t xml:space="preserve">交通设施</x:t>
        </x:is>
      </x:c>
      <x:c r="G864" s="58" t="inlineStr">
        <x:is>
          <x:t xml:space="preserve">无</x:t>
        </x:is>
      </x:c>
      <x:c r="H864" s="58" t="str">
        <x:f>IF(LEN(I864)&lt;15,"短",IF(LEN(I864)&lt;=45,"中","长"))</x:f>
        <x:v>中</x:v>
      </x:c>
      <x:c r="I864" s="59" t="inlineStr">
        <x:is>
          <x:t xml:space="preserve">公路里程碑上的数字是从省界开始计算的。</x:t>
        </x:is>
      </x:c>
      <x:c r="J864" s="59" t="str">
        <x:f>I864</x:f>
        <x:v>公路里程碑上的数字是从省界开始计算的。</x:v>
      </x:c>
      <x:c r="K864" s="58" t="inlineStr">
        <x:is>
          <x:t xml:space="preserve">无需改写</x:t>
        </x:is>
      </x:c>
      <x:c r="L864" s="59" t="inlineStr">
        <x:is>
          <x:t xml:space="preserve">公路里程</x:t>
        </x:is>
      </x:c>
      <x:c r="M864" s="59" t="inlineStr">
        <x:is>
          <x:t xml:space="preserve">交通设施术语</x:t>
        </x:is>
      </x:c>
      <x:c r="N864" s="59" t="inlineStr">
        <x:is>
          <x:t xml:space="preserve">道路里程碑上的数字从省界开始计算</x:t>
        </x:is>
      </x:c>
      <x:c r="O864" s="58" t="inlineStr">
        <x:is>
          <x:t xml:space="preserve">易</x:t>
        </x:is>
      </x:c>
      <x:c r="P864" s="58" t="inlineStr">
        <x:is>
          <x:t xml:space="preserve">否</x:t>
        </x:is>
      </x:c>
      <x:c r="Q864" s="59" t="n"/>
      <x:c r="R864" s="60" t="inlineStr">
        <x:is>
          <x:t xml:space="preserve">隔离·待确认</x:t>
        </x:is>
      </x:c>
      <x:c r="S864" s="60" t="inlineStr">
        <x:is>
          <x:t xml:space="preserve"/>
        </x:is>
      </x:c>
      <x:c r="T864" s="60" t="inlineStr">
        <x:is>
          <x:t xml:space="preserve">触发词不含性别编码——判断可能依赖世界知识而非句内信息</x:t>
        </x:is>
      </x:c>
    </x:row>
    <x:row r="865" s="37" customFormat="1" ht="29.850000381469727" customHeight="1">
      <x:c r="A865" s="58" t="inlineStr">
        <x:is>
          <x:t xml:space="preserve">NEG-0864</x:t>
        </x:is>
      </x:c>
      <x:c r="B865" s="58" t="inlineStr">
        <x:is>
          <x:t xml:space="preserve">v6</x:t>
        </x:is>
      </x:c>
      <x:c r="C865" s="59" t="inlineStr">
        <x:is>
          <x:t xml:space="preserve">一、指称已知性别的具体个人</x:t>
        </x:is>
      </x:c>
      <x:c r="D865" s="59" t="inlineStr">
        <x:is>
          <x:t xml:space="preserve">1.1 姓名与社会称谓</x:t>
        </x:is>
      </x:c>
      <x:c r="E865" s="59" t="inlineStr">
        <x:is>
          <x:t xml:space="preserve">文艺创作与评论</x:t>
        </x:is>
      </x:c>
      <x:c r="F865" s="59" t="inlineStr">
        <x:is>
          <x:t xml:space="preserve">文学讲读</x:t>
        </x:is>
      </x:c>
      <x:c r="G865" s="58" t="inlineStr">
        <x:is>
          <x:t xml:space="preserve">无</x:t>
        </x:is>
      </x:c>
      <x:c r="H865" s="58" t="str">
        <x:f>IF(LEN(I865)&lt;15,"短",IF(LEN(I865)&lt;=45,"中","长"))</x:f>
        <x:v>中</x:v>
      </x:c>
      <x:c r="I865" s="59" t="inlineStr">
        <x:is>
          <x:t xml:space="preserve">刘姥姥进大观园那一段，写得特别有层次。</x:t>
        </x:is>
      </x:c>
      <x:c r="J865" s="59" t="str">
        <x:f>I865</x:f>
        <x:v>刘姥姥进大观园那一段，写得特别有层次。</x:v>
      </x:c>
      <x:c r="K865" s="58" t="inlineStr">
        <x:is>
          <x:t xml:space="preserve">无需改写</x:t>
        </x:is>
      </x:c>
      <x:c r="L865" s="59" t="inlineStr">
        <x:is>
          <x:t xml:space="preserve">刘姥姥</x:t>
        </x:is>
      </x:c>
      <x:c r="M865" s="59" t="inlineStr">
        <x:is>
          <x:t xml:space="preserve">小说人物专名</x:t>
        </x:is>
      </x:c>
      <x:c r="N865" s="59" t="inlineStr">
        <x:is>
          <x:t xml:space="preserve">那位老太太进大观园那一段写得特别有层次</x:t>
        </x:is>
      </x:c>
      <x:c r="O865" s="58" t="inlineStr">
        <x:is>
          <x:t xml:space="preserve">易</x:t>
        </x:is>
      </x:c>
      <x:c r="P865" s="58" t="inlineStr">
        <x:is>
          <x:t xml:space="preserve">否</x:t>
        </x:is>
      </x:c>
      <x:c r="Q865" s="59" t="n"/>
      <x:c r="R865" s="60" t="inlineStr">
        <x:is>
          <x:t xml:space="preserve">隔离·待确认</x:t>
        </x:is>
      </x:c>
      <x:c r="S865" s="60" t="inlineStr">
        <x:is>
          <x:t xml:space="preserve"/>
        </x:is>
      </x:c>
      <x:c r="T865" s="60" t="inlineStr">
        <x:is>
          <x:t xml:space="preserve">触发词不含性别编码——判断可能依赖世界知识而非句内信息</x:t>
        </x:is>
      </x:c>
    </x:row>
    <x:row r="866" s="37" customFormat="1" ht="29.850000381469727" customHeight="1">
      <x:c r="A866" s="55" t="inlineStr">
        <x:is>
          <x:t xml:space="preserve">NEG-0865</x:t>
        </x:is>
      </x:c>
      <x:c r="B866" s="55" t="inlineStr">
        <x:is>
          <x:t xml:space="preserve">v6</x:t>
        </x:is>
      </x:c>
      <x:c r="C866" s="56" t="inlineStr">
        <x:is>
          <x:t xml:space="preserve">一、指称已知性别的具体个人</x:t>
        </x:is>
      </x:c>
      <x:c r="D866" s="56" t="inlineStr">
        <x:is>
          <x:t xml:space="preserve">1.1 姓名与社会称谓</x:t>
        </x:is>
      </x:c>
      <x:c r="E866" s="56" t="inlineStr">
        <x:is>
          <x:t xml:space="preserve">口语与私人交流</x:t>
        </x:is>
      </x:c>
      <x:c r="F866" s="56" t="inlineStr">
        <x:is>
          <x:t xml:space="preserve">科室口语</x:t>
        </x:is>
      </x:c>
      <x:c r="G866" s="55" t="inlineStr">
        <x:is>
          <x:t xml:space="preserve">无</x:t>
        </x:is>
      </x:c>
      <x:c r="H866" s="55" t="str">
        <x:f>IF(LEN(I866)&lt;15,"短",IF(LEN(I866)&lt;=45,"中","长"))</x:f>
        <x:v>中</x:v>
      </x:c>
      <x:c r="I866" s="56" t="inlineStr">
        <x:is>
          <x:t xml:space="preserve">我们科护士长姓吴，大家都叫她吴姐。</x:t>
        </x:is>
      </x:c>
      <x:c r="J866" s="56" t="str">
        <x:f>I866</x:f>
        <x:v>我们科护士长姓吴，大家都叫她吴姐。</x:v>
      </x:c>
      <x:c r="K866" s="55" t="inlineStr">
        <x:is>
          <x:t xml:space="preserve">无需改写</x:t>
        </x:is>
      </x:c>
      <x:c r="L866" s="56" t="inlineStr">
        <x:is>
          <x:t xml:space="preserve">她/吴姐</x:t>
        </x:is>
      </x:c>
      <x:c r="M866" s="56" t="inlineStr">
        <x:is>
          <x:t xml:space="preserve">对具体同事的称呼</x:t>
        </x:is>
      </x:c>
      <x:c r="N866" s="56" t="inlineStr">
        <x:is>
          <x:t xml:space="preserve">我们科护士长姓吴，大家都这么叫</x:t>
        </x:is>
      </x:c>
      <x:c r="O866" s="55" t="inlineStr">
        <x:is>
          <x:t xml:space="preserve">难</x:t>
        </x:is>
      </x:c>
      <x:c r="P866" s="55" t="inlineStr">
        <x:is>
          <x:t xml:space="preserve">否</x:t>
        </x:is>
      </x:c>
      <x:c r="Q866" s="56" t="n"/>
      <x:c r="R866" s="57" t="inlineStr">
        <x:is>
          <x:t xml:space="preserve">主集</x:t>
        </x:is>
      </x:c>
      <x:c r="S866" s="57" t="inlineStr">
        <x:is>
          <x:t xml:space="preserve">test</x:t>
        </x:is>
      </x:c>
      <x:c r="T866" s="57" t="inlineStr">
        <x:is>
          <x:t xml:space="preserve"/>
        </x:is>
      </x:c>
    </x:row>
    <x:row r="867" s="37" customFormat="1" ht="29.850000381469727" customHeight="1">
      <x:c r="A867" s="58" t="inlineStr">
        <x:is>
          <x:t xml:space="preserve">NEG-0866</x:t>
        </x:is>
      </x:c>
      <x:c r="B867" s="58" t="inlineStr">
        <x:is>
          <x:t xml:space="preserve">v6</x:t>
        </x:is>
      </x:c>
      <x:c r="C867" s="59" t="inlineStr">
        <x:is>
          <x:t xml:space="preserve">一、指称已知性别的具体个人</x:t>
        </x:is>
      </x:c>
      <x:c r="D867" s="59" t="inlineStr">
        <x:is>
          <x:t xml:space="preserve">1.1 姓名与社会称谓</x:t>
        </x:is>
      </x:c>
      <x:c r="E867" s="59" t="inlineStr">
        <x:is>
          <x:t xml:space="preserve">其他</x:t>
        </x:is>
      </x:c>
      <x:c r="F867" s="59" t="inlineStr">
        <x:is>
          <x:t xml:space="preserve">编辑规范</x:t>
        </x:is>
      </x:c>
      <x:c r="G867" s="58" t="inlineStr">
        <x:is>
          <x:t xml:space="preserve">无</x:t>
        </x:is>
      </x:c>
      <x:c r="H867" s="58" t="str">
        <x:f>IF(LEN(I867)&lt;15,"短",IF(LEN(I867)&lt;=45,"中","长"))</x:f>
        <x:v>中</x:v>
      </x:c>
      <x:c r="I867" s="59" t="inlineStr">
        <x:is>
          <x:t xml:space="preserve">译名统一用“玛丽亚”，别一会儿玛利亚一会儿马利亚。</x:t>
        </x:is>
      </x:c>
      <x:c r="J867" s="59" t="str">
        <x:f>I867</x:f>
        <x:v>译名统一用“玛丽亚”，别一会儿玛利亚一会儿马利亚。</x:v>
      </x:c>
      <x:c r="K867" s="58" t="inlineStr">
        <x:is>
          <x:t xml:space="preserve">无需改写</x:t>
        </x:is>
      </x:c>
      <x:c r="L867" s="59" t="inlineStr">
        <x:is>
          <x:t xml:space="preserve">玛丽亚</x:t>
        </x:is>
      </x:c>
      <x:c r="M867" s="59" t="inlineStr">
        <x:is>
          <x:t xml:space="preserve">译名规范，统一性优先</x:t>
        </x:is>
      </x:c>
      <x:c r="N867" s="59" t="inlineStr">
        <x:is>
          <x:t xml:space="preserve">译名统一即可，不必反复更换</x:t>
        </x:is>
      </x:c>
      <x:c r="O867" s="58" t="inlineStr">
        <x:is>
          <x:t xml:space="preserve">中</x:t>
        </x:is>
      </x:c>
      <x:c r="P867" s="58" t="inlineStr">
        <x:is>
          <x:t xml:space="preserve">否</x:t>
        </x:is>
      </x:c>
      <x:c r="Q867" s="59" t="n"/>
      <x:c r="R867" s="60" t="inlineStr">
        <x:is>
          <x:t xml:space="preserve">隔离·待确认</x:t>
        </x:is>
      </x:c>
      <x:c r="S867" s="60" t="inlineStr">
        <x:is>
          <x:t xml:space="preserve"/>
        </x:is>
      </x:c>
      <x:c r="T867" s="60" t="inlineStr">
        <x:is>
          <x:t xml:space="preserve">触发词不含性别编码——判断可能依赖世界知识而非句内信息</x:t>
        </x:is>
      </x:c>
    </x:row>
    <x:row r="868" s="37" customFormat="1" ht="29.850000381469727" customHeight="1">
      <x:c r="A868" s="58" t="inlineStr">
        <x:is>
          <x:t xml:space="preserve">NEG-0867</x:t>
        </x:is>
      </x:c>
      <x:c r="B868" s="58" t="inlineStr">
        <x:is>
          <x:t xml:space="preserve">v6</x:t>
        </x:is>
      </x:c>
      <x:c r="C868" s="59" t="inlineStr">
        <x:is>
          <x:t xml:space="preserve">一、指称已知性别的具体个人</x:t>
        </x:is>
      </x:c>
      <x:c r="D868" s="59" t="inlineStr">
        <x:is>
          <x:t xml:space="preserve">1.1 姓名与社会称谓</x:t>
        </x:is>
      </x:c>
      <x:c r="E868" s="59" t="inlineStr">
        <x:is>
          <x:t xml:space="preserve">医疗健康</x:t>
        </x:is>
      </x:c>
      <x:c r="F868" s="59" t="inlineStr">
        <x:is>
          <x:t xml:space="preserve">历史科普</x:t>
        </x:is>
      </x:c>
      <x:c r="G868" s="58" t="inlineStr">
        <x:is>
          <x:t xml:space="preserve">无</x:t>
        </x:is>
      </x:c>
      <x:c r="H868" s="58" t="str">
        <x:f>IF(LEN(I868)&lt;15,"短",IF(LEN(I868)&lt;=45,"中","长"))</x:f>
        <x:v>中</x:v>
      </x:c>
      <x:c r="I868" s="59" t="inlineStr">
        <x:is>
          <x:t xml:space="preserve">康熙的庙号是圣祖，谥号很长，一般不用全称。</x:t>
        </x:is>
      </x:c>
      <x:c r="J868" s="59" t="str">
        <x:f>I868</x:f>
        <x:v>康熙的庙号是圣祖，谥号很长，一般不用全称。</x:v>
      </x:c>
      <x:c r="K868" s="58" t="inlineStr">
        <x:is>
          <x:t xml:space="preserve">无需改写</x:t>
        </x:is>
      </x:c>
      <x:c r="L868" s="59" t="inlineStr">
        <x:is>
          <x:t xml:space="preserve">康熙/圣祖</x:t>
        </x:is>
      </x:c>
      <x:c r="M868" s="59" t="inlineStr">
        <x:is>
          <x:t xml:space="preserve">帝王庙号谥号</x:t>
        </x:is>
      </x:c>
      <x:c r="N868" s="59" t="inlineStr">
        <x:is>
          <x:t xml:space="preserve">这位皇帝的庙号是圣祖，谥号一般不用全称</x:t>
        </x:is>
      </x:c>
      <x:c r="O868" s="58" t="inlineStr">
        <x:is>
          <x:t xml:space="preserve">易</x:t>
        </x:is>
      </x:c>
      <x:c r="P868" s="58" t="inlineStr">
        <x:is>
          <x:t xml:space="preserve">否</x:t>
        </x:is>
      </x:c>
      <x:c r="Q868" s="59" t="n"/>
      <x:c r="R868" s="60" t="inlineStr">
        <x:is>
          <x:t xml:space="preserve">隔离·待确认</x:t>
        </x:is>
      </x:c>
      <x:c r="S868" s="60" t="inlineStr">
        <x:is>
          <x:t xml:space="preserve"/>
        </x:is>
      </x:c>
      <x:c r="T868" s="60" t="inlineStr">
        <x:is>
          <x:t xml:space="preserve">触发词不含性别编码——判断可能依赖世界知识而非句内信息</x:t>
        </x:is>
      </x:c>
    </x:row>
    <x:row r="869" s="37" customFormat="1" ht="29.850000381469727" customHeight="1">
      <x:c r="A869" s="55" t="inlineStr">
        <x:is>
          <x:t xml:space="preserve">NEG-0868</x:t>
        </x:is>
      </x:c>
      <x:c r="B869" s="55" t="inlineStr">
        <x:is>
          <x:t xml:space="preserve">v6</x:t>
        </x:is>
      </x:c>
      <x:c r="C869" s="56" t="inlineStr">
        <x:is>
          <x:t xml:space="preserve">一、指称已知性别的具体个人</x:t>
        </x:is>
      </x:c>
      <x:c r="D869" s="56" t="inlineStr">
        <x:is>
          <x:t xml:space="preserve">1.1 姓名与社会称谓</x:t>
        </x:is>
      </x:c>
      <x:c r="E869" s="56" t="inlineStr">
        <x:is>
          <x:t xml:space="preserve">口语与私人交流</x:t>
        </x:is>
      </x:c>
      <x:c r="F869" s="56" t="inlineStr">
        <x:is>
          <x:t xml:space="preserve">邻里口语</x:t>
        </x:is>
      </x:c>
      <x:c r="G869" s="55" t="inlineStr">
        <x:is>
          <x:t xml:space="preserve">无</x:t>
        </x:is>
      </x:c>
      <x:c r="H869" s="55" t="str">
        <x:f>IF(LEN(I869)&lt;15,"短",IF(LEN(I869)&lt;=45,"中","长"))</x:f>
        <x:v>中</x:v>
      </x:c>
      <x:c r="I869" s="56" t="inlineStr">
        <x:is>
          <x:t xml:space="preserve">外婆管隔壁那位叫“三婶儿”，其实两家没亲戚关系。</x:t>
        </x:is>
      </x:c>
      <x:c r="J869" s="56" t="str">
        <x:f>I869</x:f>
        <x:v>外婆管隔壁那位叫“三婶儿”，其实两家没亲戚关系。</x:v>
      </x:c>
      <x:c r="K869" s="55" t="inlineStr">
        <x:is>
          <x:t xml:space="preserve">无需改写</x:t>
        </x:is>
      </x:c>
      <x:c r="L869" s="56" t="inlineStr">
        <x:is>
          <x:t xml:space="preserve">外婆/三婶儿</x:t>
        </x:is>
      </x:c>
      <x:c r="M869" s="56" t="inlineStr">
        <x:is>
          <x:t xml:space="preserve">拟亲属称谓的实况描述</x:t>
        </x:is>
      </x:c>
      <x:c r="N869" s="56" t="inlineStr">
        <x:is>
          <x:t xml:space="preserve">长辈管隔壁那位有个专门叫法</x:t>
        </x:is>
      </x:c>
      <x:c r="O869" s="55" t="inlineStr">
        <x:is>
          <x:t xml:space="preserve">难</x:t>
        </x:is>
      </x:c>
      <x:c r="P869" s="55" t="inlineStr">
        <x:is>
          <x:t xml:space="preserve">否</x:t>
        </x:is>
      </x:c>
      <x:c r="Q869" s="56" t="n"/>
      <x:c r="R869" s="57" t="inlineStr">
        <x:is>
          <x:t xml:space="preserve">主集</x:t>
        </x:is>
      </x:c>
      <x:c r="S869" s="57" t="inlineStr">
        <x:is>
          <x:t xml:space="preserve">test</x:t>
        </x:is>
      </x:c>
      <x:c r="T869" s="57" t="inlineStr">
        <x:is>
          <x:t xml:space="preserve"/>
        </x:is>
      </x:c>
    </x:row>
    <x:row r="870" s="37" customFormat="1" ht="29.850000381469727" customHeight="1">
      <x:c r="A870" s="55" t="inlineStr">
        <x:is>
          <x:t xml:space="preserve">NEG-0869</x:t>
        </x:is>
      </x:c>
      <x:c r="B870" s="55" t="inlineStr">
        <x:is>
          <x:t xml:space="preserve">v6</x:t>
        </x:is>
      </x:c>
      <x:c r="C870" s="56" t="inlineStr">
        <x:is>
          <x:t xml:space="preserve">一、指称已知性别的具体个人</x:t>
        </x:is>
      </x:c>
      <x:c r="D870" s="56" t="inlineStr">
        <x:is>
          <x:t xml:space="preserve">1.1 姓名与社会称谓</x:t>
        </x:is>
      </x:c>
      <x:c r="E870" s="56" t="inlineStr">
        <x:is>
          <x:t xml:space="preserve">其他</x:t>
        </x:is>
      </x:c>
      <x:c r="F870" s="56" t="inlineStr">
        <x:is>
          <x:t xml:space="preserve">工作沟通</x:t>
        </x:is>
      </x:c>
      <x:c r="G870" s="55" t="inlineStr">
        <x:is>
          <x:t xml:space="preserve">无</x:t>
        </x:is>
      </x:c>
      <x:c r="H870" s="55" t="str">
        <x:f>IF(LEN(I870)&lt;15,"短",IF(LEN(I870)&lt;=45,"中","长"))</x:f>
        <x:v>中</x:v>
      </x:c>
      <x:c r="I870" s="56" t="inlineStr">
        <x:is>
          <x:t xml:space="preserve">这位是甲方对接人周总，她今天到现场。</x:t>
        </x:is>
      </x:c>
      <x:c r="J870" s="56" t="str">
        <x:f>I870</x:f>
        <x:v>这位是甲方对接人周总，她今天到现场。</x:v>
      </x:c>
      <x:c r="K870" s="55" t="inlineStr">
        <x:is>
          <x:t xml:space="preserve">无需改写</x:t>
        </x:is>
      </x:c>
      <x:c r="L870" s="56" t="inlineStr">
        <x:is>
          <x:t xml:space="preserve">周总/她</x:t>
        </x:is>
      </x:c>
      <x:c r="M870" s="56" t="inlineStr">
        <x:is>
          <x:t xml:space="preserve">对具体合作方人员的指称</x:t>
        </x:is>
      </x:c>
      <x:c r="N870" s="56" t="inlineStr">
        <x:is>
          <x:t xml:space="preserve">这位是甲方对接人周总，其今天到现场</x:t>
        </x:is>
      </x:c>
      <x:c r="O870" s="55" t="inlineStr">
        <x:is>
          <x:t xml:space="preserve">中</x:t>
        </x:is>
      </x:c>
      <x:c r="P870" s="55" t="inlineStr">
        <x:is>
          <x:t xml:space="preserve">否</x:t>
        </x:is>
      </x:c>
      <x:c r="Q870" s="56" t="n"/>
      <x:c r="R870" s="57" t="inlineStr">
        <x:is>
          <x:t xml:space="preserve">主集</x:t>
        </x:is>
      </x:c>
      <x:c r="S870" s="57" t="inlineStr">
        <x:is>
          <x:t xml:space="preserve">test</x:t>
        </x:is>
      </x:c>
      <x:c r="T870" s="57" t="inlineStr">
        <x:is>
          <x:t xml:space="preserve"/>
        </x:is>
      </x:c>
    </x:row>
    <x:row r="871" s="37" customFormat="1" ht="29.850000381469727" customHeight="1">
      <x:c r="A871" s="55" t="inlineStr">
        <x:is>
          <x:t xml:space="preserve">NEG-0870</x:t>
        </x:is>
      </x:c>
      <x:c r="B871" s="55" t="inlineStr">
        <x:is>
          <x:t xml:space="preserve">v6</x:t>
        </x:is>
      </x:c>
      <x:c r="C871" s="56" t="inlineStr">
        <x:is>
          <x:t xml:space="preserve">一、指称已知性别的具体个人</x:t>
        </x:is>
      </x:c>
      <x:c r="D871" s="56" t="inlineStr">
        <x:is>
          <x:t xml:space="preserve">1.1 姓名与社会称谓</x:t>
        </x:is>
      </x:c>
      <x:c r="E871" s="56" t="inlineStr">
        <x:is>
          <x:t xml:space="preserve">工程与技术</x:t>
        </x:is>
      </x:c>
      <x:c r="F871" s="56" t="inlineStr">
        <x:is>
          <x:t xml:space="preserve">物流通知</x:t>
        </x:is>
      </x:c>
      <x:c r="G871" s="55" t="inlineStr">
        <x:is>
          <x:t xml:space="preserve">缩略</x:t>
        </x:is>
      </x:c>
      <x:c r="H871" s="55" t="str">
        <x:f>IF(LEN(I871)&lt;15,"短",IF(LEN(I871)&lt;=45,"中","长"))</x:f>
        <x:v>中</x:v>
      </x:c>
      <x:c r="I871" s="56" t="inlineStr">
        <x:is>
          <x:t xml:space="preserve">快递单收件人写的是“王小姐”，人不在就放驿站。</x:t>
        </x:is>
      </x:c>
      <x:c r="J871" s="56" t="str">
        <x:f>I871</x:f>
        <x:v>快递单收件人写的是“王小姐”，人不在就放驿站。</x:v>
      </x:c>
      <x:c r="K871" s="55" t="inlineStr">
        <x:is>
          <x:t xml:space="preserve">无需改写</x:t>
        </x:is>
      </x:c>
      <x:c r="L871" s="56" t="inlineStr">
        <x:is>
          <x:t xml:space="preserve">王小姐</x:t>
        </x:is>
      </x:c>
      <x:c r="M871" s="56" t="inlineStr">
        <x:is>
          <x:t xml:space="preserve">单据上的既有信息</x:t>
        </x:is>
      </x:c>
      <x:c r="N871" s="56" t="inlineStr">
        <x:is>
          <x:t xml:space="preserve">快递单收件人信息如无人签收就放驿站</x:t>
        </x:is>
      </x:c>
      <x:c r="O871" s="55" t="inlineStr">
        <x:is>
          <x:t xml:space="preserve">中</x:t>
        </x:is>
      </x:c>
      <x:c r="P871" s="55" t="inlineStr">
        <x:is>
          <x:t xml:space="preserve">否</x:t>
        </x:is>
      </x:c>
      <x:c r="Q871" s="56" t="n"/>
      <x:c r="R871" s="57" t="inlineStr">
        <x:is>
          <x:t xml:space="preserve">主集</x:t>
        </x:is>
      </x:c>
      <x:c r="S871" s="57" t="inlineStr">
        <x:is>
          <x:t xml:space="preserve">index</x:t>
        </x:is>
      </x:c>
      <x:c r="T871" s="57" t="inlineStr">
        <x:is>
          <x:t xml:space="preserve"/>
        </x:is>
      </x:c>
    </x:row>
    <x:row r="872" s="37" customFormat="1" ht="29.850000381469727" customHeight="1">
      <x:c r="A872" s="55" t="inlineStr">
        <x:is>
          <x:t xml:space="preserve">NEG-0871</x:t>
        </x:is>
      </x:c>
      <x:c r="B872" s="55" t="inlineStr">
        <x:is>
          <x:t xml:space="preserve">v6</x:t>
        </x:is>
      </x:c>
      <x:c r="C872" s="56" t="inlineStr">
        <x:is>
          <x:t xml:space="preserve">一、指称已知性别的具体个人</x:t>
        </x:is>
      </x:c>
      <x:c r="D872" s="56" t="inlineStr">
        <x:is>
          <x:t xml:space="preserve">1.1 姓名与社会称谓</x:t>
        </x:is>
      </x:c>
      <x:c r="E872" s="56" t="inlineStr">
        <x:is>
          <x:t xml:space="preserve">文艺创作与评论</x:t>
        </x:is>
      </x:c>
      <x:c r="F872" s="56" t="inlineStr">
        <x:is>
          <x:t xml:space="preserve">讣告</x:t>
        </x:is>
      </x:c>
      <x:c r="G872" s="55" t="inlineStr">
        <x:is>
          <x:t xml:space="preserve">无</x:t>
        </x:is>
      </x:c>
      <x:c r="H872" s="55" t="str">
        <x:f>IF(LEN(I872)&lt;15,"短",IF(LEN(I872)&lt;=45,"中","长"))</x:f>
        <x:v>中</x:v>
      </x:c>
      <x:c r="I872" s="56" t="inlineStr">
        <x:is>
          <x:t xml:space="preserve">讣告落款署“孝男某某泣血稽颡”，是旧式格式。</x:t>
        </x:is>
      </x:c>
      <x:c r="J872" s="56" t="str">
        <x:f>I872</x:f>
        <x:v>讣告落款署“孝男某某泣血稽颡”，是旧式格式。</x:v>
      </x:c>
      <x:c r="K872" s="55" t="inlineStr">
        <x:is>
          <x:t xml:space="preserve">无需改写</x:t>
        </x:is>
      </x:c>
      <x:c r="L872" s="56" t="inlineStr">
        <x:is>
          <x:t xml:space="preserve">孝男</x:t>
        </x:is>
      </x:c>
      <x:c r="M872" s="56" t="inlineStr">
        <x:is>
          <x:t xml:space="preserve">丧仪文书的固定格式</x:t>
        </x:is>
      </x:c>
      <x:c r="N872" s="56" t="inlineStr">
        <x:is>
          <x:t xml:space="preserve">讣告落款用的是旧式格式</x:t>
        </x:is>
      </x:c>
      <x:c r="O872" s="55" t="inlineStr">
        <x:is>
          <x:t xml:space="preserve">中</x:t>
        </x:is>
      </x:c>
      <x:c r="P872" s="55" t="inlineStr">
        <x:is>
          <x:t xml:space="preserve">否</x:t>
        </x:is>
      </x:c>
      <x:c r="Q872" s="56" t="n"/>
      <x:c r="R872" s="57" t="inlineStr">
        <x:is>
          <x:t xml:space="preserve">主集</x:t>
        </x:is>
      </x:c>
      <x:c r="S872" s="57" t="inlineStr">
        <x:is>
          <x:t xml:space="preserve">index</x:t>
        </x:is>
      </x:c>
      <x:c r="T872" s="57" t="inlineStr">
        <x:is>
          <x:t xml:space="preserve"/>
        </x:is>
      </x:c>
    </x:row>
    <x:row r="873" s="37" customFormat="1" ht="29.850000381469727" customHeight="1">
      <x:c r="A873" s="55" t="inlineStr">
        <x:is>
          <x:t xml:space="preserve">NEG-0872</x:t>
        </x:is>
      </x:c>
      <x:c r="B873" s="55" t="inlineStr">
        <x:is>
          <x:t xml:space="preserve">v6</x:t>
        </x:is>
      </x:c>
      <x:c r="C873" s="56" t="inlineStr">
        <x:is>
          <x:t xml:space="preserve">一、指称已知性别的具体个人</x:t>
        </x:is>
      </x:c>
      <x:c r="D873" s="56" t="inlineStr">
        <x:is>
          <x:t xml:space="preserve">1.2 人称代词</x:t>
        </x:is>
      </x:c>
      <x:c r="E873" s="56" t="inlineStr">
        <x:is>
          <x:t xml:space="preserve">口语与私人交流</x:t>
        </x:is>
      </x:c>
      <x:c r="F873" s="56" t="inlineStr">
        <x:is>
          <x:t xml:space="preserve">日常口语</x:t>
        </x:is>
      </x:c>
      <x:c r="G873" s="55" t="inlineStr">
        <x:is>
          <x:t xml:space="preserve">无</x:t>
        </x:is>
      </x:c>
      <x:c r="H873" s="55" t="str">
        <x:f>IF(LEN(I873)&lt;15,"短",IF(LEN(I873)&lt;=45,"中","长"))</x:f>
        <x:v>中</x:v>
      </x:c>
      <x:c r="I873" s="56" t="inlineStr">
        <x:is>
          <x:t xml:space="preserve">你问她干嘛，她自己都不知道明天几点走。</x:t>
        </x:is>
      </x:c>
      <x:c r="J873" s="56" t="str">
        <x:f>I873</x:f>
        <x:v>你问她干嘛，她自己都不知道明天几点走。</x:v>
      </x:c>
      <x:c r="K873" s="55" t="inlineStr">
        <x:is>
          <x:t xml:space="preserve">无需改写</x:t>
        </x:is>
      </x:c>
      <x:c r="L873" s="56" t="inlineStr">
        <x:is>
          <x:t xml:space="preserve">她</x:t>
        </x:is>
      </x:c>
      <x:c r="M873" s="56" t="inlineStr">
        <x:is>
          <x:t xml:space="preserve">指称在场双方已知的具体某人</x:t>
        </x:is>
      </x:c>
      <x:c r="N873" s="56" t="inlineStr">
        <x:is>
          <x:t xml:space="preserve">你问TA干嘛，TA自己都不知道</x:t>
        </x:is>
      </x:c>
      <x:c r="O873" s="55" t="inlineStr">
        <x:is>
          <x:t xml:space="preserve">难</x:t>
        </x:is>
      </x:c>
      <x:c r="P873" s="55" t="inlineStr">
        <x:is>
          <x:t xml:space="preserve">否</x:t>
        </x:is>
      </x:c>
      <x:c r="Q873" s="56" t="n"/>
      <x:c r="R873" s="57" t="inlineStr">
        <x:is>
          <x:t xml:space="preserve">主集</x:t>
        </x:is>
      </x:c>
      <x:c r="S873" s="57" t="inlineStr">
        <x:is>
          <x:t xml:space="preserve">test</x:t>
        </x:is>
      </x:c>
      <x:c r="T873" s="57" t="inlineStr">
        <x:is>
          <x:t xml:space="preserve"/>
        </x:is>
      </x:c>
    </x:row>
    <x:row r="874" s="37" customFormat="1" ht="29.850000381469727" customHeight="1">
      <x:c r="A874" s="55" t="inlineStr">
        <x:is>
          <x:t xml:space="preserve">NEG-0873</x:t>
        </x:is>
      </x:c>
      <x:c r="B874" s="55" t="inlineStr">
        <x:is>
          <x:t xml:space="preserve">v6</x:t>
        </x:is>
      </x:c>
      <x:c r="C874" s="56" t="inlineStr">
        <x:is>
          <x:t xml:space="preserve">一、指称已知性别的具体个人</x:t>
        </x:is>
      </x:c>
      <x:c r="D874" s="56" t="inlineStr">
        <x:is>
          <x:t xml:space="preserve">1.2 人称代词</x:t>
        </x:is>
      </x:c>
      <x:c r="E874" s="56" t="inlineStr">
        <x:is>
          <x:t xml:space="preserve">口语与私人交流</x:t>
        </x:is>
      </x:c>
      <x:c r="F874" s="56" t="inlineStr">
        <x:is>
          <x:t xml:space="preserve">家常口语</x:t>
        </x:is>
      </x:c>
      <x:c r="G874" s="55" t="inlineStr">
        <x:is>
          <x:t xml:space="preserve">无</x:t>
        </x:is>
      </x:c>
      <x:c r="H874" s="55" t="str">
        <x:f>IF(LEN(I874)&lt;15,"短",IF(LEN(I874)&lt;=45,"中","长"))</x:f>
        <x:v>短</x:v>
      </x:c>
      <x:c r="I874" s="56" t="inlineStr">
        <x:is>
          <x:t xml:space="preserve">孩子他妈今天加班，我来接。</x:t>
        </x:is>
      </x:c>
      <x:c r="J874" s="56" t="str">
        <x:f>I874</x:f>
        <x:v>孩子他妈今天加班，我来接。</x:v>
      </x:c>
      <x:c r="K874" s="55" t="inlineStr">
        <x:is>
          <x:t xml:space="preserve">无需改写</x:t>
        </x:is>
      </x:c>
      <x:c r="L874" s="56" t="inlineStr">
        <x:is>
          <x:t xml:space="preserve">孩子他妈</x:t>
        </x:is>
      </x:c>
      <x:c r="M874" s="56" t="inlineStr">
        <x:is>
          <x:t xml:space="preserve">口语中对配偶的指称方式</x:t>
        </x:is>
      </x:c>
      <x:c r="N874" s="56" t="inlineStr">
        <x:is>
          <x:t xml:space="preserve">孩子的家长今天加班，我来接</x:t>
        </x:is>
      </x:c>
      <x:c r="O874" s="55" t="inlineStr">
        <x:is>
          <x:t xml:space="preserve">难</x:t>
        </x:is>
      </x:c>
      <x:c r="P874" s="55" t="inlineStr">
        <x:is>
          <x:t xml:space="preserve">否</x:t>
        </x:is>
      </x:c>
      <x:c r="Q874" s="56" t="n"/>
      <x:c r="R874" s="57" t="inlineStr">
        <x:is>
          <x:t xml:space="preserve">主集</x:t>
        </x:is>
      </x:c>
      <x:c r="S874" s="57" t="inlineStr">
        <x:is>
          <x:t xml:space="preserve">index</x:t>
        </x:is>
      </x:c>
      <x:c r="T874" s="57" t="inlineStr">
        <x:is>
          <x:t xml:space="preserve"/>
        </x:is>
      </x:c>
    </x:row>
    <x:row r="875" s="37" customFormat="1" ht="29.850000381469727" customHeight="1">
      <x:c r="A875" s="55" t="inlineStr">
        <x:is>
          <x:t xml:space="preserve">NEG-0874</x:t>
        </x:is>
      </x:c>
      <x:c r="B875" s="55" t="inlineStr">
        <x:is>
          <x:t xml:space="preserve">v6</x:t>
        </x:is>
      </x:c>
      <x:c r="C875" s="56" t="inlineStr">
        <x:is>
          <x:t xml:space="preserve">一、指称已知性别的具体个人</x:t>
        </x:is>
      </x:c>
      <x:c r="D875" s="56" t="inlineStr">
        <x:is>
          <x:t xml:space="preserve">1.2 人称代词</x:t>
        </x:is>
      </x:c>
      <x:c r="E875" s="56" t="inlineStr">
        <x:is>
          <x:t xml:space="preserve">其他</x:t>
        </x:is>
      </x:c>
      <x:c r="F875" s="56" t="inlineStr">
        <x:is>
          <x:t xml:space="preserve">工作对话</x:t>
        </x:is>
      </x:c>
      <x:c r="G875" s="55" t="inlineStr">
        <x:is>
          <x:t xml:space="preserve">无</x:t>
        </x:is>
      </x:c>
      <x:c r="H875" s="55" t="str">
        <x:f>IF(LEN(I875)&lt;15,"短",IF(LEN(I875)&lt;=45,"中","长"))</x:f>
        <x:v>中</x:v>
      </x:c>
      <x:c r="I875" s="56" t="inlineStr">
        <x:is>
          <x:t xml:space="preserve">甲方那边谁负责？——她，穿蓝衣服那个。</x:t>
        </x:is>
      </x:c>
      <x:c r="J875" s="56" t="str">
        <x:f>I875</x:f>
        <x:v>甲方那边谁负责？——她，穿蓝衣服那个。</x:v>
      </x:c>
      <x:c r="K875" s="55" t="inlineStr">
        <x:is>
          <x:t xml:space="preserve">无需改写</x:t>
        </x:is>
      </x:c>
      <x:c r="L875" s="56" t="inlineStr">
        <x:is>
          <x:t xml:space="preserve">她</x:t>
        </x:is>
      </x:c>
      <x:c r="M875" s="56" t="inlineStr">
        <x:is>
          <x:t xml:space="preserve">现场指认某个具体的人</x:t>
        </x:is>
      </x:c>
      <x:c r="N875" s="56" t="inlineStr">
        <x:is>
          <x:t xml:space="preserve">甲方那边谁负责？——那位穿蓝衣服的</x:t>
        </x:is>
      </x:c>
      <x:c r="O875" s="55" t="inlineStr">
        <x:is>
          <x:t xml:space="preserve">难</x:t>
        </x:is>
      </x:c>
      <x:c r="P875" s="55" t="inlineStr">
        <x:is>
          <x:t xml:space="preserve">否</x:t>
        </x:is>
      </x:c>
      <x:c r="Q875" s="56" t="n"/>
      <x:c r="R875" s="57" t="inlineStr">
        <x:is>
          <x:t xml:space="preserve">主集</x:t>
        </x:is>
      </x:c>
      <x:c r="S875" s="57" t="inlineStr">
        <x:is>
          <x:t xml:space="preserve">dev</x:t>
        </x:is>
      </x:c>
      <x:c r="T875" s="57" t="inlineStr">
        <x:is>
          <x:t xml:space="preserve"/>
        </x:is>
      </x:c>
    </x:row>
    <x:row r="876" s="37" customFormat="1" ht="29.850000381469727" customHeight="1">
      <x:c r="A876" s="55" t="inlineStr">
        <x:is>
          <x:t xml:space="preserve">NEG-0875</x:t>
        </x:is>
      </x:c>
      <x:c r="B876" s="55" t="inlineStr">
        <x:is>
          <x:t xml:space="preserve">v6</x:t>
        </x:is>
      </x:c>
      <x:c r="C876" s="56" t="inlineStr">
        <x:is>
          <x:t xml:space="preserve">一、指称已知性别的具体个人</x:t>
        </x:is>
      </x:c>
      <x:c r="D876" s="56" t="inlineStr">
        <x:is>
          <x:t xml:space="preserve">1.2 人称代词</x:t>
        </x:is>
      </x:c>
      <x:c r="E876" s="56" t="inlineStr">
        <x:is>
          <x:t xml:space="preserve">其他</x:t>
        </x:is>
      </x:c>
      <x:c r="F876" s="56" t="inlineStr">
        <x:is>
          <x:t xml:space="preserve">课堂</x:t>
        </x:is>
      </x:c>
      <x:c r="G876" s="55" t="inlineStr">
        <x:is>
          <x:t xml:space="preserve">无</x:t>
        </x:is>
      </x:c>
      <x:c r="H876" s="55" t="str">
        <x:f>IF(LEN(I876)&lt;15,"短",IF(LEN(I876)&lt;=45,"中","长"))</x:f>
        <x:v>短</x:v>
      </x:c>
      <x:c r="I876" s="56" t="inlineStr">
        <x:is>
          <x:t xml:space="preserve">这题他会做，让他上来讲一遍。</x:t>
        </x:is>
      </x:c>
      <x:c r="J876" s="56" t="str">
        <x:f>I876</x:f>
        <x:v>这题他会做，让他上来讲一遍。</x:v>
      </x:c>
      <x:c r="K876" s="55" t="inlineStr">
        <x:is>
          <x:t xml:space="preserve">无需改写</x:t>
        </x:is>
      </x:c>
      <x:c r="L876" s="56" t="inlineStr">
        <x:is>
          <x:t xml:space="preserve">他</x:t>
        </x:is>
      </x:c>
      <x:c r="M876" s="56" t="inlineStr">
        <x:is>
          <x:t xml:space="preserve">指称班上某位具体学生</x:t>
        </x:is>
      </x:c>
      <x:c r="N876" s="56" t="inlineStr">
        <x:is>
          <x:t xml:space="preserve">这题这位同学会做，让他上来讲</x:t>
        </x:is>
      </x:c>
      <x:c r="O876" s="55" t="inlineStr">
        <x:is>
          <x:t xml:space="preserve">中</x:t>
        </x:is>
      </x:c>
      <x:c r="P876" s="55" t="inlineStr">
        <x:is>
          <x:t xml:space="preserve">否</x:t>
        </x:is>
      </x:c>
      <x:c r="Q876" s="56" t="n"/>
      <x:c r="R876" s="57" t="inlineStr">
        <x:is>
          <x:t xml:space="preserve">主集</x:t>
        </x:is>
      </x:c>
      <x:c r="S876" s="57" t="inlineStr">
        <x:is>
          <x:t xml:space="preserve">test</x:t>
        </x:is>
      </x:c>
      <x:c r="T876" s="57" t="inlineStr">
        <x:is>
          <x:t xml:space="preserve"/>
        </x:is>
      </x:c>
    </x:row>
    <x:row r="877" s="37" customFormat="1" ht="29.850000381469727" customHeight="1">
      <x:c r="A877" s="55" t="inlineStr">
        <x:is>
          <x:t xml:space="preserve">NEG-0876</x:t>
        </x:is>
      </x:c>
      <x:c r="B877" s="55" t="inlineStr">
        <x:is>
          <x:t xml:space="preserve">v6</x:t>
        </x:is>
      </x:c>
      <x:c r="C877" s="56" t="inlineStr">
        <x:is>
          <x:t xml:space="preserve">一、指称已知性别的具体个人</x:t>
        </x:is>
      </x:c>
      <x:c r="D877" s="56" t="inlineStr">
        <x:is>
          <x:t xml:space="preserve">1.2 人称代词</x:t>
        </x:is>
      </x:c>
      <x:c r="E877" s="56" t="inlineStr">
        <x:is>
          <x:t xml:space="preserve">新闻报道</x:t>
        </x:is>
      </x:c>
      <x:c r="F877" s="56" t="inlineStr">
        <x:is>
          <x:t xml:space="preserve">人物特写</x:t>
        </x:is>
      </x:c>
      <x:c r="G877" s="55" t="inlineStr">
        <x:is>
          <x:t xml:space="preserve">无</x:t>
        </x:is>
      </x:c>
      <x:c r="H877" s="55" t="str">
        <x:f>IF(LEN(I877)&lt;15,"短",IF(LEN(I877)&lt;=45,"中","长"))</x:f>
        <x:v>中</x:v>
      </x:c>
      <x:c r="I877" s="56" t="inlineStr">
        <x:is>
          <x:t xml:space="preserve">两位老人身体都还硬朗，她七十八，他八十一。</x:t>
        </x:is>
      </x:c>
      <x:c r="J877" s="56" t="str">
        <x:f>I877</x:f>
        <x:v>两位老人身体都还硬朗，她七十八，他八十一。</x:v>
      </x:c>
      <x:c r="K877" s="55" t="inlineStr">
        <x:is>
          <x:t xml:space="preserve">无需改写</x:t>
        </x:is>
      </x:c>
      <x:c r="L877" s="56" t="inlineStr">
        <x:is>
          <x:t xml:space="preserve">她/他</x:t>
        </x:is>
      </x:c>
      <x:c r="M877" s="56" t="inlineStr">
        <x:is>
          <x:t xml:space="preserve">分别指称两位具体老人，改写会混淆</x:t>
        </x:is>
      </x:c>
      <x:c r="N877" s="56" t="inlineStr">
        <x:is>
          <x:t xml:space="preserve">两位老人身体都还硬朗，分别是七十八和八十一</x:t>
        </x:is>
      </x:c>
      <x:c r="O877" s="55" t="inlineStr">
        <x:is>
          <x:t xml:space="preserve">难</x:t>
        </x:is>
      </x:c>
      <x:c r="P877" s="55" t="inlineStr">
        <x:is>
          <x:t xml:space="preserve">否</x:t>
        </x:is>
      </x:c>
      <x:c r="Q877" s="56" t="n"/>
      <x:c r="R877" s="57" t="inlineStr">
        <x:is>
          <x:t xml:space="preserve">主集</x:t>
        </x:is>
      </x:c>
      <x:c r="S877" s="57" t="inlineStr">
        <x:is>
          <x:t xml:space="preserve">dev</x:t>
        </x:is>
      </x:c>
      <x:c r="T877" s="57" t="inlineStr">
        <x:is>
          <x:t xml:space="preserve"/>
        </x:is>
      </x:c>
    </x:row>
    <x:row r="878" s="37" customFormat="1" ht="29.850000381469727" customHeight="1">
      <x:c r="A878" s="55" t="inlineStr">
        <x:is>
          <x:t xml:space="preserve">NEG-0877</x:t>
        </x:is>
      </x:c>
      <x:c r="B878" s="55" t="inlineStr">
        <x:is>
          <x:t xml:space="preserve">v6</x:t>
        </x:is>
      </x:c>
      <x:c r="C878" s="56" t="inlineStr">
        <x:is>
          <x:t xml:space="preserve">一、指称已知性别的具体个人</x:t>
        </x:is>
      </x:c>
      <x:c r="D878" s="56" t="inlineStr">
        <x:is>
          <x:t xml:space="preserve">1.2 人称代词</x:t>
        </x:is>
      </x:c>
      <x:c r="E878" s="56" t="inlineStr">
        <x:is>
          <x:t xml:space="preserve">口语与私人交流</x:t>
        </x:is>
      </x:c>
      <x:c r="F878" s="56" t="inlineStr">
        <x:is>
          <x:t xml:space="preserve">家常口语</x:t>
        </x:is>
      </x:c>
      <x:c r="G878" s="55" t="inlineStr">
        <x:is>
          <x:t xml:space="preserve">无</x:t>
        </x:is>
      </x:c>
      <x:c r="H878" s="55" t="str">
        <x:f>IF(LEN(I878)&lt;15,"短",IF(LEN(I878)&lt;=45,"中","长"))</x:f>
        <x:v>短</x:v>
      </x:c>
      <x:c r="I878" s="56" t="inlineStr">
        <x:is>
          <x:t xml:space="preserve">别问了，她不愿意提这事。</x:t>
        </x:is>
      </x:c>
      <x:c r="J878" s="56" t="str">
        <x:f>I878</x:f>
        <x:v>别问了，她不愿意提这事。</x:v>
      </x:c>
      <x:c r="K878" s="55" t="inlineStr">
        <x:is>
          <x:t xml:space="preserve">无需改写</x:t>
        </x:is>
      </x:c>
      <x:c r="L878" s="56" t="inlineStr">
        <x:is>
          <x:t xml:space="preserve">她</x:t>
        </x:is>
      </x:c>
      <x:c r="M878" s="56" t="inlineStr">
        <x:is>
          <x:t xml:space="preserve">指称具体某人</x:t>
        </x:is>
      </x:c>
      <x:c r="N878" s="56" t="inlineStr">
        <x:is>
          <x:t xml:space="preserve">别问了，TA不愿意提这事</x:t>
        </x:is>
      </x:c>
      <x:c r="O878" s="55" t="inlineStr">
        <x:is>
          <x:t xml:space="preserve">难</x:t>
        </x:is>
      </x:c>
      <x:c r="P878" s="55" t="inlineStr">
        <x:is>
          <x:t xml:space="preserve">否</x:t>
        </x:is>
      </x:c>
      <x:c r="Q878" s="56" t="n"/>
      <x:c r="R878" s="57" t="inlineStr">
        <x:is>
          <x:t xml:space="preserve">主集</x:t>
        </x:is>
      </x:c>
      <x:c r="S878" s="57" t="inlineStr">
        <x:is>
          <x:t xml:space="preserve">dev</x:t>
        </x:is>
      </x:c>
      <x:c r="T878" s="57" t="inlineStr">
        <x:is>
          <x:t xml:space="preserve"/>
        </x:is>
      </x:c>
    </x:row>
    <x:row r="879" s="37" customFormat="1" ht="29.850000381469727" customHeight="1">
      <x:c r="A879" s="58" t="inlineStr">
        <x:is>
          <x:t xml:space="preserve">NEG-0878</x:t>
        </x:is>
      </x:c>
      <x:c r="B879" s="58" t="inlineStr">
        <x:is>
          <x:t xml:space="preserve">v6</x:t>
        </x:is>
      </x:c>
      <x:c r="C879" s="59" t="inlineStr">
        <x:is>
          <x:t xml:space="preserve">一、指称已知性别的具体个人</x:t>
        </x:is>
      </x:c>
      <x:c r="D879" s="59" t="inlineStr">
        <x:is>
          <x:t xml:space="preserve">1.2 人称代词</x:t>
        </x:is>
      </x:c>
      <x:c r="E879" s="59" t="inlineStr">
        <x:is>
          <x:t xml:space="preserve">口语与私人交流</x:t>
        </x:is>
      </x:c>
      <x:c r="F879" s="59" t="inlineStr">
        <x:is>
          <x:t xml:space="preserve">街坊口语</x:t>
        </x:is>
      </x:c>
      <x:c r="G879" s="58" t="inlineStr">
        <x:is>
          <x:t xml:space="preserve">无</x:t>
        </x:is>
      </x:c>
      <x:c r="H879" s="58" t="str">
        <x:f>IF(LEN(I879)&lt;15,"短",IF(LEN(I879)&lt;=45,"中","长"))</x:f>
        <x:v>中</x:v>
      </x:c>
      <x:c r="I879" s="59" t="inlineStr">
        <x:is>
          <x:t xml:space="preserve">他们俩口子在巷子口开了个早点铺。</x:t>
        </x:is>
      </x:c>
      <x:c r="J879" s="59" t="str">
        <x:f>I879</x:f>
        <x:v>他们俩口子在巷子口开了个早点铺。</x:v>
      </x:c>
      <x:c r="K879" s="58" t="inlineStr">
        <x:is>
          <x:t xml:space="preserve">无需改写</x:t>
        </x:is>
      </x:c>
      <x:c r="L879" s="59" t="inlineStr">
        <x:is>
          <x:t xml:space="preserve">俩口子</x:t>
        </x:is>
      </x:c>
      <x:c r="M879" s="59" t="inlineStr">
        <x:is>
          <x:t xml:space="preserve">口语中对夫妻的合称</x:t>
        </x:is>
      </x:c>
      <x:c r="N879" s="59" t="inlineStr">
        <x:is>
          <x:t xml:space="preserve">他们两人在巷子口开了个早点铺</x:t>
        </x:is>
      </x:c>
      <x:c r="O879" s="58" t="inlineStr">
        <x:is>
          <x:t xml:space="preserve">中</x:t>
        </x:is>
      </x:c>
      <x:c r="P879" s="58" t="inlineStr">
        <x:is>
          <x:t xml:space="preserve">否</x:t>
        </x:is>
      </x:c>
      <x:c r="Q879" s="59" t="n"/>
      <x:c r="R879" s="60" t="inlineStr">
        <x:is>
          <x:t xml:space="preserve">隔离·待确认</x:t>
        </x:is>
      </x:c>
      <x:c r="S879" s="60" t="inlineStr">
        <x:is>
          <x:t xml:space="preserve"/>
        </x:is>
      </x:c>
      <x:c r="T879" s="60" t="inlineStr">
        <x:is>
          <x:t xml:space="preserve">触发词不含性别编码——判断可能依赖世界知识而非句内信息</x:t>
        </x:is>
      </x:c>
    </x:row>
    <x:row r="880" s="37" customFormat="1" ht="29.850000381469727" customHeight="1">
      <x:c r="A880" s="55" t="inlineStr">
        <x:is>
          <x:t xml:space="preserve">NEG-0879</x:t>
        </x:is>
      </x:c>
      <x:c r="B880" s="55" t="inlineStr">
        <x:is>
          <x:t xml:space="preserve">v6</x:t>
        </x:is>
      </x:c>
      <x:c r="C880" s="56" t="inlineStr">
        <x:is>
          <x:t xml:space="preserve">一、指称已知性别的具体个人</x:t>
        </x:is>
      </x:c>
      <x:c r="D880" s="56" t="inlineStr">
        <x:is>
          <x:t xml:space="preserve">1.2 人称代词</x:t>
        </x:is>
      </x:c>
      <x:c r="E880" s="56" t="inlineStr">
        <x:is>
          <x:t xml:space="preserve">社交与社区</x:t>
        </x:is>
      </x:c>
      <x:c r="F880" s="56" t="inlineStr">
        <x:is>
          <x:t xml:space="preserve">社交动态</x:t>
        </x:is>
      </x:c>
      <x:c r="G880" s="55" t="inlineStr">
        <x:is>
          <x:t xml:space="preserve">拼音缩写</x:t>
        </x:is>
      </x:c>
      <x:c r="H880" s="55" t="str">
        <x:f>IF(LEN(I880)&lt;15,"短",IF(LEN(I880)&lt;=45,"中","长"))</x:f>
        <x:v>中</x:v>
      </x:c>
      <x:c r="I880" s="56" t="inlineStr">
        <x:is>
          <x:t xml:space="preserve">她说她一个人也能扛，我信 dbq 我多嘴了</x:t>
        </x:is>
      </x:c>
      <x:c r="J880" s="56" t="str">
        <x:f>I880</x:f>
        <x:v>她说她一个人也能扛，我信 dbq 我多嘴了</x:v>
      </x:c>
      <x:c r="K880" s="55" t="inlineStr">
        <x:is>
          <x:t xml:space="preserve">无需改写</x:t>
        </x:is>
      </x:c>
      <x:c r="L880" s="56" t="inlineStr">
        <x:is>
          <x:t xml:space="preserve">她</x:t>
        </x:is>
      </x:c>
      <x:c r="M880" s="56" t="inlineStr">
        <x:is>
          <x:t xml:space="preserve">指称具体某人，含网络缩写</x:t>
        </x:is>
      </x:c>
      <x:c r="N880" s="56" t="inlineStr">
        <x:is>
          <x:t xml:space="preserve">TA说TA一个人也能扛</x:t>
        </x:is>
      </x:c>
      <x:c r="O880" s="55" t="inlineStr">
        <x:is>
          <x:t xml:space="preserve">难</x:t>
        </x:is>
      </x:c>
      <x:c r="P880" s="55" t="inlineStr">
        <x:is>
          <x:t xml:space="preserve">否</x:t>
        </x:is>
      </x:c>
      <x:c r="Q880" s="56" t="n"/>
      <x:c r="R880" s="57" t="inlineStr">
        <x:is>
          <x:t xml:space="preserve">主集</x:t>
        </x:is>
      </x:c>
      <x:c r="S880" s="57" t="inlineStr">
        <x:is>
          <x:t xml:space="preserve">dev</x:t>
        </x:is>
      </x:c>
      <x:c r="T880" s="57" t="inlineStr">
        <x:is>
          <x:t xml:space="preserve"/>
        </x:is>
      </x:c>
    </x:row>
    <x:row r="881" s="37" customFormat="1" ht="29.850000381469727" customHeight="1">
      <x:c r="A881" s="58" t="inlineStr">
        <x:is>
          <x:t xml:space="preserve">NEG-0880</x:t>
        </x:is>
      </x:c>
      <x:c r="B881" s="58" t="inlineStr">
        <x:is>
          <x:t xml:space="preserve">v6</x:t>
        </x:is>
      </x:c>
      <x:c r="C881" s="59" t="inlineStr">
        <x:is>
          <x:t xml:space="preserve">一、指称已知性别的具体个人</x:t>
        </x:is>
      </x:c>
      <x:c r="D881" s="59" t="inlineStr">
        <x:is>
          <x:t xml:space="preserve">1.3 血亲与姻亲称谓</x:t>
        </x:is>
      </x:c>
      <x:c r="E881" s="59" t="inlineStr">
        <x:is>
          <x:t xml:space="preserve">口语与私人交流</x:t>
        </x:is>
      </x:c>
      <x:c r="F881" s="59" t="inlineStr">
        <x:is>
          <x:t xml:space="preserve">家常口语</x:t>
        </x:is>
      </x:c>
      <x:c r="G881" s="58" t="inlineStr">
        <x:is>
          <x:t xml:space="preserve">无</x:t>
        </x:is>
      </x:c>
      <x:c r="H881" s="58" t="str">
        <x:f>IF(LEN(I881)&lt;15,"短",IF(LEN(I881)&lt;=45,"中","长"))</x:f>
        <x:v>中</x:v>
      </x:c>
      <x:c r="I881" s="59" t="inlineStr">
        <x:is>
          <x:t xml:space="preserve">我舅舅在乡下养蜂，一年到头也见不着几面。</x:t>
        </x:is>
      </x:c>
      <x:c r="J881" s="59" t="str">
        <x:f>I881</x:f>
        <x:v>我舅舅在乡下养蜂，一年到头也见不着几面。</x:v>
      </x:c>
      <x:c r="K881" s="58" t="inlineStr">
        <x:is>
          <x:t xml:space="preserve">无需改写</x:t>
        </x:is>
      </x:c>
      <x:c r="L881" s="59" t="inlineStr">
        <x:is>
          <x:t xml:space="preserve">舅舅</x:t>
        </x:is>
      </x:c>
      <x:c r="M881" s="59" t="inlineStr">
        <x:is>
          <x:t xml:space="preserve">母系亲属称谓，与“叔叔”不可互换</x:t>
        </x:is>
      </x:c>
      <x:c r="N881" s="59" t="inlineStr">
        <x:is>
          <x:t xml:space="preserve">我家亲戚在乡下养蜂</x:t>
        </x:is>
      </x:c>
      <x:c r="O881" s="58" t="inlineStr">
        <x:is>
          <x:t xml:space="preserve">中</x:t>
        </x:is>
      </x:c>
      <x:c r="P881" s="58" t="inlineStr">
        <x:is>
          <x:t xml:space="preserve">否</x:t>
        </x:is>
      </x:c>
      <x:c r="Q881" s="59" t="n"/>
      <x:c r="R881" s="60" t="inlineStr">
        <x:is>
          <x:t xml:space="preserve">隔离·待确认</x:t>
        </x:is>
      </x:c>
      <x:c r="S881" s="60" t="inlineStr">
        <x:is>
          <x:t xml:space="preserve"/>
        </x:is>
      </x:c>
      <x:c r="T881" s="60" t="inlineStr">
        <x:is>
          <x:t xml:space="preserve">触发词不含性别编码——判断可能依赖世界知识而非句内信息</x:t>
        </x:is>
      </x:c>
    </x:row>
    <x:row r="882" s="37" customFormat="1" ht="29.850000381469727" customHeight="1">
      <x:c r="A882" s="55" t="inlineStr">
        <x:is>
          <x:t xml:space="preserve">NEG-0881</x:t>
        </x:is>
      </x:c>
      <x:c r="B882" s="55" t="inlineStr">
        <x:is>
          <x:t xml:space="preserve">v6</x:t>
        </x:is>
      </x:c>
      <x:c r="C882" s="56" t="inlineStr">
        <x:is>
          <x:t xml:space="preserve">一、指称已知性别的具体个人</x:t>
        </x:is>
      </x:c>
      <x:c r="D882" s="56" t="inlineStr">
        <x:is>
          <x:t xml:space="preserve">1.3 血亲与姻亲称谓</x:t>
        </x:is>
      </x:c>
      <x:c r="E882" s="56" t="inlineStr">
        <x:is>
          <x:t xml:space="preserve">口语与私人交流</x:t>
        </x:is>
      </x:c>
      <x:c r="F882" s="56" t="inlineStr">
        <x:is>
          <x:t xml:space="preserve">家常口语</x:t>
        </x:is>
      </x:c>
      <x:c r="G882" s="55" t="inlineStr">
        <x:is>
          <x:t xml:space="preserve">无</x:t>
        </x:is>
      </x:c>
      <x:c r="H882" s="55" t="str">
        <x:f>IF(LEN(I882)&lt;15,"短",IF(LEN(I882)&lt;=45,"中","长"))</x:f>
        <x:v>中</x:v>
      </x:c>
      <x:c r="I882" s="56" t="inlineStr">
        <x:is>
          <x:t xml:space="preserve">我姑父是木匠，家里的家具都是他打的。</x:t>
        </x:is>
      </x:c>
      <x:c r="J882" s="56" t="str">
        <x:f>I882</x:f>
        <x:v>我姑父是木匠，家里的家具都是他打的。</x:v>
      </x:c>
      <x:c r="K882" s="55" t="inlineStr">
        <x:is>
          <x:t xml:space="preserve">无需改写</x:t>
        </x:is>
      </x:c>
      <x:c r="L882" s="56" t="inlineStr">
        <x:is>
          <x:t xml:space="preserve">姑父/他</x:t>
        </x:is>
      </x:c>
      <x:c r="M882" s="56" t="inlineStr">
        <x:is>
          <x:t xml:space="preserve">姻亲称谓，特指姑母的配偶</x:t>
        </x:is>
      </x:c>
      <x:c r="N882" s="56" t="inlineStr">
        <x:is>
          <x:t xml:space="preserve">我家长辈是木匠，家具都是他打的</x:t>
        </x:is>
      </x:c>
      <x:c r="O882" s="55" t="inlineStr">
        <x:is>
          <x:t xml:space="preserve">中</x:t>
        </x:is>
      </x:c>
      <x:c r="P882" s="55" t="inlineStr">
        <x:is>
          <x:t xml:space="preserve">否</x:t>
        </x:is>
      </x:c>
      <x:c r="Q882" s="56" t="n"/>
      <x:c r="R882" s="57" t="inlineStr">
        <x:is>
          <x:t xml:space="preserve">主集</x:t>
        </x:is>
      </x:c>
      <x:c r="S882" s="57" t="inlineStr">
        <x:is>
          <x:t xml:space="preserve">index</x:t>
        </x:is>
      </x:c>
      <x:c r="T882" s="57" t="inlineStr">
        <x:is>
          <x:t xml:space="preserve"/>
        </x:is>
      </x:c>
    </x:row>
    <x:row r="883" s="37" customFormat="1" ht="29.850000381469727" customHeight="1">
      <x:c r="A883" s="55" t="inlineStr">
        <x:is>
          <x:t xml:space="preserve">NEG-0882</x:t>
        </x:is>
      </x:c>
      <x:c r="B883" s="55" t="inlineStr">
        <x:is>
          <x:t xml:space="preserve">v6</x:t>
        </x:is>
      </x:c>
      <x:c r="C883" s="56" t="inlineStr">
        <x:is>
          <x:t xml:space="preserve">一、指称已知性别的具体个人</x:t>
        </x:is>
      </x:c>
      <x:c r="D883" s="56" t="inlineStr">
        <x:is>
          <x:t xml:space="preserve">1.3 血亲与姻亲称谓</x:t>
        </x:is>
      </x:c>
      <x:c r="E883" s="56" t="inlineStr">
        <x:is>
          <x:t xml:space="preserve">口语与私人交流</x:t>
        </x:is>
      </x:c>
      <x:c r="F883" s="56" t="inlineStr">
        <x:is>
          <x:t xml:space="preserve">生活分享</x:t>
        </x:is>
      </x:c>
      <x:c r="G883" s="55" t="inlineStr">
        <x:is>
          <x:t xml:space="preserve">无</x:t>
        </x:is>
      </x:c>
      <x:c r="H883" s="55" t="str">
        <x:f>IF(LEN(I883)&lt;15,"短",IF(LEN(I883)&lt;=45,"中","长"))</x:f>
        <x:v>中</x:v>
      </x:c>
      <x:c r="I883" s="56" t="inlineStr">
        <x:is>
          <x:t xml:space="preserve">婶婶做的酸菜，我一次能吃两碗。</x:t>
        </x:is>
      </x:c>
      <x:c r="J883" s="56" t="str">
        <x:f>I883</x:f>
        <x:v>婶婶做的酸菜，我一次能吃两碗。</x:v>
      </x:c>
      <x:c r="K883" s="55" t="inlineStr">
        <x:is>
          <x:t xml:space="preserve">无需改写</x:t>
        </x:is>
      </x:c>
      <x:c r="L883" s="56" t="inlineStr">
        <x:is>
          <x:t xml:space="preserve">婶婶</x:t>
        </x:is>
      </x:c>
      <x:c r="M883" s="56" t="inlineStr">
        <x:is>
          <x:t xml:space="preserve">父系姻亲称谓</x:t>
        </x:is>
      </x:c>
      <x:c r="N883" s="56" t="inlineStr">
        <x:is>
          <x:t xml:space="preserve">家里长辈做的酸菜，我一次能吃两碗</x:t>
        </x:is>
      </x:c>
      <x:c r="O883" s="55" t="inlineStr">
        <x:is>
          <x:t xml:space="preserve">中</x:t>
        </x:is>
      </x:c>
      <x:c r="P883" s="55" t="inlineStr">
        <x:is>
          <x:t xml:space="preserve">否</x:t>
        </x:is>
      </x:c>
      <x:c r="Q883" s="56" t="n"/>
      <x:c r="R883" s="57" t="inlineStr">
        <x:is>
          <x:t xml:space="preserve">主集</x:t>
        </x:is>
      </x:c>
      <x:c r="S883" s="57" t="inlineStr">
        <x:is>
          <x:t xml:space="preserve">index</x:t>
        </x:is>
      </x:c>
      <x:c r="T883" s="57" t="inlineStr">
        <x:is>
          <x:t xml:space="preserve"/>
        </x:is>
      </x:c>
    </x:row>
    <x:row r="884" s="37" customFormat="1" ht="29.850000381469727" customHeight="1">
      <x:c r="A884" s="58" t="inlineStr">
        <x:is>
          <x:t xml:space="preserve">NEG-0883</x:t>
        </x:is>
      </x:c>
      <x:c r="B884" s="58" t="inlineStr">
        <x:is>
          <x:t xml:space="preserve">v6</x:t>
        </x:is>
      </x:c>
      <x:c r="C884" s="59" t="inlineStr">
        <x:is>
          <x:t xml:space="preserve">一、指称已知性别的具体个人</x:t>
        </x:is>
      </x:c>
      <x:c r="D884" s="59" t="inlineStr">
        <x:is>
          <x:t xml:space="preserve">1.3 血亲与姻亲称谓</x:t>
        </x:is>
      </x:c>
      <x:c r="E884" s="59" t="inlineStr">
        <x:is>
          <x:t xml:space="preserve">口语与私人交流</x:t>
        </x:is>
      </x:c>
      <x:c r="F884" s="59" t="inlineStr">
        <x:is>
          <x:t xml:space="preserve">生活分享</x:t>
        </x:is>
      </x:c>
      <x:c r="G884" s="58" t="inlineStr">
        <x:is>
          <x:t xml:space="preserve">无</x:t>
        </x:is>
      </x:c>
      <x:c r="H884" s="58" t="str">
        <x:f>IF(LEN(I884)&lt;15,"短",IF(LEN(I884)&lt;=45,"中","长"))</x:f>
        <x:v>中</x:v>
      </x:c>
      <x:c r="I884" s="59" t="inlineStr">
        <x:is>
          <x:t xml:space="preserve">姥姥今年九十二，还能自己穿针。</x:t>
        </x:is>
      </x:c>
      <x:c r="J884" s="59" t="str">
        <x:f>I884</x:f>
        <x:v>姥姥今年九十二，还能自己穿针。</x:v>
      </x:c>
      <x:c r="K884" s="58" t="inlineStr">
        <x:is>
          <x:t xml:space="preserve">无需改写</x:t>
        </x:is>
      </x:c>
      <x:c r="L884" s="59" t="inlineStr">
        <x:is>
          <x:t xml:space="preserve">姥姥</x:t>
        </x:is>
      </x:c>
      <x:c r="M884" s="59" t="inlineStr">
        <x:is>
          <x:t xml:space="preserve">母系祖辈称谓，与“奶奶”有别</x:t>
        </x:is>
      </x:c>
      <x:c r="N884" s="59" t="inlineStr">
        <x:is>
          <x:t xml:space="preserve">家中长辈今年九十二，还能自己穿针</x:t>
        </x:is>
      </x:c>
      <x:c r="O884" s="58" t="inlineStr">
        <x:is>
          <x:t xml:space="preserve">中</x:t>
        </x:is>
      </x:c>
      <x:c r="P884" s="58" t="inlineStr">
        <x:is>
          <x:t xml:space="preserve">否</x:t>
        </x:is>
      </x:c>
      <x:c r="Q884" s="59" t="n"/>
      <x:c r="R884" s="60" t="inlineStr">
        <x:is>
          <x:t xml:space="preserve">隔离·待确认</x:t>
        </x:is>
      </x:c>
      <x:c r="S884" s="60" t="inlineStr">
        <x:is>
          <x:t xml:space="preserve"/>
        </x:is>
      </x:c>
      <x:c r="T884" s="60" t="inlineStr">
        <x:is>
          <x:t xml:space="preserve">触发词不含性别编码——判断可能依赖世界知识而非句内信息</x:t>
        </x:is>
      </x:c>
    </x:row>
    <x:row r="885" s="37" customFormat="1" ht="29.850000381469727" customHeight="1">
      <x:c r="A885" s="55" t="inlineStr">
        <x:is>
          <x:t xml:space="preserve">NEG-0884</x:t>
        </x:is>
      </x:c>
      <x:c r="B885" s="55" t="inlineStr">
        <x:is>
          <x:t xml:space="preserve">v6</x:t>
        </x:is>
      </x:c>
      <x:c r="C885" s="56" t="inlineStr">
        <x:is>
          <x:t xml:space="preserve">一、指称已知性别的具体个人</x:t>
        </x:is>
      </x:c>
      <x:c r="D885" s="56" t="inlineStr">
        <x:is>
          <x:t xml:space="preserve">1.3 血亲与姻亲称谓</x:t>
        </x:is>
      </x:c>
      <x:c r="E885" s="56" t="inlineStr">
        <x:is>
          <x:t xml:space="preserve">口语与私人交流</x:t>
        </x:is>
      </x:c>
      <x:c r="F885" s="56" t="inlineStr">
        <x:is>
          <x:t xml:space="preserve">家常口语</x:t>
        </x:is>
      </x:c>
      <x:c r="G885" s="55" t="inlineStr">
        <x:is>
          <x:t xml:space="preserve">无</x:t>
        </x:is>
      </x:c>
      <x:c r="H885" s="55" t="str">
        <x:f>IF(LEN(I885)&lt;15,"短",IF(LEN(I885)&lt;=45,"中","长"))</x:f>
        <x:v>中</x:v>
      </x:c>
      <x:c r="I885" s="56" t="inlineStr">
        <x:is>
          <x:t xml:space="preserve">丈母娘住得近，孩子多亏她帮着带。</x:t>
        </x:is>
      </x:c>
      <x:c r="J885" s="56" t="str">
        <x:f>I885</x:f>
        <x:v>丈母娘住得近，孩子多亏她帮着带。</x:v>
      </x:c>
      <x:c r="K885" s="55" t="inlineStr">
        <x:is>
          <x:t xml:space="preserve">无需改写</x:t>
        </x:is>
      </x:c>
      <x:c r="L885" s="56" t="inlineStr">
        <x:is>
          <x:t xml:space="preserve">丈母娘/她</x:t>
        </x:is>
      </x:c>
      <x:c r="M885" s="56" t="inlineStr">
        <x:is>
          <x:t xml:space="preserve">姻亲称谓，无中性对应词</x:t>
        </x:is>
      </x:c>
      <x:c r="N885" s="56" t="inlineStr">
        <x:is>
          <x:t xml:space="preserve">岳家长辈住得近，孩子多亏帮着带</x:t>
        </x:is>
      </x:c>
      <x:c r="O885" s="55" t="inlineStr">
        <x:is>
          <x:t xml:space="preserve">中</x:t>
        </x:is>
      </x:c>
      <x:c r="P885" s="55" t="inlineStr">
        <x:is>
          <x:t xml:space="preserve">否</x:t>
        </x:is>
      </x:c>
      <x:c r="Q885" s="56" t="n"/>
      <x:c r="R885" s="57" t="inlineStr">
        <x:is>
          <x:t xml:space="preserve">主集</x:t>
        </x:is>
      </x:c>
      <x:c r="S885" s="57" t="inlineStr">
        <x:is>
          <x:t xml:space="preserve">dev</x:t>
        </x:is>
      </x:c>
      <x:c r="T885" s="57" t="inlineStr">
        <x:is>
          <x:t xml:space="preserve"/>
        </x:is>
      </x:c>
    </x:row>
    <x:row r="886" s="37" customFormat="1" ht="29.850000381469727" customHeight="1">
      <x:c r="A886" s="58" t="inlineStr">
        <x:is>
          <x:t xml:space="preserve">NEG-0885</x:t>
        </x:is>
      </x:c>
      <x:c r="B886" s="58" t="inlineStr">
        <x:is>
          <x:t xml:space="preserve">v6</x:t>
        </x:is>
      </x:c>
      <x:c r="C886" s="59" t="inlineStr">
        <x:is>
          <x:t xml:space="preserve">一、指称已知性别的具体个人</x:t>
        </x:is>
      </x:c>
      <x:c r="D886" s="59" t="inlineStr">
        <x:is>
          <x:t xml:space="preserve">1.3 血亲与姻亲称谓</x:t>
        </x:is>
      </x:c>
      <x:c r="E886" s="59" t="inlineStr">
        <x:is>
          <x:t xml:space="preserve">其他</x:t>
        </x:is>
      </x:c>
      <x:c r="F886" s="59" t="inlineStr">
        <x:is>
          <x:t xml:space="preserve">家庭群</x:t>
        </x:is>
      </x:c>
      <x:c r="G886" s="58" t="inlineStr">
        <x:is>
          <x:t xml:space="preserve">emoji</x:t>
        </x:is>
      </x:c>
      <x:c r="H886" s="58" t="str">
        <x:f>IF(LEN(I886)&lt;15,"短",IF(LEN(I886)&lt;=45,"中","长"))</x:f>
        <x:v>中</x:v>
      </x:c>
      <x:c r="I886" s="59" t="inlineStr">
        <x:is>
          <x:t xml:space="preserve">我小舅子刚考上研，全家都挺高兴🎉</x:t>
        </x:is>
      </x:c>
      <x:c r="J886" s="59" t="str">
        <x:f>I886</x:f>
        <x:v>我小舅子刚考上研，全家都挺高兴🎉</x:v>
      </x:c>
      <x:c r="K886" s="58" t="inlineStr">
        <x:is>
          <x:t xml:space="preserve">无需改写</x:t>
        </x:is>
      </x:c>
      <x:c r="L886" s="59" t="inlineStr">
        <x:is>
          <x:t xml:space="preserve">小舅子</x:t>
        </x:is>
      </x:c>
      <x:c r="M886" s="59" t="inlineStr">
        <x:is>
          <x:t xml:space="preserve">姻亲称谓，特指妻子的弟弟</x:t>
        </x:is>
      </x:c>
      <x:c r="N886" s="59" t="inlineStr">
        <x:is>
          <x:t xml:space="preserve">我家亲戚刚考上研，全家都挺高兴</x:t>
        </x:is>
      </x:c>
      <x:c r="O886" s="58" t="inlineStr">
        <x:is>
          <x:t xml:space="preserve">难</x:t>
        </x:is>
      </x:c>
      <x:c r="P886" s="58" t="inlineStr">
        <x:is>
          <x:t xml:space="preserve">否</x:t>
        </x:is>
      </x:c>
      <x:c r="Q886" s="59" t="inlineStr">
        <x:is>
          <x:t xml:space="preserve">汉语姻亲称谓信息密度高，替换必然丢失关系</x:t>
        </x:is>
      </x:c>
      <x:c r="R886" s="60" t="inlineStr">
        <x:is>
          <x:t xml:space="preserve">隔离·待确认</x:t>
        </x:is>
      </x:c>
      <x:c r="S886" s="60" t="inlineStr">
        <x:is>
          <x:t xml:space="preserve"/>
        </x:is>
      </x:c>
      <x:c r="T886" s="60" t="inlineStr">
        <x:is>
          <x:t xml:space="preserve">触发词不含性别编码——判断可能依赖世界知识而非句内信息</x:t>
        </x:is>
      </x:c>
    </x:row>
    <x:row r="887" s="37" customFormat="1" ht="29.850000381469727" customHeight="1">
      <x:c r="A887" s="55" t="inlineStr">
        <x:is>
          <x:t xml:space="preserve">NEG-0886</x:t>
        </x:is>
      </x:c>
      <x:c r="B887" s="55" t="inlineStr">
        <x:is>
          <x:t xml:space="preserve">v6</x:t>
        </x:is>
      </x:c>
      <x:c r="C887" s="56" t="inlineStr">
        <x:is>
          <x:t xml:space="preserve">一、指称已知性别的具体个人</x:t>
        </x:is>
      </x:c>
      <x:c r="D887" s="56" t="inlineStr">
        <x:is>
          <x:t xml:space="preserve">1.3 血亲与姻亲称谓</x:t>
        </x:is>
      </x:c>
      <x:c r="E887" s="56" t="inlineStr">
        <x:is>
          <x:t xml:space="preserve">口语与私人交流</x:t>
        </x:is>
      </x:c>
      <x:c r="F887" s="56" t="inlineStr">
        <x:is>
          <x:t xml:space="preserve">家常口语</x:t>
        </x:is>
      </x:c>
      <x:c r="G887" s="55" t="inlineStr">
        <x:is>
          <x:t xml:space="preserve">无</x:t>
        </x:is>
      </x:c>
      <x:c r="H887" s="55" t="str">
        <x:f>IF(LEN(I887)&lt;15,"短",IF(LEN(I887)&lt;=45,"中","长"))</x:f>
        <x:v>短</x:v>
      </x:c>
      <x:c r="I887" s="56" t="inlineStr">
        <x:is>
          <x:t xml:space="preserve">大姨子把她那套房子租出去了。</x:t>
        </x:is>
      </x:c>
      <x:c r="J887" s="56" t="str">
        <x:f>I887</x:f>
        <x:v>大姨子把她那套房子租出去了。</x:v>
      </x:c>
      <x:c r="K887" s="55" t="inlineStr">
        <x:is>
          <x:t xml:space="preserve">无需改写</x:t>
        </x:is>
      </x:c>
      <x:c r="L887" s="56" t="inlineStr">
        <x:is>
          <x:t xml:space="preserve">大姨子/她</x:t>
        </x:is>
      </x:c>
      <x:c r="M887" s="56" t="inlineStr">
        <x:is>
          <x:t xml:space="preserve">姻亲称谓，特指妻子的姐姐</x:t>
        </x:is>
      </x:c>
      <x:c r="N887" s="56" t="inlineStr">
        <x:is>
          <x:t xml:space="preserve">亲戚把那套房子租出去了</x:t>
        </x:is>
      </x:c>
      <x:c r="O887" s="55" t="inlineStr">
        <x:is>
          <x:t xml:space="preserve">中</x:t>
        </x:is>
      </x:c>
      <x:c r="P887" s="55" t="inlineStr">
        <x:is>
          <x:t xml:space="preserve">否</x:t>
        </x:is>
      </x:c>
      <x:c r="Q887" s="56" t="n"/>
      <x:c r="R887" s="57" t="inlineStr">
        <x:is>
          <x:t xml:space="preserve">主集</x:t>
        </x:is>
      </x:c>
      <x:c r="S887" s="57" t="inlineStr">
        <x:is>
          <x:t xml:space="preserve">test</x:t>
        </x:is>
      </x:c>
      <x:c r="T887" s="57" t="inlineStr">
        <x:is>
          <x:t xml:space="preserve"/>
        </x:is>
      </x:c>
    </x:row>
    <x:row r="888" s="37" customFormat="1" ht="29.850000381469727" customHeight="1">
      <x:c r="A888" s="55" t="inlineStr">
        <x:is>
          <x:t xml:space="preserve">NEG-0887</x:t>
        </x:is>
      </x:c>
      <x:c r="B888" s="55" t="inlineStr">
        <x:is>
          <x:t xml:space="preserve">v6</x:t>
        </x:is>
      </x:c>
      <x:c r="C888" s="56" t="inlineStr">
        <x:is>
          <x:t xml:space="preserve">一、指称已知性别的具体个人</x:t>
        </x:is>
      </x:c>
      <x:c r="D888" s="56" t="inlineStr">
        <x:is>
          <x:t xml:space="preserve">1.3 血亲与姻亲称谓</x:t>
        </x:is>
      </x:c>
      <x:c r="E888" s="56" t="inlineStr">
        <x:is>
          <x:t xml:space="preserve">口语与私人交流</x:t>
        </x:is>
      </x:c>
      <x:c r="F888" s="56" t="inlineStr">
        <x:is>
          <x:t xml:space="preserve">家常口语</x:t>
        </x:is>
      </x:c>
      <x:c r="G888" s="55" t="inlineStr">
        <x:is>
          <x:t xml:space="preserve">无</x:t>
        </x:is>
      </x:c>
      <x:c r="H888" s="55" t="str">
        <x:f>IF(LEN(I888)&lt;15,"短",IF(LEN(I888)&lt;=45,"中","长"))</x:f>
        <x:v>短</x:v>
      </x:c>
      <x:c r="I888" s="56" t="inlineStr">
        <x:is>
          <x:t xml:space="preserve">弟媳妇是护士，值夜班比较多。</x:t>
        </x:is>
      </x:c>
      <x:c r="J888" s="56" t="str">
        <x:f>I888</x:f>
        <x:v>弟媳妇是护士，值夜班比较多。</x:v>
      </x:c>
      <x:c r="K888" s="55" t="inlineStr">
        <x:is>
          <x:t xml:space="preserve">无需改写</x:t>
        </x:is>
      </x:c>
      <x:c r="L888" s="56" t="inlineStr">
        <x:is>
          <x:t xml:space="preserve">弟媳妇</x:t>
        </x:is>
      </x:c>
      <x:c r="M888" s="56" t="inlineStr">
        <x:is>
          <x:t xml:space="preserve">姻亲称谓</x:t>
        </x:is>
      </x:c>
      <x:c r="N888" s="56" t="inlineStr">
        <x:is>
          <x:t xml:space="preserve">家里的亲属是护士，值夜班比较多</x:t>
        </x:is>
      </x:c>
      <x:c r="O888" s="55" t="inlineStr">
        <x:is>
          <x:t xml:space="preserve">中</x:t>
        </x:is>
      </x:c>
      <x:c r="P888" s="55" t="inlineStr">
        <x:is>
          <x:t xml:space="preserve">否</x:t>
        </x:is>
      </x:c>
      <x:c r="Q888" s="56" t="n"/>
      <x:c r="R888" s="57" t="inlineStr">
        <x:is>
          <x:t xml:space="preserve">主集</x:t>
        </x:is>
      </x:c>
      <x:c r="S888" s="57" t="inlineStr">
        <x:is>
          <x:t xml:space="preserve">test</x:t>
        </x:is>
      </x:c>
      <x:c r="T888" s="57" t="inlineStr">
        <x:is>
          <x:t xml:space="preserve"/>
        </x:is>
      </x:c>
    </x:row>
    <x:row r="889" s="37" customFormat="1" ht="29.850000381469727" customHeight="1">
      <x:c r="A889" s="55" t="inlineStr">
        <x:is>
          <x:t xml:space="preserve">NEG-0888</x:t>
        </x:is>
      </x:c>
      <x:c r="B889" s="55" t="inlineStr">
        <x:is>
          <x:t xml:space="preserve">v6</x:t>
        </x:is>
      </x:c>
      <x:c r="C889" s="56" t="inlineStr">
        <x:is>
          <x:t xml:space="preserve">一、指称已知性别的具体个人</x:t>
        </x:is>
      </x:c>
      <x:c r="D889" s="56" t="inlineStr">
        <x:is>
          <x:t xml:space="preserve">1.3 血亲与姻亲称谓</x:t>
        </x:is>
      </x:c>
      <x:c r="E889" s="56" t="inlineStr">
        <x:is>
          <x:t xml:space="preserve">其他</x:t>
        </x:is>
      </x:c>
      <x:c r="F889" s="56" t="inlineStr">
        <x:is>
          <x:t xml:space="preserve">家庭介绍</x:t>
        </x:is>
      </x:c>
      <x:c r="G889" s="55" t="inlineStr">
        <x:is>
          <x:t xml:space="preserve">无</x:t>
        </x:is>
      </x:c>
      <x:c r="H889" s="55" t="str">
        <x:f>IF(LEN(I889)&lt;15,"短",IF(LEN(I889)&lt;=45,"中","长"))</x:f>
        <x:v>中</x:v>
      </x:c>
      <x:c r="I889" s="56" t="inlineStr">
        <x:is>
          <x:t xml:space="preserve">这是我们家老三，我大哥的女儿。</x:t>
        </x:is>
      </x:c>
      <x:c r="J889" s="56" t="str">
        <x:f>I889</x:f>
        <x:v>这是我们家老三，我大哥的女儿。</x:v>
      </x:c>
      <x:c r="K889" s="55" t="inlineStr">
        <x:is>
          <x:t xml:space="preserve">无需改写</x:t>
        </x:is>
      </x:c>
      <x:c r="L889" s="56" t="inlineStr">
        <x:is>
          <x:t xml:space="preserve">大哥/女儿</x:t>
        </x:is>
      </x:c>
      <x:c r="M889" s="56" t="inlineStr">
        <x:is>
          <x:t xml:space="preserve">家族排行与亲属关系</x:t>
        </x:is>
      </x:c>
      <x:c r="N889" s="56" t="inlineStr">
        <x:is>
          <x:t xml:space="preserve">这是我们家老三，我兄长的孩子</x:t>
        </x:is>
      </x:c>
      <x:c r="O889" s="55" t="inlineStr">
        <x:is>
          <x:t xml:space="preserve">中</x:t>
        </x:is>
      </x:c>
      <x:c r="P889" s="55" t="inlineStr">
        <x:is>
          <x:t xml:space="preserve">否</x:t>
        </x:is>
      </x:c>
      <x:c r="Q889" s="56" t="n"/>
      <x:c r="R889" s="57" t="inlineStr">
        <x:is>
          <x:t xml:space="preserve">主集</x:t>
        </x:is>
      </x:c>
      <x:c r="S889" s="57" t="inlineStr">
        <x:is>
          <x:t xml:space="preserve">dev</x:t>
        </x:is>
      </x:c>
      <x:c r="T889" s="57" t="inlineStr">
        <x:is>
          <x:t xml:space="preserve"/>
        </x:is>
      </x:c>
    </x:row>
    <x:row r="890" s="37" customFormat="1" ht="29.850000381469727" customHeight="1">
      <x:c r="A890" s="55" t="inlineStr">
        <x:is>
          <x:t xml:space="preserve">NEG-0889</x:t>
        </x:is>
      </x:c>
      <x:c r="B890" s="55" t="inlineStr">
        <x:is>
          <x:t xml:space="preserve">v6</x:t>
        </x:is>
      </x:c>
      <x:c r="C890" s="56" t="inlineStr">
        <x:is>
          <x:t xml:space="preserve">一、指称已知性别的具体个人</x:t>
        </x:is>
      </x:c>
      <x:c r="D890" s="56" t="inlineStr">
        <x:is>
          <x:t xml:space="preserve">1.3 血亲与姻亲称谓</x:t>
        </x:is>
      </x:c>
      <x:c r="E890" s="56" t="inlineStr">
        <x:is>
          <x:t xml:space="preserve">其他</x:t>
        </x:is>
      </x:c>
      <x:c r="F890" s="56" t="inlineStr">
        <x:is>
          <x:t xml:space="preserve">口述回忆</x:t>
        </x:is>
      </x:c>
      <x:c r="G890" s="55" t="inlineStr">
        <x:is>
          <x:t xml:space="preserve">无</x:t>
        </x:is>
      </x:c>
      <x:c r="H890" s="55" t="str">
        <x:f>IF(LEN(I890)&lt;15,"短",IF(LEN(I890)&lt;=45,"中","长"))</x:f>
        <x:v>中</x:v>
      </x:c>
      <x:c r="I890" s="56" t="inlineStr">
        <x:is>
          <x:t xml:space="preserve">继父待我不薄，这一点我一直记着。</x:t>
        </x:is>
      </x:c>
      <x:c r="J890" s="56" t="str">
        <x:f>I890</x:f>
        <x:v>继父待我不薄，这一点我一直记着。</x:v>
      </x:c>
      <x:c r="K890" s="55" t="inlineStr">
        <x:is>
          <x:t xml:space="preserve">无需改写</x:t>
        </x:is>
      </x:c>
      <x:c r="L890" s="56" t="inlineStr">
        <x:is>
          <x:t xml:space="preserve">继父</x:t>
        </x:is>
      </x:c>
      <x:c r="M890" s="56" t="inlineStr">
        <x:is>
          <x:t xml:space="preserve">再婚家庭的亲属称谓</x:t>
        </x:is>
      </x:c>
      <x:c r="N890" s="56" t="inlineStr">
        <x:is>
          <x:t xml:space="preserve">长辈待我不薄，这一点我一直记着</x:t>
        </x:is>
      </x:c>
      <x:c r="O890" s="55" t="inlineStr">
        <x:is>
          <x:t xml:space="preserve">难</x:t>
        </x:is>
      </x:c>
      <x:c r="P890" s="55" t="inlineStr">
        <x:is>
          <x:t xml:space="preserve">否</x:t>
        </x:is>
      </x:c>
      <x:c r="Q890" s="56" t="n"/>
      <x:c r="R890" s="57" t="inlineStr">
        <x:is>
          <x:t xml:space="preserve">主集</x:t>
        </x:is>
      </x:c>
      <x:c r="S890" s="57" t="inlineStr">
        <x:is>
          <x:t xml:space="preserve">index</x:t>
        </x:is>
      </x:c>
      <x:c r="T890" s="57" t="inlineStr">
        <x:is>
          <x:t xml:space="preserve"/>
        </x:is>
      </x:c>
    </x:row>
    <x:row r="891" s="37" customFormat="1" ht="29.850000381469727" customHeight="1">
      <x:c r="A891" s="55" t="inlineStr">
        <x:is>
          <x:t xml:space="preserve">NEG-0890</x:t>
        </x:is>
      </x:c>
      <x:c r="B891" s="55" t="inlineStr">
        <x:is>
          <x:t xml:space="preserve">v6</x:t>
        </x:is>
      </x:c>
      <x:c r="C891" s="56" t="inlineStr">
        <x:is>
          <x:t xml:space="preserve">一、指称已知性别的具体个人</x:t>
        </x:is>
      </x:c>
      <x:c r="D891" s="56" t="inlineStr">
        <x:is>
          <x:t xml:space="preserve">1.3 血亲与姻亲称谓</x:t>
        </x:is>
      </x:c>
      <x:c r="E891" s="56" t="inlineStr">
        <x:is>
          <x:t xml:space="preserve">文艺创作与评论</x:t>
        </x:is>
      </x:c>
      <x:c r="F891" s="56" t="inlineStr">
        <x:is>
          <x:t xml:space="preserve">人物采访</x:t>
        </x:is>
      </x:c>
      <x:c r="G891" s="55" t="inlineStr">
        <x:is>
          <x:t xml:space="preserve">无</x:t>
        </x:is>
      </x:c>
      <x:c r="H891" s="55" t="str">
        <x:f>IF(LEN(I891)&lt;15,"短",IF(LEN(I891)&lt;=45,"中","长"))</x:f>
        <x:v>中</x:v>
      </x:c>
      <x:c r="I891" s="56" t="inlineStr">
        <x:is>
          <x:t xml:space="preserve">养父母把我供到大学，这份情我一辈子还不完。</x:t>
        </x:is>
      </x:c>
      <x:c r="J891" s="56" t="str">
        <x:f>I891</x:f>
        <x:v>养父母把我供到大学，这份情我一辈子还不完。</x:v>
      </x:c>
      <x:c r="K891" s="55" t="inlineStr">
        <x:is>
          <x:t xml:space="preserve">无需改写</x:t>
        </x:is>
      </x:c>
      <x:c r="L891" s="56" t="inlineStr">
        <x:is>
          <x:t xml:space="preserve">养父母</x:t>
        </x:is>
      </x:c>
      <x:c r="M891" s="56" t="inlineStr">
        <x:is>
          <x:t xml:space="preserve">收养关系的称谓</x:t>
        </x:is>
      </x:c>
      <x:c r="N891" s="56" t="inlineStr">
        <x:is>
          <x:t xml:space="preserve">家人把我供到大学，这份情我还不完</x:t>
        </x:is>
      </x:c>
      <x:c r="O891" s="55" t="inlineStr">
        <x:is>
          <x:t xml:space="preserve">中</x:t>
        </x:is>
      </x:c>
      <x:c r="P891" s="55" t="inlineStr">
        <x:is>
          <x:t xml:space="preserve">否</x:t>
        </x:is>
      </x:c>
      <x:c r="Q891" s="56" t="n"/>
      <x:c r="R891" s="57" t="inlineStr">
        <x:is>
          <x:t xml:space="preserve">主集</x:t>
        </x:is>
      </x:c>
      <x:c r="S891" s="57" t="inlineStr">
        <x:is>
          <x:t xml:space="preserve">dev</x:t>
        </x:is>
      </x:c>
      <x:c r="T891" s="57" t="inlineStr">
        <x:is>
          <x:t xml:space="preserve"/>
        </x:is>
      </x:c>
    </x:row>
    <x:row r="892" s="37" customFormat="1" ht="29.850000381469727" customHeight="1">
      <x:c r="A892" s="58" t="inlineStr">
        <x:is>
          <x:t xml:space="preserve">NEG-0891</x:t>
        </x:is>
      </x:c>
      <x:c r="B892" s="58" t="inlineStr">
        <x:is>
          <x:t xml:space="preserve">v6</x:t>
        </x:is>
      </x:c>
      <x:c r="C892" s="59" t="inlineStr">
        <x:is>
          <x:t xml:space="preserve">一、指称已知性别的具体个人</x:t>
        </x:is>
      </x:c>
      <x:c r="D892" s="59" t="inlineStr">
        <x:is>
          <x:t xml:space="preserve">1.3 血亲与姻亲称谓</x:t>
        </x:is>
      </x:c>
      <x:c r="E892" s="59" t="inlineStr">
        <x:is>
          <x:t xml:space="preserve">口语与私人交流</x:t>
        </x:is>
      </x:c>
      <x:c r="F892" s="59" t="inlineStr">
        <x:is>
          <x:t xml:space="preserve">民俗口语</x:t>
        </x:is>
      </x:c>
      <x:c r="G892" s="58" t="inlineStr">
        <x:is>
          <x:t xml:space="preserve">无</x:t>
        </x:is>
      </x:c>
      <x:c r="H892" s="58" t="str">
        <x:f>IF(LEN(I892)&lt;15,"短",IF(LEN(I892)&lt;=45,"中","长"))</x:f>
        <x:v>中</x:v>
      </x:c>
      <x:c r="I892" s="59" t="inlineStr">
        <x:is>
          <x:t xml:space="preserve">两家结成亲家以后，逢年过节都要走动。</x:t>
        </x:is>
      </x:c>
      <x:c r="J892" s="59" t="str">
        <x:f>I892</x:f>
        <x:v>两家结成亲家以后，逢年过节都要走动。</x:v>
      </x:c>
      <x:c r="K892" s="58" t="inlineStr">
        <x:is>
          <x:t xml:space="preserve">无需改写</x:t>
        </x:is>
      </x:c>
      <x:c r="L892" s="59" t="inlineStr">
        <x:is>
          <x:t xml:space="preserve">亲家</x:t>
        </x:is>
      </x:c>
      <x:c r="M892" s="59" t="inlineStr">
        <x:is>
          <x:t xml:space="preserve">姻亲关系的固定称谓</x:t>
        </x:is>
      </x:c>
      <x:c r="N892" s="59" t="inlineStr">
        <x:is>
          <x:t xml:space="preserve">两家结成亲戚以后，逢年过节都要走动</x:t>
        </x:is>
      </x:c>
      <x:c r="O892" s="58" t="inlineStr">
        <x:is>
          <x:t xml:space="preserve">中</x:t>
        </x:is>
      </x:c>
      <x:c r="P892" s="58" t="inlineStr">
        <x:is>
          <x:t xml:space="preserve">否</x:t>
        </x:is>
      </x:c>
      <x:c r="Q892" s="59" t="n"/>
      <x:c r="R892" s="60" t="inlineStr">
        <x:is>
          <x:t xml:space="preserve">隔离·待确认</x:t>
        </x:is>
      </x:c>
      <x:c r="S892" s="60" t="inlineStr">
        <x:is>
          <x:t xml:space="preserve"/>
        </x:is>
      </x:c>
      <x:c r="T892" s="60" t="inlineStr">
        <x:is>
          <x:t xml:space="preserve">触发词不含性别编码——判断可能依赖世界知识而非句内信息</x:t>
        </x:is>
      </x:c>
    </x:row>
    <x:row r="893" s="37" customFormat="1" ht="29.850000381469727" customHeight="1">
      <x:c r="A893" s="55" t="inlineStr">
        <x:is>
          <x:t xml:space="preserve">NEG-0892</x:t>
        </x:is>
      </x:c>
      <x:c r="B893" s="55" t="inlineStr">
        <x:is>
          <x:t xml:space="preserve">v6</x:t>
        </x:is>
      </x:c>
      <x:c r="C893" s="56" t="inlineStr">
        <x:is>
          <x:t xml:space="preserve">一、指称已知性别的具体个人</x:t>
        </x:is>
      </x:c>
      <x:c r="D893" s="56" t="inlineStr">
        <x:is>
          <x:t xml:space="preserve">1.3 血亲与姻亲称谓</x:t>
        </x:is>
      </x:c>
      <x:c r="E893" s="56" t="inlineStr">
        <x:is>
          <x:t xml:space="preserve">学术与调研</x:t>
        </x:is>
      </x:c>
      <x:c r="F893" s="56" t="inlineStr">
        <x:is>
          <x:t xml:space="preserve">口述历史</x:t>
        </x:is>
      </x:c>
      <x:c r="G893" s="55" t="inlineStr">
        <x:is>
          <x:t xml:space="preserve">无</x:t>
        </x:is>
      </x:c>
      <x:c r="H893" s="55" t="str">
        <x:f>IF(LEN(I893)&lt;15,"短",IF(LEN(I893)&lt;=45,"中","长"))</x:f>
        <x:v>中</x:v>
      </x:c>
      <x:c r="I893" s="56" t="inlineStr">
        <x:is>
          <x:t xml:space="preserve">他跟我是同父异母，小时候没在一块儿长大。</x:t>
        </x:is>
      </x:c>
      <x:c r="J893" s="56" t="str">
        <x:f>I893</x:f>
        <x:v>他跟我是同父异母，小时候没在一块儿长大。</x:v>
      </x:c>
      <x:c r="K893" s="55" t="inlineStr">
        <x:is>
          <x:t xml:space="preserve">无需改写</x:t>
        </x:is>
      </x:c>
      <x:c r="L893" s="56" t="inlineStr">
        <x:is>
          <x:t xml:space="preserve">同父异母</x:t>
        </x:is>
      </x:c>
      <x:c r="M893" s="56" t="inlineStr">
        <x:is>
          <x:t xml:space="preserve">血缘关系的精确表述</x:t>
        </x:is>
      </x:c>
      <x:c r="N893" s="56" t="inlineStr">
        <x:is>
          <x:t xml:space="preserve">他跟我是同一个家庭出来的</x:t>
        </x:is>
      </x:c>
      <x:c r="O893" s="55" t="inlineStr">
        <x:is>
          <x:t xml:space="preserve">难</x:t>
        </x:is>
      </x:c>
      <x:c r="P893" s="55" t="inlineStr">
        <x:is>
          <x:t xml:space="preserve">否</x:t>
        </x:is>
      </x:c>
      <x:c r="Q893" s="56" t="inlineStr">
        <x:is>
          <x:t xml:space="preserve">改写会直接说错血缘关系</x:t>
        </x:is>
      </x:c>
      <x:c r="R893" s="57" t="inlineStr">
        <x:is>
          <x:t xml:space="preserve">主集</x:t>
        </x:is>
      </x:c>
      <x:c r="S893" s="57" t="inlineStr">
        <x:is>
          <x:t xml:space="preserve">dev</x:t>
        </x:is>
      </x:c>
      <x:c r="T893" s="57" t="inlineStr">
        <x:is>
          <x:t xml:space="preserve"/>
        </x:is>
      </x:c>
    </x:row>
    <x:row r="894" s="37" customFormat="1" ht="29.850000381469727" customHeight="1">
      <x:c r="A894" s="55" t="inlineStr">
        <x:is>
          <x:t xml:space="preserve">NEG-0893</x:t>
        </x:is>
      </x:c>
      <x:c r="B894" s="55" t="inlineStr">
        <x:is>
          <x:t xml:space="preserve">v6</x:t>
        </x:is>
      </x:c>
      <x:c r="C894" s="56" t="inlineStr">
        <x:is>
          <x:t xml:space="preserve">一、指称已知性别的具体个人</x:t>
        </x:is>
      </x:c>
      <x:c r="D894" s="56" t="inlineStr">
        <x:is>
          <x:t xml:space="preserve">1.3 血亲与姻亲称谓</x:t>
        </x:is>
      </x:c>
      <x:c r="E894" s="56" t="inlineStr">
        <x:is>
          <x:t xml:space="preserve">口语与私人交流</x:t>
        </x:is>
      </x:c>
      <x:c r="F894" s="56" t="inlineStr">
        <x:is>
          <x:t xml:space="preserve">宗族口语</x:t>
        </x:is>
      </x:c>
      <x:c r="G894" s="55" t="inlineStr">
        <x:is>
          <x:t xml:space="preserve">无</x:t>
        </x:is>
      </x:c>
      <x:c r="H894" s="55" t="str">
        <x:f>IF(LEN(I894)&lt;15,"短",IF(LEN(I894)&lt;=45,"中","长"))</x:f>
        <x:v>中</x:v>
      </x:c>
      <x:c r="I894" s="56" t="inlineStr">
        <x:is>
          <x:t xml:space="preserve">族里排辈分，我得管他叫叔，其实比我小两岁。</x:t>
        </x:is>
      </x:c>
      <x:c r="J894" s="56" t="str">
        <x:f>I894</x:f>
        <x:v>族里排辈分，我得管他叫叔，其实比我小两岁。</x:v>
      </x:c>
      <x:c r="K894" s="55" t="inlineStr">
        <x:is>
          <x:t xml:space="preserve">无需改写</x:t>
        </x:is>
      </x:c>
      <x:c r="L894" s="56" t="inlineStr">
        <x:is>
          <x:t xml:space="preserve">叔</x:t>
        </x:is>
      </x:c>
      <x:c r="M894" s="56" t="inlineStr">
        <x:is>
          <x:t xml:space="preserve">宗族辈分称谓</x:t>
        </x:is>
      </x:c>
      <x:c r="N894" s="56" t="inlineStr">
        <x:is>
          <x:t xml:space="preserve">族里排辈分，我得管他叫长辈</x:t>
        </x:is>
      </x:c>
      <x:c r="O894" s="55" t="inlineStr">
        <x:is>
          <x:t xml:space="preserve">中</x:t>
        </x:is>
      </x:c>
      <x:c r="P894" s="55" t="inlineStr">
        <x:is>
          <x:t xml:space="preserve">否</x:t>
        </x:is>
      </x:c>
      <x:c r="Q894" s="56" t="n"/>
      <x:c r="R894" s="57" t="inlineStr">
        <x:is>
          <x:t xml:space="preserve">主集</x:t>
        </x:is>
      </x:c>
      <x:c r="S894" s="57" t="inlineStr">
        <x:is>
          <x:t xml:space="preserve">index</x:t>
        </x:is>
      </x:c>
      <x:c r="T894" s="57" t="inlineStr">
        <x:is>
          <x:t xml:space="preserve"/>
        </x:is>
      </x:c>
    </x:row>
    <x:row r="895" s="37" customFormat="1" ht="29.850000381469727" customHeight="1">
      <x:c r="A895" s="55" t="inlineStr">
        <x:is>
          <x:t xml:space="preserve">NEG-0894</x:t>
        </x:is>
      </x:c>
      <x:c r="B895" s="55" t="inlineStr">
        <x:is>
          <x:t xml:space="preserve">v6</x:t>
        </x:is>
      </x:c>
      <x:c r="C895" s="56" t="inlineStr">
        <x:is>
          <x:t xml:space="preserve">一、指称已知性别的具体个人</x:t>
        </x:is>
      </x:c>
      <x:c r="D895" s="56" t="inlineStr">
        <x:is>
          <x:t xml:space="preserve">1.3 血亲与姻亲称谓</x:t>
        </x:is>
      </x:c>
      <x:c r="E895" s="56" t="inlineStr">
        <x:is>
          <x:t xml:space="preserve">口语与私人交流</x:t>
        </x:is>
      </x:c>
      <x:c r="F895" s="56" t="inlineStr">
        <x:is>
          <x:t xml:space="preserve">家常口语</x:t>
        </x:is>
      </x:c>
      <x:c r="G895" s="55" t="inlineStr">
        <x:is>
          <x:t xml:space="preserve">无</x:t>
        </x:is>
      </x:c>
      <x:c r="H895" s="55" t="str">
        <x:f>IF(LEN(I895)&lt;15,"短",IF(LEN(I895)&lt;=45,"中","长"))</x:f>
        <x:v>中</x:v>
      </x:c>
      <x:c r="I895" s="56" t="inlineStr">
        <x:is>
          <x:t xml:space="preserve">外甥女考上美院那年，我姐哭了半宿。</x:t>
        </x:is>
      </x:c>
      <x:c r="J895" s="56" t="str">
        <x:f>I895</x:f>
        <x:v>外甥女考上美院那年，我姐哭了半宿。</x:v>
      </x:c>
      <x:c r="K895" s="55" t="inlineStr">
        <x:is>
          <x:t xml:space="preserve">无需改写</x:t>
        </x:is>
      </x:c>
      <x:c r="L895" s="56" t="inlineStr">
        <x:is>
          <x:t xml:space="preserve">外甥女/我姐</x:t>
        </x:is>
      </x:c>
      <x:c r="M895" s="56" t="inlineStr">
        <x:is>
          <x:t xml:space="preserve">旁系亲属称谓</x:t>
        </x:is>
      </x:c>
      <x:c r="N895" s="56" t="inlineStr">
        <x:is>
          <x:t xml:space="preserve">家里孩子考上美院那年，我姐妹哭了半宿</x:t>
        </x:is>
      </x:c>
      <x:c r="O895" s="55" t="inlineStr">
        <x:is>
          <x:t xml:space="preserve">中</x:t>
        </x:is>
      </x:c>
      <x:c r="P895" s="55" t="inlineStr">
        <x:is>
          <x:t xml:space="preserve">否</x:t>
        </x:is>
      </x:c>
      <x:c r="Q895" s="56" t="n"/>
      <x:c r="R895" s="57" t="inlineStr">
        <x:is>
          <x:t xml:space="preserve">主集</x:t>
        </x:is>
      </x:c>
      <x:c r="S895" s="57" t="inlineStr">
        <x:is>
          <x:t xml:space="preserve">index</x:t>
        </x:is>
      </x:c>
      <x:c r="T895" s="57" t="inlineStr">
        <x:is>
          <x:t xml:space="preserve"/>
        </x:is>
      </x:c>
    </x:row>
    <x:row r="896" s="37" customFormat="1" ht="29.850000381469727" customHeight="1">
      <x:c r="A896" s="55" t="inlineStr">
        <x:is>
          <x:t xml:space="preserve">NEG-0895</x:t>
        </x:is>
      </x:c>
      <x:c r="B896" s="55" t="inlineStr">
        <x:is>
          <x:t xml:space="preserve">v6</x:t>
        </x:is>
      </x:c>
      <x:c r="C896" s="56" t="inlineStr">
        <x:is>
          <x:t xml:space="preserve">一、指称已知性别的具体个人</x:t>
        </x:is>
      </x:c>
      <x:c r="D896" s="56" t="inlineStr">
        <x:is>
          <x:t xml:space="preserve">1.3 血亲与姻亲称谓</x:t>
        </x:is>
      </x:c>
      <x:c r="E896" s="56" t="inlineStr">
        <x:is>
          <x:t xml:space="preserve">医疗健康</x:t>
        </x:is>
      </x:c>
      <x:c r="F896" s="56" t="inlineStr">
        <x:is>
          <x:t xml:space="preserve">历史科普</x:t>
        </x:is>
      </x:c>
      <x:c r="G896" s="55" t="inlineStr">
        <x:is>
          <x:t xml:space="preserve">无</x:t>
        </x:is>
      </x:c>
      <x:c r="H896" s="55" t="str">
        <x:f>IF(LEN(I896)&lt;15,"短",IF(LEN(I896)&lt;=45,"中","长"))</x:f>
        <x:v>中</x:v>
      </x:c>
      <x:c r="I896" s="56" t="inlineStr">
        <x:is>
          <x:t xml:space="preserve">“公公”在旧小说里也指宦官，不只是丈夫的父亲。</x:t>
        </x:is>
      </x:c>
      <x:c r="J896" s="56" t="str">
        <x:f>I896</x:f>
        <x:v>“公公”在旧小说里也指宦官，不只是丈夫的父亲。</x:v>
      </x:c>
      <x:c r="K896" s="55" t="inlineStr">
        <x:is>
          <x:t xml:space="preserve">无需改写</x:t>
        </x:is>
      </x:c>
      <x:c r="L896" s="56" t="inlineStr">
        <x:is>
          <x:t xml:space="preserve">公公/丈夫</x:t>
        </x:is>
      </x:c>
      <x:c r="M896" s="56" t="inlineStr">
        <x:is>
          <x:t xml:space="preserve">一词多义的说明，两义都需保留</x:t>
        </x:is>
      </x:c>
      <x:c r="N896" s="56" t="inlineStr">
        <x:is>
          <x:t xml:space="preserve">这一称呼在旧小说里另有所指</x:t>
        </x:is>
      </x:c>
      <x:c r="O896" s="55" t="inlineStr">
        <x:is>
          <x:t xml:space="preserve">难</x:t>
        </x:is>
      </x:c>
      <x:c r="P896" s="55" t="inlineStr">
        <x:is>
          <x:t xml:space="preserve">否</x:t>
        </x:is>
      </x:c>
      <x:c r="Q896" s="56" t="n"/>
      <x:c r="R896" s="57" t="inlineStr">
        <x:is>
          <x:t xml:space="preserve">主集</x:t>
        </x:is>
      </x:c>
      <x:c r="S896" s="57" t="inlineStr">
        <x:is>
          <x:t xml:space="preserve">test</x:t>
        </x:is>
      </x:c>
      <x:c r="T896" s="57" t="inlineStr">
        <x:is>
          <x:t xml:space="preserve"/>
        </x:is>
      </x:c>
    </x:row>
    <x:row r="897" s="37" customFormat="1" ht="29.850000381469727" customHeight="1">
      <x:c r="A897" s="55" t="inlineStr">
        <x:is>
          <x:t xml:space="preserve">NEG-0896</x:t>
        </x:is>
      </x:c>
      <x:c r="B897" s="55" t="inlineStr">
        <x:is>
          <x:t xml:space="preserve">v6</x:t>
        </x:is>
      </x:c>
      <x:c r="C897" s="56" t="inlineStr">
        <x:is>
          <x:t xml:space="preserve">一、指称已知性别的具体个人</x:t>
        </x:is>
      </x:c>
      <x:c r="D897" s="56" t="inlineStr">
        <x:is>
          <x:t xml:space="preserve">1.4 伴侣与恋爱关系</x:t>
        </x:is>
      </x:c>
      <x:c r="E897" s="56" t="inlineStr">
        <x:is>
          <x:t xml:space="preserve">新闻报道</x:t>
        </x:is>
      </x:c>
      <x:c r="F897" s="56" t="inlineStr">
        <x:is>
          <x:t xml:space="preserve">人物特写</x:t>
        </x:is>
      </x:c>
      <x:c r="G897" s="55" t="inlineStr">
        <x:is>
          <x:t xml:space="preserve">无</x:t>
        </x:is>
      </x:c>
      <x:c r="H897" s="55" t="str">
        <x:f>IF(LEN(I897)&lt;15,"短",IF(LEN(I897)&lt;=45,"中","长"))</x:f>
        <x:v>中</x:v>
      </x:c>
      <x:c r="I897" s="56" t="inlineStr">
        <x:is>
          <x:t xml:space="preserve">老伴走了三年，他还是每天做两个人的饭。</x:t>
        </x:is>
      </x:c>
      <x:c r="J897" s="56" t="str">
        <x:f>I897</x:f>
        <x:v>老伴走了三年，他还是每天做两个人的饭。</x:v>
      </x:c>
      <x:c r="K897" s="55" t="inlineStr">
        <x:is>
          <x:t xml:space="preserve">无需改写</x:t>
        </x:is>
      </x:c>
      <x:c r="L897" s="56" t="inlineStr">
        <x:is>
          <x:t xml:space="preserve">老伴/他</x:t>
        </x:is>
      </x:c>
      <x:c r="M897" s="56" t="inlineStr">
        <x:is>
          <x:t xml:space="preserve">对具体人物的描写</x:t>
        </x:is>
      </x:c>
      <x:c r="N897" s="56" t="inlineStr">
        <x:is>
          <x:t xml:space="preserve">伴侣走了三年，他还是做两个人的饭</x:t>
        </x:is>
      </x:c>
      <x:c r="O897" s="55" t="inlineStr">
        <x:is>
          <x:t xml:space="preserve">中</x:t>
        </x:is>
      </x:c>
      <x:c r="P897" s="55" t="inlineStr">
        <x:is>
          <x:t xml:space="preserve">否</x:t>
        </x:is>
      </x:c>
      <x:c r="Q897" s="56" t="n"/>
      <x:c r="R897" s="57" t="inlineStr">
        <x:is>
          <x:t xml:space="preserve">主集</x:t>
        </x:is>
      </x:c>
      <x:c r="S897" s="57" t="inlineStr">
        <x:is>
          <x:t xml:space="preserve">test</x:t>
        </x:is>
      </x:c>
      <x:c r="T897" s="57" t="inlineStr">
        <x:is>
          <x:t xml:space="preserve"/>
        </x:is>
      </x:c>
    </x:row>
    <x:row r="898" s="37" customFormat="1" ht="29.850000381469727" customHeight="1">
      <x:c r="A898" s="58" t="inlineStr">
        <x:is>
          <x:t xml:space="preserve">NEG-0897</x:t>
        </x:is>
      </x:c>
      <x:c r="B898" s="58" t="inlineStr">
        <x:is>
          <x:t xml:space="preserve">v6</x:t>
        </x:is>
      </x:c>
      <x:c r="C898" s="59" t="inlineStr">
        <x:is>
          <x:t xml:space="preserve">一、指称已知性别的具体个人</x:t>
        </x:is>
      </x:c>
      <x:c r="D898" s="59" t="inlineStr">
        <x:is>
          <x:t xml:space="preserve">1.4 伴侣与恋爱关系</x:t>
        </x:is>
      </x:c>
      <x:c r="E898" s="59" t="inlineStr">
        <x:is>
          <x:t xml:space="preserve">口语与私人交流</x:t>
        </x:is>
      </x:c>
      <x:c r="F898" s="59" t="inlineStr">
        <x:is>
          <x:t xml:space="preserve">日常口语</x:t>
        </x:is>
      </x:c>
      <x:c r="G898" s="58" t="inlineStr">
        <x:is>
          <x:t xml:space="preserve">无</x:t>
        </x:is>
      </x:c>
      <x:c r="H898" s="58" t="str">
        <x:f>IF(LEN(I898)&lt;15,"短",IF(LEN(I898)&lt;=45,"中","长"))</x:f>
        <x:v>短</x:v>
      </x:c>
      <x:c r="I898" s="59" t="inlineStr">
        <x:is>
          <x:t xml:space="preserve">我爱人不太爱说话，但是心细。</x:t>
        </x:is>
      </x:c>
      <x:c r="J898" s="59" t="str">
        <x:f>I898</x:f>
        <x:v>我爱人不太爱说话，但是心细。</x:v>
      </x:c>
      <x:c r="K898" s="58" t="inlineStr">
        <x:is>
          <x:t xml:space="preserve">无需改写</x:t>
        </x:is>
      </x:c>
      <x:c r="L898" s="59" t="inlineStr">
        <x:is>
          <x:t xml:space="preserve">爱人</x:t>
        </x:is>
      </x:c>
      <x:c r="M898" s="59" t="inlineStr">
        <x:is>
          <x:t xml:space="preserve">大陆通用的配偶称谓</x:t>
        </x:is>
      </x:c>
      <x:c r="N898" s="59" t="inlineStr">
        <x:is>
          <x:t xml:space="preserve">我伴侣不太爱说话，但是心细</x:t>
        </x:is>
      </x:c>
      <x:c r="O898" s="58" t="inlineStr">
        <x:is>
          <x:t xml:space="preserve">中</x:t>
        </x:is>
      </x:c>
      <x:c r="P898" s="58" t="inlineStr">
        <x:is>
          <x:t xml:space="preserve">否</x:t>
        </x:is>
      </x:c>
      <x:c r="Q898" s="59" t="inlineStr">
        <x:is>
          <x:t xml:space="preserve">“爱人”本已中性，改写属无谓替换</x:t>
        </x:is>
      </x:c>
      <x:c r="R898" s="60" t="inlineStr">
        <x:is>
          <x:t xml:space="preserve">隔离·待确认</x:t>
        </x:is>
      </x:c>
      <x:c r="S898" s="60" t="inlineStr">
        <x:is>
          <x:t xml:space="preserve"/>
        </x:is>
      </x:c>
      <x:c r="T898" s="60" t="inlineStr">
        <x:is>
          <x:t xml:space="preserve">触发词不含性别编码——判断可能依赖世界知识而非句内信息</x:t>
        </x:is>
      </x:c>
    </x:row>
    <x:row r="899" s="37" customFormat="1" ht="29.850000381469727" customHeight="1">
      <x:c r="A899" s="58" t="inlineStr">
        <x:is>
          <x:t xml:space="preserve">NEG-0898</x:t>
        </x:is>
      </x:c>
      <x:c r="B899" s="58" t="inlineStr">
        <x:is>
          <x:t xml:space="preserve">v6</x:t>
        </x:is>
      </x:c>
      <x:c r="C899" s="59" t="inlineStr">
        <x:is>
          <x:t xml:space="preserve">一、指称已知性别的具体个人</x:t>
        </x:is>
      </x:c>
      <x:c r="D899" s="59" t="inlineStr">
        <x:is>
          <x:t xml:space="preserve">1.4 伴侣与恋爱关系</x:t>
        </x:is>
      </x:c>
      <x:c r="E899" s="59" t="inlineStr">
        <x:is>
          <x:t xml:space="preserve">口语与私人交流</x:t>
        </x:is>
      </x:c>
      <x:c r="F899" s="59" t="inlineStr">
        <x:is>
          <x:t xml:space="preserve">生活分享</x:t>
        </x:is>
      </x:c>
      <x:c r="G899" s="58" t="inlineStr">
        <x:is>
          <x:t xml:space="preserve">无</x:t>
        </x:is>
      </x:c>
      <x:c r="H899" s="58" t="str">
        <x:f>IF(LEN(I899)&lt;15,"短",IF(LEN(I899)&lt;=45,"中","长"))</x:f>
        <x:v>中</x:v>
      </x:c>
      <x:c r="I899" s="59" t="inlineStr">
        <x:is>
          <x:t xml:space="preserve">相亲对象是同事介绍的，见了两面就没下文了。</x:t>
        </x:is>
      </x:c>
      <x:c r="J899" s="59" t="str">
        <x:f>I899</x:f>
        <x:v>相亲对象是同事介绍的，见了两面就没下文了。</x:v>
      </x:c>
      <x:c r="K899" s="58" t="inlineStr">
        <x:is>
          <x:t xml:space="preserve">无需改写</x:t>
        </x:is>
      </x:c>
      <x:c r="L899" s="59" t="inlineStr">
        <x:is>
          <x:t xml:space="preserve">相亲对象</x:t>
        </x:is>
      </x:c>
      <x:c r="M899" s="59" t="inlineStr">
        <x:is>
          <x:t xml:space="preserve">关系性质的描述</x:t>
        </x:is>
      </x:c>
      <x:c r="N899" s="59" t="inlineStr">
        <x:is>
          <x:t xml:space="preserve">介绍认识的人见了两面就没下文了</x:t>
        </x:is>
      </x:c>
      <x:c r="O899" s="58" t="inlineStr">
        <x:is>
          <x:t xml:space="preserve">易</x:t>
        </x:is>
      </x:c>
      <x:c r="P899" s="58" t="inlineStr">
        <x:is>
          <x:t xml:space="preserve">否</x:t>
        </x:is>
      </x:c>
      <x:c r="Q899" s="59" t="n"/>
      <x:c r="R899" s="60" t="inlineStr">
        <x:is>
          <x:t xml:space="preserve">隔离·待确认</x:t>
        </x:is>
      </x:c>
      <x:c r="S899" s="60" t="inlineStr">
        <x:is>
          <x:t xml:space="preserve"/>
        </x:is>
      </x:c>
      <x:c r="T899" s="60" t="inlineStr">
        <x:is>
          <x:t xml:space="preserve">触发词不含性别编码——判断可能依赖世界知识而非句内信息</x:t>
        </x:is>
      </x:c>
    </x:row>
    <x:row r="900" s="37" customFormat="1" ht="29.850000381469727" customHeight="1">
      <x:c r="A900" s="55" t="inlineStr">
        <x:is>
          <x:t xml:space="preserve">NEG-0899</x:t>
        </x:is>
      </x:c>
      <x:c r="B900" s="55" t="inlineStr">
        <x:is>
          <x:t xml:space="preserve">v6</x:t>
        </x:is>
      </x:c>
      <x:c r="C900" s="56" t="inlineStr">
        <x:is>
          <x:t xml:space="preserve">一、指称已知性别的具体个人</x:t>
        </x:is>
      </x:c>
      <x:c r="D900" s="56" t="inlineStr">
        <x:is>
          <x:t xml:space="preserve">1.4 伴侣与恋爱关系</x:t>
        </x:is>
      </x:c>
      <x:c r="E900" s="56" t="inlineStr">
        <x:is>
          <x:t xml:space="preserve">其他</x:t>
        </x:is>
      </x:c>
      <x:c r="F900" s="56" t="inlineStr">
        <x:is>
          <x:t xml:space="preserve">语言观察</x:t>
        </x:is>
      </x:c>
      <x:c r="G900" s="55" t="inlineStr">
        <x:is>
          <x:t xml:space="preserve">无</x:t>
        </x:is>
      </x:c>
      <x:c r="H900" s="55" t="str">
        <x:f>IF(LEN(I900)&lt;15,"短",IF(LEN(I900)&lt;=45,"中","长"))</x:f>
        <x:v>中</x:v>
      </x:c>
      <x:c r="I900" s="56" t="inlineStr">
        <x:is>
          <x:t xml:space="preserve">“结发妻子”这个说法，现在基本只在书面上见得到。</x:t>
        </x:is>
      </x:c>
      <x:c r="J900" s="56" t="str">
        <x:f>I900</x:f>
        <x:v>“结发妻子”这个说法，现在基本只在书面上见得到。</x:v>
      </x:c>
      <x:c r="K900" s="55" t="inlineStr">
        <x:is>
          <x:t xml:space="preserve">无需改写</x:t>
        </x:is>
      </x:c>
      <x:c r="L900" s="56" t="inlineStr">
        <x:is>
          <x:t xml:space="preserve">结发妻子</x:t>
        </x:is>
      </x:c>
      <x:c r="M900" s="56" t="inlineStr">
        <x:is>
          <x:t xml:space="preserve">对旧称谓的语用观察</x:t>
        </x:is>
      </x:c>
      <x:c r="N900" s="56" t="inlineStr">
        <x:is>
          <x:t xml:space="preserve">这类旧式称谓现在只在书面上见得到</x:t>
        </x:is>
      </x:c>
      <x:c r="O900" s="55" t="inlineStr">
        <x:is>
          <x:t xml:space="preserve">中</x:t>
        </x:is>
      </x:c>
      <x:c r="P900" s="55" t="inlineStr">
        <x:is>
          <x:t xml:space="preserve">否</x:t>
        </x:is>
      </x:c>
      <x:c r="Q900" s="56" t="n"/>
      <x:c r="R900" s="57" t="inlineStr">
        <x:is>
          <x:t xml:space="preserve">主集</x:t>
        </x:is>
      </x:c>
      <x:c r="S900" s="57" t="inlineStr">
        <x:is>
          <x:t xml:space="preserve">test</x:t>
        </x:is>
      </x:c>
      <x:c r="T900" s="57" t="inlineStr">
        <x:is>
          <x:t xml:space="preserve"/>
        </x:is>
      </x:c>
    </x:row>
    <x:row r="901" s="37" customFormat="1" ht="29.850000381469727" customHeight="1">
      <x:c r="A901" s="55" t="inlineStr">
        <x:is>
          <x:t xml:space="preserve">NEG-0900</x:t>
        </x:is>
      </x:c>
      <x:c r="B901" s="55" t="inlineStr">
        <x:is>
          <x:t xml:space="preserve">v6</x:t>
        </x:is>
      </x:c>
      <x:c r="C901" s="56" t="inlineStr">
        <x:is>
          <x:t xml:space="preserve">一、指称已知性别的具体个人</x:t>
        </x:is>
      </x:c>
      <x:c r="D901" s="56" t="inlineStr">
        <x:is>
          <x:t xml:space="preserve">1.4 伴侣与恋爱关系</x:t>
        </x:is>
      </x:c>
      <x:c r="E901" s="56" t="inlineStr">
        <x:is>
          <x:t xml:space="preserve">新闻报道</x:t>
        </x:is>
      </x:c>
      <x:c r="F901" s="56" t="inlineStr">
        <x:is>
          <x:t xml:space="preserve">人物特写</x:t>
        </x:is>
      </x:c>
      <x:c r="G901" s="55" t="inlineStr">
        <x:is>
          <x:t xml:space="preserve">无</x:t>
        </x:is>
      </x:c>
      <x:c r="H901" s="55" t="str">
        <x:f>IF(LEN(I901)&lt;15,"短",IF(LEN(I901)&lt;=45,"中","长"))</x:f>
        <x:v>中</x:v>
      </x:c>
      <x:c r="I901" s="56" t="inlineStr">
        <x:is>
          <x:t xml:space="preserve">她初恋是高中同桌，后来去了外地。</x:t>
        </x:is>
      </x:c>
      <x:c r="J901" s="56" t="str">
        <x:f>I901</x:f>
        <x:v>她初恋是高中同桌，后来去了外地。</x:v>
      </x:c>
      <x:c r="K901" s="55" t="inlineStr">
        <x:is>
          <x:t xml:space="preserve">无需改写</x:t>
        </x:is>
      </x:c>
      <x:c r="L901" s="56" t="inlineStr">
        <x:is>
          <x:t xml:space="preserve">她/初恋</x:t>
        </x:is>
      </x:c>
      <x:c r="M901" s="56" t="inlineStr">
        <x:is>
          <x:t xml:space="preserve">对具体经历的叙述</x:t>
        </x:is>
      </x:c>
      <x:c r="N901" s="56" t="inlineStr">
        <x:is>
          <x:t xml:space="preserve">TA初恋是高中同桌，后来去了外地</x:t>
        </x:is>
      </x:c>
      <x:c r="O901" s="55" t="inlineStr">
        <x:is>
          <x:t xml:space="preserve">中</x:t>
        </x:is>
      </x:c>
      <x:c r="P901" s="55" t="inlineStr">
        <x:is>
          <x:t xml:space="preserve">否</x:t>
        </x:is>
      </x:c>
      <x:c r="Q901" s="56" t="n"/>
      <x:c r="R901" s="57" t="inlineStr">
        <x:is>
          <x:t xml:space="preserve">主集</x:t>
        </x:is>
      </x:c>
      <x:c r="S901" s="57" t="inlineStr">
        <x:is>
          <x:t xml:space="preserve">test</x:t>
        </x:is>
      </x:c>
      <x:c r="T901" s="57" t="inlineStr">
        <x:is>
          <x:t xml:space="preserve"/>
        </x:is>
      </x:c>
    </x:row>
    <x:row r="902" s="37" customFormat="1" ht="29.850000381469727" customHeight="1">
      <x:c r="A902" s="58" t="inlineStr">
        <x:is>
          <x:t xml:space="preserve">NEG-0901</x:t>
        </x:is>
      </x:c>
      <x:c r="B902" s="58" t="inlineStr">
        <x:is>
          <x:t xml:space="preserve">v6</x:t>
        </x:is>
      </x:c>
      <x:c r="C902" s="59" t="inlineStr">
        <x:is>
          <x:t xml:space="preserve">一、指称已知性别的具体个人</x:t>
        </x:is>
      </x:c>
      <x:c r="D902" s="59" t="inlineStr">
        <x:is>
          <x:t xml:space="preserve">1.4 伴侣与恋爱关系</x:t>
        </x:is>
      </x:c>
      <x:c r="E902" s="59" t="inlineStr">
        <x:is>
          <x:t xml:space="preserve">口语与私人交流</x:t>
        </x:is>
      </x:c>
      <x:c r="F902" s="59" t="inlineStr">
        <x:is>
          <x:t xml:space="preserve">邻里口语</x:t>
        </x:is>
      </x:c>
      <x:c r="G902" s="58" t="inlineStr">
        <x:is>
          <x:t xml:space="preserve">无</x:t>
        </x:is>
      </x:c>
      <x:c r="H902" s="58" t="str">
        <x:f>IF(LEN(I902)&lt;15,"短",IF(LEN(I902)&lt;=45,"中","长"))</x:f>
        <x:v>中</x:v>
      </x:c>
      <x:c r="I902" s="59" t="inlineStr">
        <x:is>
          <x:t xml:space="preserve">两个人青梅竹马，从穿开裆裤那会儿就认识。</x:t>
        </x:is>
      </x:c>
      <x:c r="J902" s="59" t="str">
        <x:f>I902</x:f>
        <x:v>两个人青梅竹马，从穿开裆裤那会儿就认识。</x:v>
      </x:c>
      <x:c r="K902" s="58" t="inlineStr">
        <x:is>
          <x:t xml:space="preserve">无需改写</x:t>
        </x:is>
      </x:c>
      <x:c r="L902" s="59" t="inlineStr">
        <x:is>
          <x:t xml:space="preserve">青梅竹马</x:t>
        </x:is>
      </x:c>
      <x:c r="M902" s="59" t="inlineStr">
        <x:is>
          <x:t xml:space="preserve">成语，指自幼相识的男女</x:t>
        </x:is>
      </x:c>
      <x:c r="N902" s="59" t="inlineStr">
        <x:is>
          <x:t xml:space="preserve">两个人自幼相识，从很小就认识</x:t>
        </x:is>
      </x:c>
      <x:c r="O902" s="58" t="inlineStr">
        <x:is>
          <x:t xml:space="preserve">中</x:t>
        </x:is>
      </x:c>
      <x:c r="P902" s="58" t="inlineStr">
        <x:is>
          <x:t xml:space="preserve">否</x:t>
        </x:is>
      </x:c>
      <x:c r="Q902" s="59" t="n"/>
      <x:c r="R902" s="60" t="inlineStr">
        <x:is>
          <x:t xml:space="preserve">隔离·待确认</x:t>
        </x:is>
      </x:c>
      <x:c r="S902" s="60" t="inlineStr">
        <x:is>
          <x:t xml:space="preserve"/>
        </x:is>
      </x:c>
      <x:c r="T902" s="60" t="inlineStr">
        <x:is>
          <x:t xml:space="preserve">触发词不含性别编码——判断可能依赖世界知识而非句内信息</x:t>
        </x:is>
      </x:c>
    </x:row>
    <x:row r="903" s="37" customFormat="1" ht="29.850000381469727" customHeight="1">
      <x:c r="A903" s="55" t="inlineStr">
        <x:is>
          <x:t xml:space="preserve">NEG-0902</x:t>
        </x:is>
      </x:c>
      <x:c r="B903" s="55" t="inlineStr">
        <x:is>
          <x:t xml:space="preserve">v6</x:t>
        </x:is>
      </x:c>
      <x:c r="C903" s="56" t="inlineStr">
        <x:is>
          <x:t xml:space="preserve">一、指称已知性别的具体个人</x:t>
        </x:is>
      </x:c>
      <x:c r="D903" s="56" t="inlineStr">
        <x:is>
          <x:t xml:space="preserve">1.4 伴侣与恋爱关系</x:t>
        </x:is>
      </x:c>
      <x:c r="E903" s="56" t="inlineStr">
        <x:is>
          <x:t xml:space="preserve">其他</x:t>
        </x:is>
      </x:c>
      <x:c r="F903" s="56" t="inlineStr">
        <x:is>
          <x:t xml:space="preserve">婚礼筹备</x:t>
        </x:is>
      </x:c>
      <x:c r="G903" s="55" t="inlineStr">
        <x:is>
          <x:t xml:space="preserve">无</x:t>
        </x:is>
      </x:c>
      <x:c r="H903" s="55" t="str">
        <x:f>IF(LEN(I903)&lt;15,"短",IF(LEN(I903)&lt;=45,"中","长"))</x:f>
        <x:v>中</x:v>
      </x:c>
      <x:c r="I903" s="56" t="inlineStr">
        <x:is>
          <x:t xml:space="preserve">未婚夫家里在张罗婚礼，她只管人到就行。</x:t>
        </x:is>
      </x:c>
      <x:c r="J903" s="56" t="str">
        <x:f>I903</x:f>
        <x:v>未婚夫家里在张罗婚礼，她只管人到就行。</x:v>
      </x:c>
      <x:c r="K903" s="55" t="inlineStr">
        <x:is>
          <x:t xml:space="preserve">无需改写</x:t>
        </x:is>
      </x:c>
      <x:c r="L903" s="56" t="inlineStr">
        <x:is>
          <x:t xml:space="preserve">未婚夫/她</x:t>
        </x:is>
      </x:c>
      <x:c r="M903" s="56" t="inlineStr">
        <x:is>
          <x:t xml:space="preserve">关系称谓与具体安排</x:t>
        </x:is>
      </x:c>
      <x:c r="N903" s="56" t="inlineStr">
        <x:is>
          <x:t xml:space="preserve">伴侣家里在张罗婚礼，TA只管人到</x:t>
        </x:is>
      </x:c>
      <x:c r="O903" s="55" t="inlineStr">
        <x:is>
          <x:t xml:space="preserve">难</x:t>
        </x:is>
      </x:c>
      <x:c r="P903" s="55" t="inlineStr">
        <x:is>
          <x:t xml:space="preserve">否</x:t>
        </x:is>
      </x:c>
      <x:c r="Q903" s="56" t="n"/>
      <x:c r="R903" s="57" t="inlineStr">
        <x:is>
          <x:t xml:space="preserve">主集</x:t>
        </x:is>
      </x:c>
      <x:c r="S903" s="57" t="inlineStr">
        <x:is>
          <x:t xml:space="preserve">test</x:t>
        </x:is>
      </x:c>
      <x:c r="T903" s="57" t="inlineStr">
        <x:is>
          <x:t xml:space="preserve"/>
        </x:is>
      </x:c>
    </x:row>
    <x:row r="904" s="37" customFormat="1" ht="29.850000381469727" customHeight="1">
      <x:c r="A904" s="55" t="inlineStr">
        <x:is>
          <x:t xml:space="preserve">NEG-0903</x:t>
        </x:is>
      </x:c>
      <x:c r="B904" s="55" t="inlineStr">
        <x:is>
          <x:t xml:space="preserve">v6</x:t>
        </x:is>
      </x:c>
      <x:c r="C904" s="56" t="inlineStr">
        <x:is>
          <x:t xml:space="preserve">一、指称已知性别的具体个人</x:t>
        </x:is>
      </x:c>
      <x:c r="D904" s="56" t="inlineStr">
        <x:is>
          <x:t xml:space="preserve">1.4 伴侣与恋爱关系</x:t>
        </x:is>
      </x:c>
      <x:c r="E904" s="56" t="inlineStr">
        <x:is>
          <x:t xml:space="preserve">新闻报道</x:t>
        </x:is>
      </x:c>
      <x:c r="F904" s="56" t="inlineStr">
        <x:is>
          <x:t xml:space="preserve">人物特写</x:t>
        </x:is>
      </x:c>
      <x:c r="G904" s="55" t="inlineStr">
        <x:is>
          <x:t xml:space="preserve">无</x:t>
        </x:is>
      </x:c>
      <x:c r="H904" s="55" t="str">
        <x:f>IF(LEN(I904)&lt;15,"短",IF(LEN(I904)&lt;=45,"中","长"))</x:f>
        <x:v>中</x:v>
      </x:c>
      <x:c r="I904" s="56" t="inlineStr">
        <x:is>
          <x:t xml:space="preserve">登记那天他俩谁都没请假，中午吃了碗面。</x:t>
        </x:is>
      </x:c>
      <x:c r="J904" s="56" t="str">
        <x:f>I904</x:f>
        <x:v>登记那天他俩谁都没请假，中午吃了碗面。</x:v>
      </x:c>
      <x:c r="K904" s="55" t="inlineStr">
        <x:is>
          <x:t xml:space="preserve">无需改写</x:t>
        </x:is>
      </x:c>
      <x:c r="L904" s="56" t="inlineStr">
        <x:is>
          <x:t xml:space="preserve">他俩</x:t>
        </x:is>
      </x:c>
      <x:c r="M904" s="56" t="inlineStr">
        <x:is>
          <x:t xml:space="preserve">对具体两人的叙述</x:t>
        </x:is>
      </x:c>
      <x:c r="N904" s="56" t="inlineStr">
        <x:is>
          <x:t xml:space="preserve">登记那天两人谁都没请假</x:t>
        </x:is>
      </x:c>
      <x:c r="O904" s="55" t="inlineStr">
        <x:is>
          <x:t xml:space="preserve">中</x:t>
        </x:is>
      </x:c>
      <x:c r="P904" s="55" t="inlineStr">
        <x:is>
          <x:t xml:space="preserve">否</x:t>
        </x:is>
      </x:c>
      <x:c r="Q904" s="56" t="n"/>
      <x:c r="R904" s="57" t="inlineStr">
        <x:is>
          <x:t xml:space="preserve">主集</x:t>
        </x:is>
      </x:c>
      <x:c r="S904" s="57" t="inlineStr">
        <x:is>
          <x:t xml:space="preserve">test</x:t>
        </x:is>
      </x:c>
      <x:c r="T904" s="57" t="inlineStr">
        <x:is>
          <x:t xml:space="preserve"/>
        </x:is>
      </x:c>
    </x:row>
    <x:row r="905" s="37" customFormat="1" ht="29.850000381469727" customHeight="1">
      <x:c r="A905" s="55" t="inlineStr">
        <x:is>
          <x:t xml:space="preserve">NEG-0904</x:t>
        </x:is>
      </x:c>
      <x:c r="B905" s="55" t="inlineStr">
        <x:is>
          <x:t xml:space="preserve">v6</x:t>
        </x:is>
      </x:c>
      <x:c r="C905" s="56" t="inlineStr">
        <x:is>
          <x:t xml:space="preserve">一、指称已知性别的具体个人</x:t>
        </x:is>
      </x:c>
      <x:c r="D905" s="56" t="inlineStr">
        <x:is>
          <x:t xml:space="preserve">1.5 社会角色中的具体个人</x:t>
        </x:is>
      </x:c>
      <x:c r="E905" s="56" t="inlineStr">
        <x:is>
          <x:t xml:space="preserve">其他</x:t>
        </x:is>
      </x:c>
      <x:c r="F905" s="56" t="inlineStr">
        <x:is>
          <x:t xml:space="preserve">寻人启事</x:t>
        </x:is>
      </x:c>
      <x:c r="G905" s="55" t="inlineStr">
        <x:is>
          <x:t xml:space="preserve">缩略</x:t>
        </x:is>
      </x:c>
      <x:c r="H905" s="55" t="str">
        <x:f>IF(LEN(I905)&lt;15,"短",IF(LEN(I905)&lt;=45,"中","长"))</x:f>
        <x:v>中</x:v>
      </x:c>
      <x:c r="I905" s="56" t="inlineStr">
        <x:is>
          <x:t xml:space="preserve">走失老人，女，约七十岁，穿深蓝色外套。</x:t>
        </x:is>
      </x:c>
      <x:c r="J905" s="56" t="str">
        <x:f>I905</x:f>
        <x:v>走失老人，女，约七十岁，穿深蓝色外套。</x:v>
      </x:c>
      <x:c r="K905" s="55" t="inlineStr">
        <x:is>
          <x:t xml:space="preserve">无需改写</x:t>
        </x:is>
      </x:c>
      <x:c r="L905" s="56" t="inlineStr">
        <x:is>
          <x:t xml:space="preserve">女</x:t>
        </x:is>
      </x:c>
      <x:c r="M905" s="56" t="inlineStr">
        <x:is>
          <x:t xml:space="preserve">寻人信息的关键识别特征</x:t>
        </x:is>
      </x:c>
      <x:c r="N905" s="56" t="inlineStr">
        <x:is>
          <x:t xml:space="preserve">走失老人，约七十岁，穿深蓝色外套</x:t>
        </x:is>
      </x:c>
      <x:c r="O905" s="55" t="inlineStr">
        <x:is>
          <x:t xml:space="preserve">易</x:t>
        </x:is>
      </x:c>
      <x:c r="P905" s="55" t="inlineStr">
        <x:is>
          <x:t xml:space="preserve">否</x:t>
        </x:is>
      </x:c>
      <x:c r="Q905" s="56" t="inlineStr">
        <x:is>
          <x:t xml:space="preserve">删去性别会直接影响寻人效果</x:t>
        </x:is>
      </x:c>
      <x:c r="R905" s="57" t="inlineStr">
        <x:is>
          <x:t xml:space="preserve">主集</x:t>
        </x:is>
      </x:c>
      <x:c r="S905" s="57" t="inlineStr">
        <x:is>
          <x:t xml:space="preserve">test</x:t>
        </x:is>
      </x:c>
      <x:c r="T905" s="57" t="inlineStr">
        <x:is>
          <x:t xml:space="preserve"/>
        </x:is>
      </x:c>
    </x:row>
    <x:row r="906" s="37" customFormat="1" ht="29.850000381469727" customHeight="1">
      <x:c r="A906" s="55" t="inlineStr">
        <x:is>
          <x:t xml:space="preserve">NEG-0905</x:t>
        </x:is>
      </x:c>
      <x:c r="B906" s="55" t="inlineStr">
        <x:is>
          <x:t xml:space="preserve">v6</x:t>
        </x:is>
      </x:c>
      <x:c r="C906" s="56" t="inlineStr">
        <x:is>
          <x:t xml:space="preserve">一、指称已知性别的具体个人</x:t>
        </x:is>
      </x:c>
      <x:c r="D906" s="56" t="inlineStr">
        <x:is>
          <x:t xml:space="preserve">1.5 社会角色中的具体个人</x:t>
        </x:is>
      </x:c>
      <x:c r="E906" s="56" t="inlineStr">
        <x:is>
          <x:t xml:space="preserve">其他</x:t>
        </x:is>
      </x:c>
      <x:c r="F906" s="56" t="inlineStr">
        <x:is>
          <x:t xml:space="preserve">献血记录</x:t>
        </x:is>
      </x:c>
      <x:c r="G906" s="55" t="inlineStr">
        <x:is>
          <x:t xml:space="preserve">结构化文本</x:t>
        </x:is>
      </x:c>
      <x:c r="H906" s="55" t="str">
        <x:f>IF(LEN(I906)&lt;15,"短",IF(LEN(I906)&lt;=45,"中","长"))</x:f>
        <x:v>中</x:v>
      </x:c>
      <x:c r="I906" s="56" t="inlineStr">
        <x:is>
          <x:t xml:space="preserve">献血者信息：男，28 岁，血型 O。</x:t>
        </x:is>
      </x:c>
      <x:c r="J906" s="56" t="str">
        <x:f>I906</x:f>
        <x:v>献血者信息：男，28 岁，血型 O。</x:v>
      </x:c>
      <x:c r="K906" s="55" t="inlineStr">
        <x:is>
          <x:t xml:space="preserve">无需改写</x:t>
        </x:is>
      </x:c>
      <x:c r="L906" s="56" t="inlineStr">
        <x:is>
          <x:t xml:space="preserve">男</x:t>
        </x:is>
      </x:c>
      <x:c r="M906" s="56" t="inlineStr">
        <x:is>
          <x:t xml:space="preserve">采供血的登记字段</x:t>
        </x:is>
      </x:c>
      <x:c r="N906" s="56" t="inlineStr">
        <x:is>
          <x:t xml:space="preserve">献血者信息：28 岁，血型 O</x:t>
        </x:is>
      </x:c>
      <x:c r="O906" s="55" t="inlineStr">
        <x:is>
          <x:t xml:space="preserve">易</x:t>
        </x:is>
      </x:c>
      <x:c r="P906" s="55" t="inlineStr">
        <x:is>
          <x:t xml:space="preserve">否</x:t>
        </x:is>
      </x:c>
      <x:c r="Q906" s="56" t="n"/>
      <x:c r="R906" s="57" t="inlineStr">
        <x:is>
          <x:t xml:space="preserve">主集</x:t>
        </x:is>
      </x:c>
      <x:c r="S906" s="57" t="inlineStr">
        <x:is>
          <x:t xml:space="preserve">dev</x:t>
        </x:is>
      </x:c>
      <x:c r="T906" s="57" t="inlineStr">
        <x:is>
          <x:t xml:space="preserve"/>
        </x:is>
      </x:c>
    </x:row>
    <x:row r="907" s="37" customFormat="1" ht="29.850000381469727" customHeight="1">
      <x:c r="A907" s="55" t="inlineStr">
        <x:is>
          <x:t xml:space="preserve">NEG-0906</x:t>
        </x:is>
      </x:c>
      <x:c r="B907" s="55" t="inlineStr">
        <x:is>
          <x:t xml:space="preserve">v6</x:t>
        </x:is>
      </x:c>
      <x:c r="C907" s="56" t="inlineStr">
        <x:is>
          <x:t xml:space="preserve">一、指称已知性别的具体个人</x:t>
        </x:is>
      </x:c>
      <x:c r="D907" s="56" t="inlineStr">
        <x:is>
          <x:t xml:space="preserve">1.5 社会角色中的具体个人</x:t>
        </x:is>
      </x:c>
      <x:c r="E907" s="56" t="inlineStr">
        <x:is>
          <x:t xml:space="preserve">其他</x:t>
        </x:is>
      </x:c>
      <x:c r="F907" s="56" t="inlineStr">
        <x:is>
          <x:t xml:space="preserve">工作交接</x:t>
        </x:is>
      </x:c>
      <x:c r="G907" s="55" t="inlineStr">
        <x:is>
          <x:t xml:space="preserve">无</x:t>
        </x:is>
      </x:c>
      <x:c r="H907" s="55" t="str">
        <x:f>IF(LEN(I907)&lt;15,"短",IF(LEN(I907)&lt;=45,"中","长"))</x:f>
        <x:v>中</x:v>
      </x:c>
      <x:c r="I907" s="56" t="inlineStr">
        <x:is>
          <x:t xml:space="preserve">这个岗位现在是一位女同事在做，交接会安排在下周。</x:t>
        </x:is>
      </x:c>
      <x:c r="J907" s="56" t="str">
        <x:f>I907</x:f>
        <x:v>这个岗位现在是一位女同事在做，交接会安排在下周。</x:v>
      </x:c>
      <x:c r="K907" s="55" t="inlineStr">
        <x:is>
          <x:t xml:space="preserve">无需改写</x:t>
        </x:is>
      </x:c>
      <x:c r="L907" s="56" t="inlineStr">
        <x:is>
          <x:t xml:space="preserve">女同事</x:t>
        </x:is>
      </x:c>
      <x:c r="M907" s="56" t="inlineStr">
        <x:is>
          <x:t xml:space="preserve">介绍具体在岗人员</x:t>
        </x:is>
      </x:c>
      <x:c r="N907" s="56" t="inlineStr">
        <x:is>
          <x:t xml:space="preserve">这个岗位现在有同事在做，交接安排在下周</x:t>
        </x:is>
      </x:c>
      <x:c r="O907" s="55" t="inlineStr">
        <x:is>
          <x:t xml:space="preserve">难</x:t>
        </x:is>
      </x:c>
      <x:c r="P907" s="55" t="inlineStr">
        <x:is>
          <x:t xml:space="preserve">否</x:t>
        </x:is>
      </x:c>
      <x:c r="Q907" s="56" t="n"/>
      <x:c r="R907" s="57" t="inlineStr">
        <x:is>
          <x:t xml:space="preserve">主集</x:t>
        </x:is>
      </x:c>
      <x:c r="S907" s="57" t="inlineStr">
        <x:is>
          <x:t xml:space="preserve">dev</x:t>
        </x:is>
      </x:c>
      <x:c r="T907" s="57" t="inlineStr">
        <x:is>
          <x:t xml:space="preserve"/>
        </x:is>
      </x:c>
    </x:row>
    <x:row r="908" s="37" customFormat="1" ht="29.850000381469727" customHeight="1">
      <x:c r="A908" s="55" t="inlineStr">
        <x:is>
          <x:t xml:space="preserve">NEG-0907</x:t>
        </x:is>
      </x:c>
      <x:c r="B908" s="55" t="inlineStr">
        <x:is>
          <x:t xml:space="preserve">v6</x:t>
        </x:is>
      </x:c>
      <x:c r="C908" s="56" t="inlineStr">
        <x:is>
          <x:t xml:space="preserve">一、指称已知性别的具体个人</x:t>
        </x:is>
      </x:c>
      <x:c r="D908" s="56" t="inlineStr">
        <x:is>
          <x:t xml:space="preserve">1.5 社会角色中的具体个人</x:t>
        </x:is>
      </x:c>
      <x:c r="E908" s="56" t="inlineStr">
        <x:is>
          <x:t xml:space="preserve">公文与规章</x:t>
        </x:is>
      </x:c>
      <x:c r="F908" s="56" t="inlineStr">
        <x:is>
          <x:t xml:space="preserve">警情通报</x:t>
        </x:is>
      </x:c>
      <x:c r="G908" s="55" t="inlineStr">
        <x:is>
          <x:t xml:space="preserve">无</x:t>
        </x:is>
      </x:c>
      <x:c r="H908" s="55" t="str">
        <x:f>IF(LEN(I908)&lt;15,"短",IF(LEN(I908)&lt;=45,"中","长"))</x:f>
        <x:v>中</x:v>
      </x:c>
      <x:c r="I908" s="56" t="inlineStr">
        <x:is>
          <x:t xml:space="preserve">嫌疑人为两男一女，目前均已被控制。</x:t>
        </x:is>
      </x:c>
      <x:c r="J908" s="56" t="str">
        <x:f>I908</x:f>
        <x:v>嫌疑人为两男一女，目前均已被控制。</x:v>
      </x:c>
      <x:c r="K908" s="55" t="inlineStr">
        <x:is>
          <x:t xml:space="preserve">无需改写</x:t>
        </x:is>
      </x:c>
      <x:c r="L908" s="56" t="inlineStr">
        <x:is>
          <x:t xml:space="preserve">两男一女</x:t>
        </x:is>
      </x:c>
      <x:c r="M908" s="56" t="inlineStr">
        <x:is>
          <x:t xml:space="preserve">通报中的嫌疑人构成</x:t>
        </x:is>
      </x:c>
      <x:c r="N908" s="56" t="inlineStr">
        <x:is>
          <x:t xml:space="preserve">嫌疑人共三名，目前均已被控制</x:t>
        </x:is>
      </x:c>
      <x:c r="O908" s="55" t="inlineStr">
        <x:is>
          <x:t xml:space="preserve">易</x:t>
        </x:is>
      </x:c>
      <x:c r="P908" s="55" t="inlineStr">
        <x:is>
          <x:t xml:space="preserve">否</x:t>
        </x:is>
      </x:c>
      <x:c r="Q908" s="56" t="n"/>
      <x:c r="R908" s="57" t="inlineStr">
        <x:is>
          <x:t xml:space="preserve">主集</x:t>
        </x:is>
      </x:c>
      <x:c r="S908" s="57" t="inlineStr">
        <x:is>
          <x:t xml:space="preserve">index</x:t>
        </x:is>
      </x:c>
      <x:c r="T908" s="57" t="inlineStr">
        <x:is>
          <x:t xml:space="preserve"/>
        </x:is>
      </x:c>
    </x:row>
    <x:row r="909" s="37" customFormat="1" ht="15" customHeight="1">
      <x:c r="A909" s="55" t="inlineStr">
        <x:is>
          <x:t xml:space="preserve">NEG-0908</x:t>
        </x:is>
      </x:c>
      <x:c r="B909" s="55" t="inlineStr">
        <x:is>
          <x:t xml:space="preserve">v6</x:t>
        </x:is>
      </x:c>
      <x:c r="C909" s="56" t="inlineStr">
        <x:is>
          <x:t xml:space="preserve">二、生理与医学必需</x:t>
        </x:is>
      </x:c>
      <x:c r="D909" s="56" t="inlineStr">
        <x:is>
          <x:t xml:space="preserve">2.1 生殖与生育</x:t>
        </x:is>
      </x:c>
      <x:c r="E909" s="56" t="inlineStr">
        <x:is>
          <x:t xml:space="preserve">公文与规章</x:t>
        </x:is>
      </x:c>
      <x:c r="F909" s="56" t="inlineStr">
        <x:is>
          <x:t xml:space="preserve">疫苗咨询</x:t>
        </x:is>
      </x:c>
      <x:c r="G909" s="55" t="inlineStr">
        <x:is>
          <x:t xml:space="preserve">无</x:t>
        </x:is>
      </x:c>
      <x:c r="H909" s="55" t="str">
        <x:f>IF(LEN(I909)&lt;15,"短",IF(LEN(I909)&lt;=45,"中","长"))</x:f>
        <x:v>中</x:v>
      </x:c>
      <x:c r="I909" s="56" t="inlineStr">
        <x:is>
          <x:t xml:space="preserve">哺乳期妈妈接种这个疫苗不用停奶。</x:t>
        </x:is>
      </x:c>
      <x:c r="J909" s="56" t="str">
        <x:f>I909</x:f>
        <x:v>哺乳期妈妈接种这个疫苗不用停奶。</x:v>
      </x:c>
      <x:c r="K909" s="55" t="inlineStr">
        <x:is>
          <x:t xml:space="preserve">无需改写</x:t>
        </x:is>
      </x:c>
      <x:c r="L909" s="56" t="inlineStr">
        <x:is>
          <x:t xml:space="preserve">哺乳期妈妈</x:t>
        </x:is>
      </x:c>
      <x:c r="M909" s="56" t="inlineStr">
        <x:is>
          <x:t xml:space="preserve">接种建议的适用人群</x:t>
        </x:is>
      </x:c>
      <x:c r="N909" s="56" t="inlineStr">
        <x:is>
          <x:t xml:space="preserve">哺乳期人群接种这个疫苗不用停奶</x:t>
        </x:is>
      </x:c>
      <x:c r="O909" s="55" t="inlineStr">
        <x:is>
          <x:t xml:space="preserve">中</x:t>
        </x:is>
      </x:c>
      <x:c r="P909" s="55" t="inlineStr">
        <x:is>
          <x:t xml:space="preserve">否</x:t>
        </x:is>
      </x:c>
      <x:c r="Q909" s="56" t="n"/>
      <x:c r="R909" s="57" t="inlineStr">
        <x:is>
          <x:t xml:space="preserve">主集</x:t>
        </x:is>
      </x:c>
      <x:c r="S909" s="57" t="inlineStr">
        <x:is>
          <x:t xml:space="preserve">test</x:t>
        </x:is>
      </x:c>
      <x:c r="T909" s="57" t="inlineStr">
        <x:is>
          <x:t xml:space="preserve"/>
        </x:is>
      </x:c>
    </x:row>
    <x:row r="910" s="37" customFormat="1" ht="15" customHeight="1">
      <x:c r="A910" s="55" t="inlineStr">
        <x:is>
          <x:t xml:space="preserve">NEG-0909</x:t>
        </x:is>
      </x:c>
      <x:c r="B910" s="55" t="inlineStr">
        <x:is>
          <x:t xml:space="preserve">v6</x:t>
        </x:is>
      </x:c>
      <x:c r="C910" s="56" t="inlineStr">
        <x:is>
          <x:t xml:space="preserve">二、生理与医学必需</x:t>
        </x:is>
      </x:c>
      <x:c r="D910" s="56" t="inlineStr">
        <x:is>
          <x:t xml:space="preserve">2.1 生殖与生育</x:t>
        </x:is>
      </x:c>
      <x:c r="E910" s="56" t="inlineStr">
        <x:is>
          <x:t xml:space="preserve">医疗健康</x:t>
        </x:is>
      </x:c>
      <x:c r="F910" s="56" t="inlineStr">
        <x:is>
          <x:t xml:space="preserve">产后医嘱</x:t>
        </x:is>
      </x:c>
      <x:c r="G910" s="55" t="inlineStr">
        <x:is>
          <x:t xml:space="preserve">无</x:t>
        </x:is>
      </x:c>
      <x:c r="H910" s="55" t="str">
        <x:f>IF(LEN(I910)&lt;15,"短",IF(LEN(I910)&lt;=45,"中","长"))</x:f>
        <x:v>中</x:v>
      </x:c>
      <x:c r="I910" s="56" t="inlineStr">
        <x:is>
          <x:t xml:space="preserve">产后 42 天要回医院做一次复查。</x:t>
        </x:is>
      </x:c>
      <x:c r="J910" s="56" t="str">
        <x:f>I910</x:f>
        <x:v>产后 42 天要回医院做一次复查。</x:v>
      </x:c>
      <x:c r="K910" s="55" t="inlineStr">
        <x:is>
          <x:t xml:space="preserve">无需改写</x:t>
        </x:is>
      </x:c>
      <x:c r="L910" s="56" t="inlineStr">
        <x:is>
          <x:t xml:space="preserve">产后</x:t>
        </x:is>
      </x:c>
      <x:c r="M910" s="56" t="inlineStr">
        <x:is>
          <x:t xml:space="preserve">产褥期随访要求</x:t>
        </x:is>
      </x:c>
      <x:c r="N910" s="56" t="inlineStr">
        <x:is>
          <x:t xml:space="preserve">术后 42 天要回医院做一次复查</x:t>
        </x:is>
      </x:c>
      <x:c r="O910" s="55" t="inlineStr">
        <x:is>
          <x:t xml:space="preserve">易</x:t>
        </x:is>
      </x:c>
      <x:c r="P910" s="55" t="inlineStr">
        <x:is>
          <x:t xml:space="preserve">否</x:t>
        </x:is>
      </x:c>
      <x:c r="Q910" s="56" t="n"/>
      <x:c r="R910" s="57" t="inlineStr">
        <x:is>
          <x:t xml:space="preserve">主集</x:t>
        </x:is>
      </x:c>
      <x:c r="S910" s="57" t="inlineStr">
        <x:is>
          <x:t xml:space="preserve">index</x:t>
        </x:is>
      </x:c>
      <x:c r="T910" s="57" t="inlineStr">
        <x:is>
          <x:t xml:space="preserve"/>
        </x:is>
      </x:c>
    </x:row>
    <x:row r="911" s="37" customFormat="1" ht="15" customHeight="1">
      <x:c r="A911" s="55" t="inlineStr">
        <x:is>
          <x:t xml:space="preserve">NEG-0910</x:t>
        </x:is>
      </x:c>
      <x:c r="B911" s="55" t="inlineStr">
        <x:is>
          <x:t xml:space="preserve">v6</x:t>
        </x:is>
      </x:c>
      <x:c r="C911" s="56" t="inlineStr">
        <x:is>
          <x:t xml:space="preserve">二、生理与医学必需</x:t>
        </x:is>
      </x:c>
      <x:c r="D911" s="56" t="inlineStr">
        <x:is>
          <x:t xml:space="preserve">2.1 生殖与生育</x:t>
        </x:is>
      </x:c>
      <x:c r="E911" s="56" t="inlineStr">
        <x:is>
          <x:t xml:space="preserve">其他</x:t>
        </x:is>
      </x:c>
      <x:c r="F911" s="56" t="inlineStr">
        <x:is>
          <x:t xml:space="preserve">生殖科</x:t>
        </x:is>
      </x:c>
      <x:c r="G911" s="55" t="inlineStr">
        <x:is>
          <x:t xml:space="preserve">无</x:t>
        </x:is>
      </x:c>
      <x:c r="H911" s="55" t="str">
        <x:f>IF(LEN(I911)&lt;15,"短",IF(LEN(I911)&lt;=45,"中","长"))</x:f>
        <x:v>中</x:v>
      </x:c>
      <x:c r="I911" s="56" t="inlineStr">
        <x:is>
          <x:t xml:space="preserve">男方精液常规异常的，建议禁欲 3 至 5 天后复查。</x:t>
        </x:is>
      </x:c>
      <x:c r="J911" s="56" t="str">
        <x:f>I911</x:f>
        <x:v>男方精液常规异常的，建议禁欲 3 至 5 天后复查。</x:v>
      </x:c>
      <x:c r="K911" s="55" t="inlineStr">
        <x:is>
          <x:t xml:space="preserve">无需改写</x:t>
        </x:is>
      </x:c>
      <x:c r="L911" s="56" t="inlineStr">
        <x:is>
          <x:t xml:space="preserve">男方/精液</x:t>
        </x:is>
      </x:c>
      <x:c r="M911" s="56" t="inlineStr">
        <x:is>
          <x:t xml:space="preserve">检查复查的操作要求</x:t>
        </x:is>
      </x:c>
      <x:c r="N911" s="56" t="inlineStr">
        <x:is>
          <x:t xml:space="preserve">复查前建议禁欲 3 至 5 天</x:t>
        </x:is>
      </x:c>
      <x:c r="O911" s="55" t="inlineStr">
        <x:is>
          <x:t xml:space="preserve">易</x:t>
        </x:is>
      </x:c>
      <x:c r="P911" s="55" t="inlineStr">
        <x:is>
          <x:t xml:space="preserve">否</x:t>
        </x:is>
      </x:c>
      <x:c r="Q911" s="56" t="n"/>
      <x:c r="R911" s="57" t="inlineStr">
        <x:is>
          <x:t xml:space="preserve">主集</x:t>
        </x:is>
      </x:c>
      <x:c r="S911" s="57" t="inlineStr">
        <x:is>
          <x:t xml:space="preserve">index</x:t>
        </x:is>
      </x:c>
      <x:c r="T911" s="57" t="inlineStr">
        <x:is>
          <x:t xml:space="preserve"/>
        </x:is>
      </x:c>
    </x:row>
    <x:row r="912" s="37" customFormat="1" ht="15" customHeight="1">
      <x:c r="A912" s="55" t="inlineStr">
        <x:is>
          <x:t xml:space="preserve">NEG-0911</x:t>
        </x:is>
      </x:c>
      <x:c r="B912" s="55" t="inlineStr">
        <x:is>
          <x:t xml:space="preserve">v6</x:t>
        </x:is>
      </x:c>
      <x:c r="C912" s="56" t="inlineStr">
        <x:is>
          <x:t xml:space="preserve">二、生理与医学必需</x:t>
        </x:is>
      </x:c>
      <x:c r="D912" s="56" t="inlineStr">
        <x:is>
          <x:t xml:space="preserve">2.1 生殖与生育</x:t>
        </x:is>
      </x:c>
      <x:c r="E912" s="56" t="inlineStr">
        <x:is>
          <x:t xml:space="preserve">口语与私人交流</x:t>
        </x:is>
      </x:c>
      <x:c r="F912" s="56" t="inlineStr">
        <x:is>
          <x:t xml:space="preserve">生活分享</x:t>
        </x:is>
      </x:c>
      <x:c r="G912" s="55" t="inlineStr">
        <x:is>
          <x:t xml:space="preserve">无</x:t>
        </x:is>
      </x:c>
      <x:c r="H912" s="55" t="str">
        <x:f>IF(LEN(I912)&lt;15,"短",IF(LEN(I912)&lt;=45,"中","长"))</x:f>
        <x:v>中</x:v>
      </x:c>
      <x:c r="I912" s="56" t="inlineStr">
        <x:is>
          <x:t xml:space="preserve">我表姐做了三次试管才成功，中间受了不少罪。</x:t>
        </x:is>
      </x:c>
      <x:c r="J912" s="56" t="str">
        <x:f>I912</x:f>
        <x:v>我表姐做了三次试管才成功，中间受了不少罪。</x:v>
      </x:c>
      <x:c r="K912" s="55" t="inlineStr">
        <x:is>
          <x:t xml:space="preserve">无需改写</x:t>
        </x:is>
      </x:c>
      <x:c r="L912" s="56" t="inlineStr">
        <x:is>
          <x:t xml:space="preserve">表姐/试管</x:t>
        </x:is>
      </x:c>
      <x:c r="M912" s="56" t="inlineStr">
        <x:is>
          <x:t xml:space="preserve">当事人经历的转述</x:t>
        </x:is>
      </x:c>
      <x:c r="N912" s="56" t="inlineStr">
        <x:is>
          <x:t xml:space="preserve">我亲戚做了三次试管才成功</x:t>
        </x:is>
      </x:c>
      <x:c r="O912" s="55" t="inlineStr">
        <x:is>
          <x:t xml:space="preserve">中</x:t>
        </x:is>
      </x:c>
      <x:c r="P912" s="55" t="inlineStr">
        <x:is>
          <x:t xml:space="preserve">否</x:t>
        </x:is>
      </x:c>
      <x:c r="Q912" s="56" t="n"/>
      <x:c r="R912" s="57" t="inlineStr">
        <x:is>
          <x:t xml:space="preserve">主集</x:t>
        </x:is>
      </x:c>
      <x:c r="S912" s="57" t="inlineStr">
        <x:is>
          <x:t xml:space="preserve">dev</x:t>
        </x:is>
      </x:c>
      <x:c r="T912" s="57" t="inlineStr">
        <x:is>
          <x:t xml:space="preserve"/>
        </x:is>
      </x:c>
    </x:row>
    <x:row r="913" s="37" customFormat="1" ht="15" customHeight="1">
      <x:c r="A913" s="55" t="inlineStr">
        <x:is>
          <x:t xml:space="preserve">NEG-0912</x:t>
        </x:is>
      </x:c>
      <x:c r="B913" s="55" t="inlineStr">
        <x:is>
          <x:t xml:space="preserve">v6</x:t>
        </x:is>
      </x:c>
      <x:c r="C913" s="56" t="inlineStr">
        <x:is>
          <x:t xml:space="preserve">二、生理与医学必需</x:t>
        </x:is>
      </x:c>
      <x:c r="D913" s="56" t="inlineStr">
        <x:is>
          <x:t xml:space="preserve">2.2 生理周期与内分泌</x:t>
        </x:is>
      </x:c>
      <x:c r="E913" s="56" t="inlineStr">
        <x:is>
          <x:t xml:space="preserve">医疗健康</x:t>
        </x:is>
      </x:c>
      <x:c r="F913" s="56" t="inlineStr">
        <x:is>
          <x:t xml:space="preserve">健康科普</x:t>
        </x:is>
      </x:c>
      <x:c r="G913" s="55" t="inlineStr">
        <x:is>
          <x:t xml:space="preserve">无</x:t>
        </x:is>
      </x:c>
      <x:c r="H913" s="55" t="str">
        <x:f>IF(LEN(I913)&lt;15,"短",IF(LEN(I913)&lt;=45,"中","长"))</x:f>
        <x:v>中</x:v>
      </x:c>
      <x:c r="I913" s="56" t="inlineStr">
        <x:is>
          <x:t xml:space="preserve">经期前后情绪波动大，跟激素水平变化有关。</x:t>
        </x:is>
      </x:c>
      <x:c r="J913" s="56" t="str">
        <x:f>I913</x:f>
        <x:v>经期前后情绪波动大，跟激素水平变化有关。</x:v>
      </x:c>
      <x:c r="K913" s="55" t="inlineStr">
        <x:is>
          <x:t xml:space="preserve">无需改写</x:t>
        </x:is>
      </x:c>
      <x:c r="L913" s="56" t="inlineStr">
        <x:is>
          <x:t xml:space="preserve">经期</x:t>
        </x:is>
      </x:c>
      <x:c r="M913" s="56" t="inlineStr">
        <x:is>
          <x:t xml:space="preserve">生理机制说明</x:t>
        </x:is>
      </x:c>
      <x:c r="N913" s="56" t="inlineStr">
        <x:is>
          <x:t xml:space="preserve">这一阶段情绪波动大，跟激素变化有关</x:t>
        </x:is>
      </x:c>
      <x:c r="O913" s="55" t="inlineStr">
        <x:is>
          <x:t xml:space="preserve">易</x:t>
        </x:is>
      </x:c>
      <x:c r="P913" s="55" t="inlineStr">
        <x:is>
          <x:t xml:space="preserve">否</x:t>
        </x:is>
      </x:c>
      <x:c r="Q913" s="56" t="n"/>
      <x:c r="R913" s="57" t="inlineStr">
        <x:is>
          <x:t xml:space="preserve">主集</x:t>
        </x:is>
      </x:c>
      <x:c r="S913" s="57" t="inlineStr">
        <x:is>
          <x:t xml:space="preserve">dev</x:t>
        </x:is>
      </x:c>
      <x:c r="T913" s="57" t="inlineStr">
        <x:is>
          <x:t xml:space="preserve"/>
        </x:is>
      </x:c>
    </x:row>
    <x:row r="914" s="37" customFormat="1" ht="15" customHeight="1">
      <x:c r="A914" s="55" t="inlineStr">
        <x:is>
          <x:t xml:space="preserve">NEG-0913</x:t>
        </x:is>
      </x:c>
      <x:c r="B914" s="55" t="inlineStr">
        <x:is>
          <x:t xml:space="preserve">v6</x:t>
        </x:is>
      </x:c>
      <x:c r="C914" s="56" t="inlineStr">
        <x:is>
          <x:t xml:space="preserve">二、生理与医学必需</x:t>
        </x:is>
      </x:c>
      <x:c r="D914" s="56" t="inlineStr">
        <x:is>
          <x:t xml:space="preserve">2.2 生理周期与内分泌</x:t>
        </x:is>
      </x:c>
      <x:c r="E914" s="56" t="inlineStr">
        <x:is>
          <x:t xml:space="preserve">其他</x:t>
        </x:is>
      </x:c>
      <x:c r="F914" s="56" t="inlineStr">
        <x:is>
          <x:t xml:space="preserve">内分泌科</x:t>
        </x:is>
      </x:c>
      <x:c r="G914" s="55" t="inlineStr">
        <x:is>
          <x:t xml:space="preserve">无</x:t>
        </x:is>
      </x:c>
      <x:c r="H914" s="55" t="str">
        <x:f>IF(LEN(I914)&lt;15,"短",IF(LEN(I914)&lt;=45,"中","长"))</x:f>
        <x:v>中</x:v>
      </x:c>
      <x:c r="I914" s="56" t="inlineStr">
        <x:is>
          <x:t xml:space="preserve">甲状腺功能异常在女性中更常见，筛查阈值也不一样。</x:t>
        </x:is>
      </x:c>
      <x:c r="J914" s="56" t="str">
        <x:f>I914</x:f>
        <x:v>甲状腺功能异常在女性中更常见，筛查阈值也不一样。</x:v>
      </x:c>
      <x:c r="K914" s="55" t="inlineStr">
        <x:is>
          <x:t xml:space="preserve">无需改写</x:t>
        </x:is>
      </x:c>
      <x:c r="L914" s="56" t="inlineStr">
        <x:is>
          <x:t xml:space="preserve">女性</x:t>
        </x:is>
      </x:c>
      <x:c r="M914" s="56" t="inlineStr">
        <x:is>
          <x:t xml:space="preserve">流行病学差异与筛查依据</x:t>
        </x:is>
      </x:c>
      <x:c r="N914" s="56" t="inlineStr">
        <x:is>
          <x:t xml:space="preserve">甲状腺功能异常的筛查阈值因人而异</x:t>
        </x:is>
      </x:c>
      <x:c r="O914" s="55" t="inlineStr">
        <x:is>
          <x:t xml:space="preserve">中</x:t>
        </x:is>
      </x:c>
      <x:c r="P914" s="55" t="inlineStr">
        <x:is>
          <x:t xml:space="preserve">否</x:t>
        </x:is>
      </x:c>
      <x:c r="Q914" s="56" t="n"/>
      <x:c r="R914" s="57" t="inlineStr">
        <x:is>
          <x:t xml:space="preserve">主集</x:t>
        </x:is>
      </x:c>
      <x:c r="S914" s="57" t="inlineStr">
        <x:is>
          <x:t xml:space="preserve">test</x:t>
        </x:is>
      </x:c>
      <x:c r="T914" s="57" t="inlineStr">
        <x:is>
          <x:t xml:space="preserve"/>
        </x:is>
      </x:c>
    </x:row>
    <x:row r="915" s="37" customFormat="1" ht="15" customHeight="1">
      <x:c r="A915" s="55" t="inlineStr">
        <x:is>
          <x:t xml:space="preserve">NEG-0914</x:t>
        </x:is>
      </x:c>
      <x:c r="B915" s="55" t="inlineStr">
        <x:is>
          <x:t xml:space="preserve">v6</x:t>
        </x:is>
      </x:c>
      <x:c r="C915" s="56" t="inlineStr">
        <x:is>
          <x:t xml:space="preserve">二、生理与医学必需</x:t>
        </x:is>
      </x:c>
      <x:c r="D915" s="56" t="inlineStr">
        <x:is>
          <x:t xml:space="preserve">2.2 生理周期与内分泌</x:t>
        </x:is>
      </x:c>
      <x:c r="E915" s="56" t="inlineStr">
        <x:is>
          <x:t xml:space="preserve">其他</x:t>
        </x:is>
      </x:c>
      <x:c r="F915" s="56" t="inlineStr">
        <x:is>
          <x:t xml:space="preserve">医学争鸣</x:t>
        </x:is>
      </x:c>
      <x:c r="G915" s="55" t="inlineStr">
        <x:is>
          <x:t xml:space="preserve">无</x:t>
        </x:is>
      </x:c>
      <x:c r="H915" s="55" t="str">
        <x:f>IF(LEN(I915)&lt;15,"短",IF(LEN(I915)&lt;=45,"中","长"))</x:f>
        <x:v>中</x:v>
      </x:c>
      <x:c r="I915" s="56" t="inlineStr">
        <x:is>
          <x:t xml:space="preserve">“男性更年期”这个说法在医学界一直存在争议。</x:t>
        </x:is>
      </x:c>
      <x:c r="J915" s="56" t="str">
        <x:f>I915</x:f>
        <x:v>“男性更年期”这个说法在医学界一直存在争议。</x:v>
      </x:c>
      <x:c r="K915" s="55" t="inlineStr">
        <x:is>
          <x:t xml:space="preserve">无需改写</x:t>
        </x:is>
      </x:c>
      <x:c r="L915" s="56" t="inlineStr">
        <x:is>
          <x:t xml:space="preserve">男性更年期</x:t>
        </x:is>
      </x:c>
      <x:c r="M915" s="56" t="inlineStr">
        <x:is>
          <x:t xml:space="preserve">术语名称，句子本身在讨论其争议</x:t>
        </x:is>
      </x:c>
      <x:c r="N915" s="56" t="inlineStr">
        <x:is>
          <x:t xml:space="preserve">这一说法在医学界一直存在争议</x:t>
        </x:is>
      </x:c>
      <x:c r="O915" s="55" t="inlineStr">
        <x:is>
          <x:t xml:space="preserve">中</x:t>
        </x:is>
      </x:c>
      <x:c r="P915" s="55" t="inlineStr">
        <x:is>
          <x:t xml:space="preserve">是</x:t>
        </x:is>
      </x:c>
      <x:c r="Q915" s="56" t="n"/>
      <x:c r="R915" s="57" t="inlineStr">
        <x:is>
          <x:t xml:space="preserve">主集</x:t>
        </x:is>
      </x:c>
      <x:c r="S915" s="57" t="inlineStr">
        <x:is>
          <x:t xml:space="preserve">index</x:t>
        </x:is>
      </x:c>
      <x:c r="T915" s="57" t="inlineStr">
        <x:is>
          <x:t xml:space="preserve"/>
        </x:is>
      </x:c>
    </x:row>
    <x:row r="916" s="37" customFormat="1" ht="15" customHeight="1">
      <x:c r="A916" s="55" t="inlineStr">
        <x:is>
          <x:t xml:space="preserve">NEG-0915</x:t>
        </x:is>
      </x:c>
      <x:c r="B916" s="55" t="inlineStr">
        <x:is>
          <x:t xml:space="preserve">v6</x:t>
        </x:is>
      </x:c>
      <x:c r="C916" s="56" t="inlineStr">
        <x:is>
          <x:t xml:space="preserve">二、生理与医学必需</x:t>
        </x:is>
      </x:c>
      <x:c r="D916" s="56" t="inlineStr">
        <x:is>
          <x:t xml:space="preserve">2.3 性别特异性器官与疾病</x:t>
        </x:is>
      </x:c>
      <x:c r="E916" s="56" t="inlineStr">
        <x:is>
          <x:t xml:space="preserve">医疗健康</x:t>
        </x:is>
      </x:c>
      <x:c r="F916" s="56" t="inlineStr">
        <x:is>
          <x:t xml:space="preserve">门诊解释</x:t>
        </x:is>
      </x:c>
      <x:c r="G916" s="55" t="inlineStr">
        <x:is>
          <x:t xml:space="preserve">无</x:t>
        </x:is>
      </x:c>
      <x:c r="H916" s="55" t="str">
        <x:f>IF(LEN(I916)&lt;15,"短",IF(LEN(I916)&lt;=45,"中","长"))</x:f>
        <x:v>中</x:v>
      </x:c>
      <x:c r="I916" s="56" t="inlineStr">
        <x:is>
          <x:t xml:space="preserve">乳腺结节 3 类以下一般随访就行，不用急着处理。</x:t>
        </x:is>
      </x:c>
      <x:c r="J916" s="56" t="str">
        <x:f>I916</x:f>
        <x:v>乳腺结节 3 类以下一般随访就行，不用急着处理。</x:v>
      </x:c>
      <x:c r="K916" s="55" t="inlineStr">
        <x:is>
          <x:t xml:space="preserve">无需改写</x:t>
        </x:is>
      </x:c>
      <x:c r="L916" s="56" t="inlineStr">
        <x:is>
          <x:t xml:space="preserve">乳腺结节</x:t>
        </x:is>
      </x:c>
      <x:c r="M916" s="56" t="inlineStr">
        <x:is>
          <x:t xml:space="preserve">疾病分类与处置建议</x:t>
        </x:is>
      </x:c>
      <x:c r="N916" s="56" t="inlineStr">
        <x:is>
          <x:t xml:space="preserve">这类结节 3 类以下一般随访就行</x:t>
        </x:is>
      </x:c>
      <x:c r="O916" s="55" t="inlineStr">
        <x:is>
          <x:t xml:space="preserve">易</x:t>
        </x:is>
      </x:c>
      <x:c r="P916" s="55" t="inlineStr">
        <x:is>
          <x:t xml:space="preserve">否</x:t>
        </x:is>
      </x:c>
      <x:c r="Q916" s="56" t="n"/>
      <x:c r="R916" s="57" t="inlineStr">
        <x:is>
          <x:t xml:space="preserve">主集</x:t>
        </x:is>
      </x:c>
      <x:c r="S916" s="57" t="inlineStr">
        <x:is>
          <x:t xml:space="preserve">test</x:t>
        </x:is>
      </x:c>
      <x:c r="T916" s="57" t="inlineStr">
        <x:is>
          <x:t xml:space="preserve"/>
        </x:is>
      </x:c>
    </x:row>
    <x:row r="917" s="37" customFormat="1" ht="15" customHeight="1">
      <x:c r="A917" s="55" t="inlineStr">
        <x:is>
          <x:t xml:space="preserve">NEG-0916</x:t>
        </x:is>
      </x:c>
      <x:c r="B917" s="55" t="inlineStr">
        <x:is>
          <x:t xml:space="preserve">v6</x:t>
        </x:is>
      </x:c>
      <x:c r="C917" s="56" t="inlineStr">
        <x:is>
          <x:t xml:space="preserve">二、生理与医学必需</x:t>
        </x:is>
      </x:c>
      <x:c r="D917" s="56" t="inlineStr">
        <x:is>
          <x:t xml:space="preserve">2.3 性别特异性器官与疾病</x:t>
        </x:is>
      </x:c>
      <x:c r="E917" s="56" t="inlineStr">
        <x:is>
          <x:t xml:space="preserve">医疗健康</x:t>
        </x:is>
      </x:c>
      <x:c r="F917" s="56" t="inlineStr">
        <x:is>
          <x:t xml:space="preserve">妇科门诊</x:t>
        </x:is>
      </x:c>
      <x:c r="G917" s="55" t="inlineStr">
        <x:is>
          <x:t xml:space="preserve">无</x:t>
        </x:is>
      </x:c>
      <x:c r="H917" s="55" t="str">
        <x:f>IF(LEN(I917)&lt;15,"短",IF(LEN(I917)&lt;=45,"中","长"))</x:f>
        <x:v>中</x:v>
      </x:c>
      <x:c r="I917" s="56" t="inlineStr">
        <x:is>
          <x:t xml:space="preserve">子宫肌瘤要不要手术，主要看大小和有没有症状。</x:t>
        </x:is>
      </x:c>
      <x:c r="J917" s="56" t="str">
        <x:f>I917</x:f>
        <x:v>子宫肌瘤要不要手术，主要看大小和有没有症状。</x:v>
      </x:c>
      <x:c r="K917" s="55" t="inlineStr">
        <x:is>
          <x:t xml:space="preserve">无需改写</x:t>
        </x:is>
      </x:c>
      <x:c r="L917" s="56" t="inlineStr">
        <x:is>
          <x:t xml:space="preserve">子宫肌瘤</x:t>
        </x:is>
      </x:c>
      <x:c r="M917" s="56" t="inlineStr">
        <x:is>
          <x:t xml:space="preserve">疾病名称与手术指征</x:t>
        </x:is>
      </x:c>
      <x:c r="N917" s="56" t="inlineStr">
        <x:is>
          <x:t xml:space="preserve">这类肌瘤要不要手术，主要看大小和症状</x:t>
        </x:is>
      </x:c>
      <x:c r="O917" s="55" t="inlineStr">
        <x:is>
          <x:t xml:space="preserve">易</x:t>
        </x:is>
      </x:c>
      <x:c r="P917" s="55" t="inlineStr">
        <x:is>
          <x:t xml:space="preserve">否</x:t>
        </x:is>
      </x:c>
      <x:c r="Q917" s="56" t="n"/>
      <x:c r="R917" s="57" t="inlineStr">
        <x:is>
          <x:t xml:space="preserve">主集</x:t>
        </x:is>
      </x:c>
      <x:c r="S917" s="57" t="inlineStr">
        <x:is>
          <x:t xml:space="preserve">index</x:t>
        </x:is>
      </x:c>
      <x:c r="T917" s="57" t="inlineStr">
        <x:is>
          <x:t xml:space="preserve"/>
        </x:is>
      </x:c>
    </x:row>
    <x:row r="918" s="37" customFormat="1" ht="29.850000381469727" customHeight="1">
      <x:c r="A918" s="55" t="inlineStr">
        <x:is>
          <x:t xml:space="preserve">NEG-0917</x:t>
        </x:is>
      </x:c>
      <x:c r="B918" s="55" t="inlineStr">
        <x:is>
          <x:t xml:space="preserve">v6</x:t>
        </x:is>
      </x:c>
      <x:c r="C918" s="56" t="inlineStr">
        <x:is>
          <x:t xml:space="preserve">二、生理与医学必需</x:t>
        </x:is>
      </x:c>
      <x:c r="D918" s="56" t="inlineStr">
        <x:is>
          <x:t xml:space="preserve">2.3 性别特异性器官与疾病</x:t>
        </x:is>
      </x:c>
      <x:c r="E918" s="56" t="inlineStr">
        <x:is>
          <x:t xml:space="preserve">医疗健康</x:t>
        </x:is>
      </x:c>
      <x:c r="F918" s="56" t="inlineStr">
        <x:is>
          <x:t xml:space="preserve">健康科普</x:t>
        </x:is>
      </x:c>
      <x:c r="G918" s="55" t="inlineStr">
        <x:is>
          <x:t xml:space="preserve">无</x:t>
        </x:is>
      </x:c>
      <x:c r="H918" s="55" t="str">
        <x:f>IF(LEN(I918)&lt;15,"短",IF(LEN(I918)&lt;=45,"中","长"))</x:f>
        <x:v>中</x:v>
      </x:c>
      <x:c r="I918" s="56" t="inlineStr">
        <x:is>
          <x:t xml:space="preserve">男性也会得骨质疏松，只是发病年龄通常晚十年左右。</x:t>
        </x:is>
      </x:c>
      <x:c r="J918" s="56" t="str">
        <x:f>I918</x:f>
        <x:v>男性也会得骨质疏松，只是发病年龄通常晚十年左右。</x:v>
      </x:c>
      <x:c r="K918" s="55" t="inlineStr">
        <x:is>
          <x:t xml:space="preserve">无需改写</x:t>
        </x:is>
      </x:c>
      <x:c r="L918" s="56" t="inlineStr">
        <x:is>
          <x:t xml:space="preserve">男性</x:t>
        </x:is>
      </x:c>
      <x:c r="M918" s="56" t="inlineStr">
        <x:is>
          <x:t xml:space="preserve">破除“骨质疏松是女性病”的常见误解</x:t>
        </x:is>
      </x:c>
      <x:c r="N918" s="56" t="inlineStr">
        <x:is>
          <x:t xml:space="preserve">骨质疏松的发病年龄因人而异</x:t>
        </x:is>
      </x:c>
      <x:c r="O918" s="55" t="inlineStr">
        <x:is>
          <x:t xml:space="preserve">难</x:t>
        </x:is>
      </x:c>
      <x:c r="P918" s="55" t="inlineStr">
        <x:is>
          <x:t xml:space="preserve">否</x:t>
        </x:is>
      </x:c>
      <x:c r="Q918" s="56" t="inlineStr">
        <x:is>
          <x:t xml:space="preserve">对称样本：删去男性即消灭一条纠偏信息</x:t>
        </x:is>
      </x:c>
      <x:c r="R918" s="57" t="inlineStr">
        <x:is>
          <x:t xml:space="preserve">主集</x:t>
        </x:is>
      </x:c>
      <x:c r="S918" s="57" t="inlineStr">
        <x:is>
          <x:t xml:space="preserve">index</x:t>
        </x:is>
      </x:c>
      <x:c r="T918" s="57" t="inlineStr">
        <x:is>
          <x:t xml:space="preserve"/>
        </x:is>
      </x:c>
    </x:row>
    <x:row r="919" s="37" customFormat="1" ht="15" customHeight="1">
      <x:c r="A919" s="55" t="inlineStr">
        <x:is>
          <x:t xml:space="preserve">NEG-0918</x:t>
        </x:is>
      </x:c>
      <x:c r="B919" s="55" t="inlineStr">
        <x:is>
          <x:t xml:space="preserve">v6</x:t>
        </x:is>
      </x:c>
      <x:c r="C919" s="56" t="inlineStr">
        <x:is>
          <x:t xml:space="preserve">二、生理与医学必需</x:t>
        </x:is>
      </x:c>
      <x:c r="D919" s="56" t="inlineStr">
        <x:is>
          <x:t xml:space="preserve">2.3 性别特异性器官与疾病</x:t>
        </x:is>
      </x:c>
      <x:c r="E919" s="56" t="inlineStr">
        <x:is>
          <x:t xml:space="preserve">医疗健康</x:t>
        </x:is>
      </x:c>
      <x:c r="F919" s="56" t="inlineStr">
        <x:is>
          <x:t xml:space="preserve">泌尿科科普</x:t>
        </x:is>
      </x:c>
      <x:c r="G919" s="55" t="inlineStr">
        <x:is>
          <x:t xml:space="preserve">无</x:t>
        </x:is>
      </x:c>
      <x:c r="H919" s="55" t="str">
        <x:f>IF(LEN(I919)&lt;15,"短",IF(LEN(I919)&lt;=45,"中","长"))</x:f>
        <x:v>中</x:v>
      </x:c>
      <x:c r="I919" s="56" t="inlineStr">
        <x:is>
          <x:t xml:space="preserve">尿路感染在女性中更高发，与尿道解剖结构有关。</x:t>
        </x:is>
      </x:c>
      <x:c r="J919" s="56" t="str">
        <x:f>I919</x:f>
        <x:v>尿路感染在女性中更高发，与尿道解剖结构有关。</x:v>
      </x:c>
      <x:c r="K919" s="55" t="inlineStr">
        <x:is>
          <x:t xml:space="preserve">无需改写</x:t>
        </x:is>
      </x:c>
      <x:c r="L919" s="56" t="inlineStr">
        <x:is>
          <x:t xml:space="preserve">女性</x:t>
        </x:is>
      </x:c>
      <x:c r="M919" s="56" t="inlineStr">
        <x:is>
          <x:t xml:space="preserve">发病率差异及其解剖学原因</x:t>
        </x:is>
      </x:c>
      <x:c r="N919" s="56" t="inlineStr">
        <x:is>
          <x:t xml:space="preserve">尿路感染的发病率与解剖结构有关</x:t>
        </x:is>
      </x:c>
      <x:c r="O919" s="55" t="inlineStr">
        <x:is>
          <x:t xml:space="preserve">中</x:t>
        </x:is>
      </x:c>
      <x:c r="P919" s="55" t="inlineStr">
        <x:is>
          <x:t xml:space="preserve">否</x:t>
        </x:is>
      </x:c>
      <x:c r="Q919" s="56" t="n"/>
      <x:c r="R919" s="57" t="inlineStr">
        <x:is>
          <x:t xml:space="preserve">主集</x:t>
        </x:is>
      </x:c>
      <x:c r="S919" s="57" t="inlineStr">
        <x:is>
          <x:t xml:space="preserve">index</x:t>
        </x:is>
      </x:c>
      <x:c r="T919" s="57" t="inlineStr">
        <x:is>
          <x:t xml:space="preserve"/>
        </x:is>
      </x:c>
    </x:row>
    <x:row r="920" s="37" customFormat="1" ht="15" customHeight="1">
      <x:c r="A920" s="55" t="inlineStr">
        <x:is>
          <x:t xml:space="preserve">NEG-0919</x:t>
        </x:is>
      </x:c>
      <x:c r="B920" s="55" t="inlineStr">
        <x:is>
          <x:t xml:space="preserve">v6</x:t>
        </x:is>
      </x:c>
      <x:c r="C920" s="56" t="inlineStr">
        <x:is>
          <x:t xml:space="preserve">二、生理与医学必需</x:t>
        </x:is>
      </x:c>
      <x:c r="D920" s="56" t="inlineStr">
        <x:is>
          <x:t xml:space="preserve">2.4 药理与诊疗差异</x:t>
        </x:is>
      </x:c>
      <x:c r="E920" s="56" t="inlineStr">
        <x:is>
          <x:t xml:space="preserve">公文与规章</x:t>
        </x:is>
      </x:c>
      <x:c r="F920" s="56" t="inlineStr">
        <x:is>
          <x:t xml:space="preserve">用药交代</x:t>
        </x:is>
      </x:c>
      <x:c r="G920" s="55" t="inlineStr">
        <x:is>
          <x:t xml:space="preserve">无</x:t>
        </x:is>
      </x:c>
      <x:c r="H920" s="55" t="str">
        <x:f>IF(LEN(I920)&lt;15,"短",IF(LEN(I920)&lt;=45,"中","长"))</x:f>
        <x:v>中</x:v>
      </x:c>
      <x:c r="I920" s="56" t="inlineStr">
        <x:is>
          <x:t xml:space="preserve">这个药孕妇禁用，哺乳期需要权衡利弊。</x:t>
        </x:is>
      </x:c>
      <x:c r="J920" s="56" t="str">
        <x:f>I920</x:f>
        <x:v>这个药孕妇禁用，哺乳期需要权衡利弊。</x:v>
      </x:c>
      <x:c r="K920" s="55" t="inlineStr">
        <x:is>
          <x:t xml:space="preserve">无需改写</x:t>
        </x:is>
      </x:c>
      <x:c r="L920" s="56" t="inlineStr">
        <x:is>
          <x:t xml:space="preserve">孕妇/哺乳期</x:t>
        </x:is>
      </x:c>
      <x:c r="M920" s="56" t="inlineStr">
        <x:is>
          <x:t xml:space="preserve">用药禁忌分级</x:t>
        </x:is>
      </x:c>
      <x:c r="N920" s="56" t="inlineStr">
        <x:is>
          <x:t xml:space="preserve">这个药特殊时期禁用，其他情况权衡利弊</x:t>
        </x:is>
      </x:c>
      <x:c r="O920" s="55" t="inlineStr">
        <x:is>
          <x:t xml:space="preserve">易</x:t>
        </x:is>
      </x:c>
      <x:c r="P920" s="55" t="inlineStr">
        <x:is>
          <x:t xml:space="preserve">否</x:t>
        </x:is>
      </x:c>
      <x:c r="Q920" s="56" t="n"/>
      <x:c r="R920" s="57" t="inlineStr">
        <x:is>
          <x:t xml:space="preserve">主集</x:t>
        </x:is>
      </x:c>
      <x:c r="S920" s="57" t="inlineStr">
        <x:is>
          <x:t xml:space="preserve">index</x:t>
        </x:is>
      </x:c>
      <x:c r="T920" s="57" t="inlineStr">
        <x:is>
          <x:t xml:space="preserve"/>
        </x:is>
      </x:c>
    </x:row>
    <x:row r="921" s="37" customFormat="1" ht="15" customHeight="1">
      <x:c r="A921" s="55" t="inlineStr">
        <x:is>
          <x:t xml:space="preserve">NEG-0920</x:t>
        </x:is>
      </x:c>
      <x:c r="B921" s="55" t="inlineStr">
        <x:is>
          <x:t xml:space="preserve">v6</x:t>
        </x:is>
      </x:c>
      <x:c r="C921" s="56" t="inlineStr">
        <x:is>
          <x:t xml:space="preserve">二、生理与医学必需</x:t>
        </x:is>
      </x:c>
      <x:c r="D921" s="56" t="inlineStr">
        <x:is>
          <x:t xml:space="preserve">2.4 药理与诊疗差异</x:t>
        </x:is>
      </x:c>
      <x:c r="E921" s="56" t="inlineStr">
        <x:is>
          <x:t xml:space="preserve">其他</x:t>
        </x:is>
      </x:c>
      <x:c r="F921" s="56" t="inlineStr">
        <x:is>
          <x:t xml:space="preserve">急诊科</x:t>
        </x:is>
      </x:c>
      <x:c r="G921" s="55" t="inlineStr">
        <x:is>
          <x:t xml:space="preserve">无</x:t>
        </x:is>
      </x:c>
      <x:c r="H921" s="55" t="str">
        <x:f>IF(LEN(I921)&lt;15,"短",IF(LEN(I921)&lt;=45,"中","长"))</x:f>
        <x:v>中</x:v>
      </x:c>
      <x:c r="I921" s="56" t="inlineStr">
        <x:is>
          <x:t xml:space="preserve">女性血容量相对小，同等失血量下休克来得更快。</x:t>
        </x:is>
      </x:c>
      <x:c r="J921" s="56" t="str">
        <x:f>I921</x:f>
        <x:v>女性血容量相对小，同等失血量下休克来得更快。</x:v>
      </x:c>
      <x:c r="K921" s="55" t="inlineStr">
        <x:is>
          <x:t xml:space="preserve">无需改写</x:t>
        </x:is>
      </x:c>
      <x:c r="L921" s="56" t="inlineStr">
        <x:is>
          <x:t xml:space="preserve">女性</x:t>
        </x:is>
      </x:c>
      <x:c r="M921" s="56" t="inlineStr">
        <x:is>
          <x:t xml:space="preserve">临床判断依据</x:t>
        </x:is>
      </x:c>
      <x:c r="N921" s="56" t="inlineStr">
        <x:is>
          <x:t xml:space="preserve">血容量小的患者，同等失血量下休克更快</x:t>
        </x:is>
      </x:c>
      <x:c r="O921" s="55" t="inlineStr">
        <x:is>
          <x:t xml:space="preserve">中</x:t>
        </x:is>
      </x:c>
      <x:c r="P921" s="55" t="inlineStr">
        <x:is>
          <x:t xml:space="preserve">否</x:t>
        </x:is>
      </x:c>
      <x:c r="Q921" s="56" t="n"/>
      <x:c r="R921" s="57" t="inlineStr">
        <x:is>
          <x:t xml:space="preserve">主集</x:t>
        </x:is>
      </x:c>
      <x:c r="S921" s="57" t="inlineStr">
        <x:is>
          <x:t xml:space="preserve">dev</x:t>
        </x:is>
      </x:c>
      <x:c r="T921" s="57" t="inlineStr">
        <x:is>
          <x:t xml:space="preserve"/>
        </x:is>
      </x:c>
    </x:row>
    <x:row r="922" s="37" customFormat="1" ht="29.850000381469727" customHeight="1">
      <x:c r="A922" s="55" t="inlineStr">
        <x:is>
          <x:t xml:space="preserve">NEG-0921</x:t>
        </x:is>
      </x:c>
      <x:c r="B922" s="55" t="inlineStr">
        <x:is>
          <x:t xml:space="preserve">v6</x:t>
        </x:is>
      </x:c>
      <x:c r="C922" s="56" t="inlineStr">
        <x:is>
          <x:t xml:space="preserve">二、生理与医学必需</x:t>
        </x:is>
      </x:c>
      <x:c r="D922" s="56" t="inlineStr">
        <x:is>
          <x:t xml:space="preserve">2.4 药理与诊疗差异</x:t>
        </x:is>
      </x:c>
      <x:c r="E922" s="56" t="inlineStr">
        <x:is>
          <x:t xml:space="preserve">其他</x:t>
        </x:is>
      </x:c>
      <x:c r="F922" s="56" t="inlineStr">
        <x:is>
          <x:t xml:space="preserve">儿科用药</x:t>
        </x:is>
      </x:c>
      <x:c r="G922" s="55" t="inlineStr">
        <x:is>
          <x:t xml:space="preserve">无</x:t>
        </x:is>
      </x:c>
      <x:c r="H922" s="55" t="str">
        <x:f>IF(LEN(I922)&lt;15,"短",IF(LEN(I922)&lt;=45,"中","长"))</x:f>
        <x:v>中</x:v>
      </x:c>
      <x:c r="I922" s="56" t="inlineStr">
        <x:is>
          <x:t xml:space="preserve">这类药的给药剂量按体重计算，与性别无关。</x:t>
        </x:is>
      </x:c>
      <x:c r="J922" s="56" t="str">
        <x:f>I922</x:f>
        <x:v>这类药的给药剂量按体重计算，与性别无关。</x:v>
      </x:c>
      <x:c r="K922" s="55" t="inlineStr">
        <x:is>
          <x:t xml:space="preserve">无需改写</x:t>
        </x:is>
      </x:c>
      <x:c r="L922" s="56" t="inlineStr">
        <x:is>
          <x:t xml:space="preserve">性别</x:t>
        </x:is>
      </x:c>
      <x:c r="M922" s="56" t="inlineStr">
        <x:is>
          <x:t xml:space="preserve">剂量依据的说明，句子本身在排除性别</x:t>
        </x:is>
      </x:c>
      <x:c r="N922" s="56" t="inlineStr">
        <x:is>
          <x:t xml:space="preserve">这类药的给药剂量按体重计算</x:t>
        </x:is>
      </x:c>
      <x:c r="O922" s="55" t="inlineStr">
        <x:is>
          <x:t xml:space="preserve">中</x:t>
        </x:is>
      </x:c>
      <x:c r="P922" s="55" t="inlineStr">
        <x:is>
          <x:t xml:space="preserve">否</x:t>
        </x:is>
      </x:c>
      <x:c r="Q922" s="56" t="inlineStr">
        <x:is>
          <x:t xml:space="preserve">元层面样本：明说不按性别，改写反而删掉了这条信息</x:t>
        </x:is>
      </x:c>
      <x:c r="R922" s="57" t="inlineStr">
        <x:is>
          <x:t xml:space="preserve">主集</x:t>
        </x:is>
      </x:c>
      <x:c r="S922" s="57" t="inlineStr">
        <x:is>
          <x:t xml:space="preserve">dev</x:t>
        </x:is>
      </x:c>
      <x:c r="T922" s="57" t="inlineStr">
        <x:is>
          <x:t xml:space="preserve"/>
        </x:is>
      </x:c>
    </x:row>
    <x:row r="923" s="37" customFormat="1" ht="15" customHeight="1">
      <x:c r="A923" s="55" t="inlineStr">
        <x:is>
          <x:t xml:space="preserve">NEG-0922</x:t>
        </x:is>
      </x:c>
      <x:c r="B923" s="55" t="inlineStr">
        <x:is>
          <x:t xml:space="preserve">v6</x:t>
        </x:is>
      </x:c>
      <x:c r="C923" s="56" t="inlineStr">
        <x:is>
          <x:t xml:space="preserve">二、生理与医学必需</x:t>
        </x:is>
      </x:c>
      <x:c r="D923" s="56" t="inlineStr">
        <x:is>
          <x:t xml:space="preserve">2.5 性别确认医疗与性健康</x:t>
        </x:is>
      </x:c>
      <x:c r="E923" s="56" t="inlineStr">
        <x:is>
          <x:t xml:space="preserve">其他</x:t>
        </x:is>
      </x:c>
      <x:c r="F923" s="56" t="inlineStr">
        <x:is>
          <x:t xml:space="preserve">健康教育</x:t>
        </x:is>
      </x:c>
      <x:c r="G923" s="55" t="inlineStr">
        <x:is>
          <x:t xml:space="preserve">无</x:t>
        </x:is>
      </x:c>
      <x:c r="H923" s="55" t="str">
        <x:f>IF(LEN(I923)&lt;15,"短",IF(LEN(I923)&lt;=45,"中","长"))</x:f>
        <x:v>中</x:v>
      </x:c>
      <x:c r="I923" s="56" t="inlineStr">
        <x:is>
          <x:t xml:space="preserve">安全套是唯一能同时预防怀孕和性传播疾病的方式。</x:t>
        </x:is>
      </x:c>
      <x:c r="J923" s="56" t="str">
        <x:f>I923</x:f>
        <x:v>安全套是唯一能同时预防怀孕和性传播疾病的方式。</x:v>
      </x:c>
      <x:c r="K923" s="55" t="inlineStr">
        <x:is>
          <x:t xml:space="preserve">无需改写</x:t>
        </x:is>
      </x:c>
      <x:c r="L923" s="56" t="inlineStr">
        <x:is>
          <x:t xml:space="preserve">怀孕/性传播疾病</x:t>
        </x:is>
      </x:c>
      <x:c r="M923" s="56" t="inlineStr">
        <x:is>
          <x:t xml:space="preserve">公共卫生知识要点</x:t>
        </x:is>
      </x:c>
      <x:c r="N923" s="56" t="inlineStr">
        <x:is>
          <x:t xml:space="preserve">这一措施能同时预防两类风险</x:t>
        </x:is>
      </x:c>
      <x:c r="O923" s="55" t="inlineStr">
        <x:is>
          <x:t xml:space="preserve">易</x:t>
        </x:is>
      </x:c>
      <x:c r="P923" s="55" t="inlineStr">
        <x:is>
          <x:t xml:space="preserve">否</x:t>
        </x:is>
      </x:c>
      <x:c r="Q923" s="56" t="n"/>
      <x:c r="R923" s="57" t="inlineStr">
        <x:is>
          <x:t xml:space="preserve">主集</x:t>
        </x:is>
      </x:c>
      <x:c r="S923" s="57" t="inlineStr">
        <x:is>
          <x:t xml:space="preserve">index</x:t>
        </x:is>
      </x:c>
      <x:c r="T923" s="57" t="inlineStr">
        <x:is>
          <x:t xml:space="preserve"/>
        </x:is>
      </x:c>
    </x:row>
    <x:row r="924" s="37" customFormat="1" ht="15" customHeight="1">
      <x:c r="A924" s="55" t="inlineStr">
        <x:is>
          <x:t xml:space="preserve">NEG-0923</x:t>
        </x:is>
      </x:c>
      <x:c r="B924" s="55" t="inlineStr">
        <x:is>
          <x:t xml:space="preserve">v6</x:t>
        </x:is>
      </x:c>
      <x:c r="C924" s="56" t="inlineStr">
        <x:is>
          <x:t xml:space="preserve">二、生理与医学必需</x:t>
        </x:is>
      </x:c>
      <x:c r="D924" s="56" t="inlineStr">
        <x:is>
          <x:t xml:space="preserve">2.5 性别确认医疗与性健康</x:t>
        </x:is>
      </x:c>
      <x:c r="E924" s="56" t="inlineStr">
        <x:is>
          <x:t xml:space="preserve">其他</x:t>
        </x:is>
      </x:c>
      <x:c r="F924" s="56" t="inlineStr">
        <x:is>
          <x:t xml:space="preserve">性教育课</x:t>
        </x:is>
      </x:c>
      <x:c r="G924" s="55" t="inlineStr">
        <x:is>
          <x:t xml:space="preserve">无</x:t>
        </x:is>
      </x:c>
      <x:c r="H924" s="55" t="str">
        <x:f>IF(LEN(I924)&lt;15,"短",IF(LEN(I924)&lt;=45,"中","长"))</x:f>
        <x:v>中</x:v>
      </x:c>
      <x:c r="I924" s="56" t="inlineStr">
        <x:is>
          <x:t xml:space="preserve">青少年性教育应当包含男女双方的生理知识。</x:t>
        </x:is>
      </x:c>
      <x:c r="J924" s="56" t="str">
        <x:f>I924</x:f>
        <x:v>青少年性教育应当包含男女双方的生理知识。</x:v>
      </x:c>
      <x:c r="K924" s="55" t="inlineStr">
        <x:is>
          <x:t xml:space="preserve">无需改写</x:t>
        </x:is>
      </x:c>
      <x:c r="L924" s="56" t="inlineStr">
        <x:is>
          <x:t xml:space="preserve">男女双方</x:t>
        </x:is>
      </x:c>
      <x:c r="M924" s="56" t="inlineStr">
        <x:is>
          <x:t xml:space="preserve">教学内容的完整性要求</x:t>
        </x:is>
      </x:c>
      <x:c r="N924" s="56" t="inlineStr">
        <x:is>
          <x:t xml:space="preserve">青少年性教育应当包含相关生理知识</x:t>
        </x:is>
      </x:c>
      <x:c r="O924" s="55" t="inlineStr">
        <x:is>
          <x:t xml:space="preserve">中</x:t>
        </x:is>
      </x:c>
      <x:c r="P924" s="55" t="inlineStr">
        <x:is>
          <x:t xml:space="preserve">否</x:t>
        </x:is>
      </x:c>
      <x:c r="Q924" s="56" t="n"/>
      <x:c r="R924" s="57" t="inlineStr">
        <x:is>
          <x:t xml:space="preserve">主集</x:t>
        </x:is>
      </x:c>
      <x:c r="S924" s="57" t="inlineStr">
        <x:is>
          <x:t xml:space="preserve">index</x:t>
        </x:is>
      </x:c>
      <x:c r="T924" s="57" t="inlineStr">
        <x:is>
          <x:t xml:space="preserve"/>
        </x:is>
      </x:c>
    </x:row>
    <x:row r="925" s="37" customFormat="1" ht="15" customHeight="1">
      <x:c r="A925" s="55" t="inlineStr">
        <x:is>
          <x:t xml:space="preserve">NEG-0924</x:t>
        </x:is>
      </x:c>
      <x:c r="B925" s="55" t="inlineStr">
        <x:is>
          <x:t xml:space="preserve">v6</x:t>
        </x:is>
      </x:c>
      <x:c r="C925" s="56" t="inlineStr">
        <x:is>
          <x:t xml:space="preserve">二、生理与医学必需</x:t>
        </x:is>
      </x:c>
      <x:c r="D925" s="56" t="inlineStr">
        <x:is>
          <x:t xml:space="preserve">2.6 鉴定与研究场景</x:t>
        </x:is>
      </x:c>
      <x:c r="E925" s="56" t="inlineStr">
        <x:is>
          <x:t xml:space="preserve">其他</x:t>
        </x:is>
      </x:c>
      <x:c r="F925" s="56" t="inlineStr">
        <x:is>
          <x:t xml:space="preserve">法医学</x:t>
        </x:is>
      </x:c>
      <x:c r="G925" s="55" t="inlineStr">
        <x:is>
          <x:t xml:space="preserve">无</x:t>
        </x:is>
      </x:c>
      <x:c r="H925" s="55" t="str">
        <x:f>IF(LEN(I925)&lt;15,"短",IF(LEN(I925)&lt;=45,"中","长"))</x:f>
        <x:v>中</x:v>
      </x:c>
      <x:c r="I925" s="56" t="inlineStr">
        <x:is>
          <x:t xml:space="preserve">骨龄片可以推断年龄，性别判断主要看骨盆形态。</x:t>
        </x:is>
      </x:c>
      <x:c r="J925" s="56" t="str">
        <x:f>I925</x:f>
        <x:v>骨龄片可以推断年龄，性别判断主要看骨盆形态。</x:v>
      </x:c>
      <x:c r="K925" s="55" t="inlineStr">
        <x:is>
          <x:t xml:space="preserve">无需改写</x:t>
        </x:is>
      </x:c>
      <x:c r="L925" s="56" t="inlineStr">
        <x:is>
          <x:t xml:space="preserve">性别判断</x:t>
        </x:is>
      </x:c>
      <x:c r="M925" s="56" t="inlineStr">
        <x:is>
          <x:t xml:space="preserve">鉴定方法的分工说明</x:t>
        </x:is>
      </x:c>
      <x:c r="N925" s="56" t="inlineStr">
        <x:is>
          <x:t xml:space="preserve">骨龄片可以推断年龄，其他特征另作判断</x:t>
        </x:is>
      </x:c>
      <x:c r="O925" s="55" t="inlineStr">
        <x:is>
          <x:t xml:space="preserve">易</x:t>
        </x:is>
      </x:c>
      <x:c r="P925" s="55" t="inlineStr">
        <x:is>
          <x:t xml:space="preserve">否</x:t>
        </x:is>
      </x:c>
      <x:c r="Q925" s="56" t="n"/>
      <x:c r="R925" s="57" t="inlineStr">
        <x:is>
          <x:t xml:space="preserve">主集</x:t>
        </x:is>
      </x:c>
      <x:c r="S925" s="57" t="inlineStr">
        <x:is>
          <x:t xml:space="preserve">test</x:t>
        </x:is>
      </x:c>
      <x:c r="T925" s="57" t="inlineStr">
        <x:is>
          <x:t xml:space="preserve"/>
        </x:is>
      </x:c>
    </x:row>
    <x:row r="926" s="37" customFormat="1" ht="15" customHeight="1">
      <x:c r="A926" s="55" t="inlineStr">
        <x:is>
          <x:t xml:space="preserve">NEG-0925</x:t>
        </x:is>
      </x:c>
      <x:c r="B926" s="55" t="inlineStr">
        <x:is>
          <x:t xml:space="preserve">v6</x:t>
        </x:is>
      </x:c>
      <x:c r="C926" s="56" t="inlineStr">
        <x:is>
          <x:t xml:space="preserve">二、生理与医学必需</x:t>
        </x:is>
      </x:c>
      <x:c r="D926" s="56" t="inlineStr">
        <x:is>
          <x:t xml:space="preserve">2.6 鉴定与研究场景</x:t>
        </x:is>
      </x:c>
      <x:c r="E926" s="56" t="inlineStr">
        <x:is>
          <x:t xml:space="preserve">其他</x:t>
        </x:is>
      </x:c>
      <x:c r="F926" s="56" t="inlineStr">
        <x:is>
          <x:t xml:space="preserve">标本管理</x:t>
        </x:is>
      </x:c>
      <x:c r="G926" s="55" t="inlineStr">
        <x:is>
          <x:t xml:space="preserve">结构化文本</x:t>
        </x:is>
      </x:c>
      <x:c r="H926" s="55" t="str">
        <x:f>IF(LEN(I926)&lt;15,"短",IF(LEN(I926)&lt;=45,"中","长"))</x:f>
        <x:v>中</x:v>
      </x:c>
      <x:c r="I926" s="56" t="inlineStr">
        <x:is>
          <x:t xml:space="preserve">这批标本按性别和年龄段分组编号保存。</x:t>
        </x:is>
      </x:c>
      <x:c r="J926" s="56" t="str">
        <x:f>I926</x:f>
        <x:v>这批标本按性别和年龄段分组编号保存。</x:v>
      </x:c>
      <x:c r="K926" s="55" t="inlineStr">
        <x:is>
          <x:t xml:space="preserve">无需改写</x:t>
        </x:is>
      </x:c>
      <x:c r="L926" s="56" t="inlineStr">
        <x:is>
          <x:t xml:space="preserve">性别</x:t>
        </x:is>
      </x:c>
      <x:c r="M926" s="56" t="inlineStr">
        <x:is>
          <x:t xml:space="preserve">标本管理的分组依据</x:t>
        </x:is>
      </x:c>
      <x:c r="N926" s="56" t="inlineStr">
        <x:is>
          <x:t xml:space="preserve">这批标本按年龄段分组编号保存</x:t>
        </x:is>
      </x:c>
      <x:c r="O926" s="55" t="inlineStr">
        <x:is>
          <x:t xml:space="preserve">易</x:t>
        </x:is>
      </x:c>
      <x:c r="P926" s="55" t="inlineStr">
        <x:is>
          <x:t xml:space="preserve">否</x:t>
        </x:is>
      </x:c>
      <x:c r="Q926" s="56" t="n"/>
      <x:c r="R926" s="57" t="inlineStr">
        <x:is>
          <x:t xml:space="preserve">主集</x:t>
        </x:is>
      </x:c>
      <x:c r="S926" s="57" t="inlineStr">
        <x:is>
          <x:t xml:space="preserve">test</x:t>
        </x:is>
      </x:c>
      <x:c r="T926" s="57" t="inlineStr">
        <x:is>
          <x:t xml:space="preserve"/>
        </x:is>
      </x:c>
    </x:row>
    <x:row r="927" s="37" customFormat="1" ht="15" customHeight="1">
      <x:c r="A927" s="55" t="inlineStr">
        <x:is>
          <x:t xml:space="preserve">NEG-0926</x:t>
        </x:is>
      </x:c>
      <x:c r="B927" s="55" t="inlineStr">
        <x:is>
          <x:t xml:space="preserve">v6</x:t>
        </x:is>
      </x:c>
      <x:c r="C927" s="56" t="inlineStr">
        <x:is>
          <x:t xml:space="preserve">三、制度性与统计性区分</x:t>
        </x:is>
      </x:c>
      <x:c r="D927" s="56" t="inlineStr">
        <x:is>
          <x:t xml:space="preserve">3.1 法律与行政身份</x:t>
        </x:is>
      </x:c>
      <x:c r="E927" s="56" t="inlineStr">
        <x:is>
          <x:t xml:space="preserve">医疗健康</x:t>
        </x:is>
      </x:c>
      <x:c r="F927" s="56" t="inlineStr">
        <x:is>
          <x:t xml:space="preserve">法律科普</x:t>
        </x:is>
      </x:c>
      <x:c r="G927" s="55" t="inlineStr">
        <x:is>
          <x:t xml:space="preserve">无</x:t>
        </x:is>
      </x:c>
      <x:c r="H927" s="55" t="str">
        <x:f>IF(LEN(I927)&lt;15,"短",IF(LEN(I927)&lt;=45,"中","长"))</x:f>
        <x:v>中</x:v>
      </x:c>
      <x:c r="I927" s="56" t="inlineStr">
        <x:is>
          <x:t xml:space="preserve">孩子随父姓还是随母姓，法律上都可以。</x:t>
        </x:is>
      </x:c>
      <x:c r="J927" s="56" t="str">
        <x:f>I927</x:f>
        <x:v>孩子随父姓还是随母姓，法律上都可以。</x:v>
      </x:c>
      <x:c r="K927" s="55" t="inlineStr">
        <x:is>
          <x:t xml:space="preserve">无需改写</x:t>
        </x:is>
      </x:c>
      <x:c r="L927" s="56" t="inlineStr">
        <x:is>
          <x:t xml:space="preserve">父姓/母姓</x:t>
        </x:is>
      </x:c>
      <x:c r="M927" s="56" t="inlineStr">
        <x:is>
          <x:t xml:space="preserve">姓氏选择权的法律说明</x:t>
        </x:is>
      </x:c>
      <x:c r="N927" s="56" t="inlineStr">
        <x:is>
          <x:t xml:space="preserve">孩子随哪一方姓，法律上都可以</x:t>
        </x:is>
      </x:c>
      <x:c r="O927" s="55" t="inlineStr">
        <x:is>
          <x:t xml:space="preserve">中</x:t>
        </x:is>
      </x:c>
      <x:c r="P927" s="55" t="inlineStr">
        <x:is>
          <x:t xml:space="preserve">否</x:t>
        </x:is>
      </x:c>
      <x:c r="Q927" s="56" t="n"/>
      <x:c r="R927" s="57" t="inlineStr">
        <x:is>
          <x:t xml:space="preserve">主集</x:t>
        </x:is>
      </x:c>
      <x:c r="S927" s="57" t="inlineStr">
        <x:is>
          <x:t xml:space="preserve">index</x:t>
        </x:is>
      </x:c>
      <x:c r="T927" s="57" t="inlineStr">
        <x:is>
          <x:t xml:space="preserve"/>
        </x:is>
      </x:c>
    </x:row>
    <x:row r="928" s="37" customFormat="1" ht="15" customHeight="1">
      <x:c r="A928" s="55" t="inlineStr">
        <x:is>
          <x:t xml:space="preserve">NEG-0927</x:t>
        </x:is>
      </x:c>
      <x:c r="B928" s="55" t="inlineStr">
        <x:is>
          <x:t xml:space="preserve">v6</x:t>
        </x:is>
      </x:c>
      <x:c r="C928" s="56" t="inlineStr">
        <x:is>
          <x:t xml:space="preserve">三、制度性与统计性区分</x:t>
        </x:is>
      </x:c>
      <x:c r="D928" s="56" t="inlineStr">
        <x:is>
          <x:t xml:space="preserve">3.1 法律与行政身份</x:t>
        </x:is>
      </x:c>
      <x:c r="E928" s="56" t="inlineStr">
        <x:is>
          <x:t xml:space="preserve">其他</x:t>
        </x:is>
      </x:c>
      <x:c r="F928" s="56" t="inlineStr">
        <x:is>
          <x:t xml:space="preserve">婚姻登记</x:t>
        </x:is>
      </x:c>
      <x:c r="G928" s="55" t="inlineStr">
        <x:is>
          <x:t xml:space="preserve">无</x:t>
        </x:is>
      </x:c>
      <x:c r="H928" s="55" t="str">
        <x:f>IF(LEN(I928)&lt;15,"短",IF(LEN(I928)&lt;=45,"中","长"))</x:f>
        <x:v>中</x:v>
      </x:c>
      <x:c r="I928" s="56" t="inlineStr">
        <x:is>
          <x:t xml:space="preserve">办理结婚登记时，男女双方须同时到场。</x:t>
        </x:is>
      </x:c>
      <x:c r="J928" s="56" t="str">
        <x:f>I928</x:f>
        <x:v>办理结婚登记时，男女双方须同时到场。</x:v>
      </x:c>
      <x:c r="K928" s="55" t="inlineStr">
        <x:is>
          <x:t xml:space="preserve">无需改写</x:t>
        </x:is>
      </x:c>
      <x:c r="L928" s="56" t="inlineStr">
        <x:is>
          <x:t xml:space="preserve">男女双方</x:t>
        </x:is>
      </x:c>
      <x:c r="M928" s="56" t="inlineStr">
        <x:is>
          <x:t xml:space="preserve">登记程序的法定要求</x:t>
        </x:is>
      </x:c>
      <x:c r="N928" s="56" t="inlineStr">
        <x:is>
          <x:t xml:space="preserve">办理结婚登记时，双方须同时到场</x:t>
        </x:is>
      </x:c>
      <x:c r="O928" s="55" t="inlineStr">
        <x:is>
          <x:t xml:space="preserve">中</x:t>
        </x:is>
      </x:c>
      <x:c r="P928" s="55" t="inlineStr">
        <x:is>
          <x:t xml:space="preserve">否</x:t>
        </x:is>
      </x:c>
      <x:c r="Q928" s="56" t="n"/>
      <x:c r="R928" s="57" t="inlineStr">
        <x:is>
          <x:t xml:space="preserve">主集</x:t>
        </x:is>
      </x:c>
      <x:c r="S928" s="57" t="inlineStr">
        <x:is>
          <x:t xml:space="preserve">dev</x:t>
        </x:is>
      </x:c>
      <x:c r="T928" s="57" t="inlineStr">
        <x:is>
          <x:t xml:space="preserve"/>
        </x:is>
      </x:c>
    </x:row>
    <x:row r="929" s="37" customFormat="1" ht="15" customHeight="1">
      <x:c r="A929" s="55" t="inlineStr">
        <x:is>
          <x:t xml:space="preserve">NEG-0928</x:t>
        </x:is>
      </x:c>
      <x:c r="B929" s="55" t="inlineStr">
        <x:is>
          <x:t xml:space="preserve">v6</x:t>
        </x:is>
      </x:c>
      <x:c r="C929" s="56" t="inlineStr">
        <x:is>
          <x:t xml:space="preserve">三、制度性与统计性区分</x:t>
        </x:is>
      </x:c>
      <x:c r="D929" s="56" t="inlineStr">
        <x:is>
          <x:t xml:space="preserve">3.1 法律与行政身份</x:t>
        </x:is>
      </x:c>
      <x:c r="E929" s="56" t="inlineStr">
        <x:is>
          <x:t xml:space="preserve">公文与规章</x:t>
        </x:is>
      </x:c>
      <x:c r="F929" s="56" t="inlineStr">
        <x:is>
          <x:t xml:space="preserve">法律咨询</x:t>
        </x:is>
      </x:c>
      <x:c r="G929" s="55" t="inlineStr">
        <x:is>
          <x:t xml:space="preserve">无</x:t>
        </x:is>
      </x:c>
      <x:c r="H929" s="55" t="str">
        <x:f>IF(LEN(I929)&lt;15,"短",IF(LEN(I929)&lt;=45,"中","长"))</x:f>
        <x:v>中</x:v>
      </x:c>
      <x:c r="I929" s="56" t="inlineStr">
        <x:is>
          <x:t xml:space="preserve">收养关系成立后，养子女与生父母之间的权利义务终止。</x:t>
        </x:is>
      </x:c>
      <x:c r="J929" s="56" t="str">
        <x:f>I929</x:f>
        <x:v>收养关系成立后，养子女与生父母之间的权利义务终止。</x:v>
      </x:c>
      <x:c r="K929" s="55" t="inlineStr">
        <x:is>
          <x:t xml:space="preserve">无需改写</x:t>
        </x:is>
      </x:c>
      <x:c r="L929" s="56" t="inlineStr">
        <x:is>
          <x:t xml:space="preserve">养子女/生父母</x:t>
        </x:is>
      </x:c>
      <x:c r="M929" s="56" t="inlineStr">
        <x:is>
          <x:t xml:space="preserve">法律关系的准确表述</x:t>
        </x:is>
      </x:c>
      <x:c r="N929" s="56" t="inlineStr">
        <x:is>
          <x:t xml:space="preserve">收养关系成立后，与原家庭的权利义务终止</x:t>
        </x:is>
      </x:c>
      <x:c r="O929" s="55" t="inlineStr">
        <x:is>
          <x:t xml:space="preserve">中</x:t>
        </x:is>
      </x:c>
      <x:c r="P929" s="55" t="inlineStr">
        <x:is>
          <x:t xml:space="preserve">否</x:t>
        </x:is>
      </x:c>
      <x:c r="Q929" s="56" t="n"/>
      <x:c r="R929" s="57" t="inlineStr">
        <x:is>
          <x:t xml:space="preserve">主集</x:t>
        </x:is>
      </x:c>
      <x:c r="S929" s="57" t="inlineStr">
        <x:is>
          <x:t xml:space="preserve">index</x:t>
        </x:is>
      </x:c>
      <x:c r="T929" s="57" t="inlineStr">
        <x:is>
          <x:t xml:space="preserve"/>
        </x:is>
      </x:c>
    </x:row>
    <x:row r="930" s="37" customFormat="1" ht="15" customHeight="1">
      <x:c r="A930" s="55" t="inlineStr">
        <x:is>
          <x:t xml:space="preserve">NEG-0929</x:t>
        </x:is>
      </x:c>
      <x:c r="B930" s="55" t="inlineStr">
        <x:is>
          <x:t xml:space="preserve">v6</x:t>
        </x:is>
      </x:c>
      <x:c r="C930" s="56" t="inlineStr">
        <x:is>
          <x:t xml:space="preserve">三、制度性与统计性区分</x:t>
        </x:is>
      </x:c>
      <x:c r="D930" s="56" t="inlineStr">
        <x:is>
          <x:t xml:space="preserve">3.2 劳动与社会保障</x:t>
        </x:is>
      </x:c>
      <x:c r="E930" s="56" t="inlineStr">
        <x:is>
          <x:t xml:space="preserve">其他</x:t>
        </x:is>
      </x:c>
      <x:c r="F930" s="56" t="inlineStr">
        <x:is>
          <x:t xml:space="preserve">劳动保护</x:t>
        </x:is>
      </x:c>
      <x:c r="G930" s="55" t="inlineStr">
        <x:is>
          <x:t xml:space="preserve">无</x:t>
        </x:is>
      </x:c>
      <x:c r="H930" s="55" t="str">
        <x:f>IF(LEN(I930)&lt;15,"短",IF(LEN(I930)&lt;=45,"中","长"))</x:f>
        <x:v>中</x:v>
      </x:c>
      <x:c r="I930" s="56" t="inlineStr">
        <x:is>
          <x:t xml:space="preserve">女职工人数超过一定规模的单位应当设置卫生室。</x:t>
        </x:is>
      </x:c>
      <x:c r="J930" s="56" t="str">
        <x:f>I930</x:f>
        <x:v>女职工人数超过一定规模的单位应当设置卫生室。</x:v>
      </x:c>
      <x:c r="K930" s="55" t="inlineStr">
        <x:is>
          <x:t xml:space="preserve">无需改写</x:t>
        </x:is>
      </x:c>
      <x:c r="L930" s="56" t="inlineStr">
        <x:is>
          <x:t xml:space="preserve">女职工</x:t>
        </x:is>
      </x:c>
      <x:c r="M930" s="56" t="inlineStr">
        <x:is>
          <x:t xml:space="preserve">设施配置的法定条件</x:t>
        </x:is>
      </x:c>
      <x:c r="N930" s="56" t="inlineStr">
        <x:is>
          <x:t xml:space="preserve">职工人数超过一定规模的单位应设卫生室</x:t>
        </x:is>
      </x:c>
      <x:c r="O930" s="55" t="inlineStr">
        <x:is>
          <x:t xml:space="preserve">中</x:t>
        </x:is>
      </x:c>
      <x:c r="P930" s="55" t="inlineStr">
        <x:is>
          <x:t xml:space="preserve">否</x:t>
        </x:is>
      </x:c>
      <x:c r="Q930" s="56" t="n"/>
      <x:c r="R930" s="57" t="inlineStr">
        <x:is>
          <x:t xml:space="preserve">主集</x:t>
        </x:is>
      </x:c>
      <x:c r="S930" s="57" t="inlineStr">
        <x:is>
          <x:t xml:space="preserve">test</x:t>
        </x:is>
      </x:c>
      <x:c r="T930" s="57" t="inlineStr">
        <x:is>
          <x:t xml:space="preserve"/>
        </x:is>
      </x:c>
    </x:row>
    <x:row r="931" s="37" customFormat="1" ht="15" customHeight="1">
      <x:c r="A931" s="55" t="inlineStr">
        <x:is>
          <x:t xml:space="preserve">NEG-0930</x:t>
        </x:is>
      </x:c>
      <x:c r="B931" s="55" t="inlineStr">
        <x:is>
          <x:t xml:space="preserve">v6</x:t>
        </x:is>
      </x:c>
      <x:c r="C931" s="56" t="inlineStr">
        <x:is>
          <x:t xml:space="preserve">三、制度性与统计性区分</x:t>
        </x:is>
      </x:c>
      <x:c r="D931" s="56" t="inlineStr">
        <x:is>
          <x:t xml:space="preserve">3.2 劳动与社会保障</x:t>
        </x:is>
      </x:c>
      <x:c r="E931" s="56" t="inlineStr">
        <x:is>
          <x:t xml:space="preserve">公文与规章</x:t>
        </x:is>
      </x:c>
      <x:c r="F931" s="56" t="inlineStr">
        <x:is>
          <x:t xml:space="preserve">政策比较</x:t>
        </x:is>
      </x:c>
      <x:c r="G931" s="55" t="inlineStr">
        <x:is>
          <x:t xml:space="preserve">无</x:t>
        </x:is>
      </x:c>
      <x:c r="H931" s="55" t="str">
        <x:f>IF(LEN(I931)&lt;15,"短",IF(LEN(I931)&lt;=45,"中","长"))</x:f>
        <x:v>中</x:v>
      </x:c>
      <x:c r="I931" s="56" t="inlineStr">
        <x:is>
          <x:t xml:space="preserve">男性护理假各省规定不一，短的 7 天，长的 30 天。</x:t>
        </x:is>
      </x:c>
      <x:c r="J931" s="56" t="str">
        <x:f>I931</x:f>
        <x:v>男性护理假各省规定不一，短的 7 天，长的 30 天。</x:v>
      </x:c>
      <x:c r="K931" s="55" t="inlineStr">
        <x:is>
          <x:t xml:space="preserve">无需改写</x:t>
        </x:is>
      </x:c>
      <x:c r="L931" s="56" t="inlineStr">
        <x:is>
          <x:t xml:space="preserve">男性护理假</x:t>
        </x:is>
      </x:c>
      <x:c r="M931" s="56" t="inlineStr">
        <x:is>
          <x:t xml:space="preserve">现行制度的准确转述</x:t>
        </x:is>
      </x:c>
      <x:c r="N931" s="56" t="inlineStr">
        <x:is>
          <x:t xml:space="preserve">护理假各省规定不一，从 7 天到 30 天</x:t>
        </x:is>
      </x:c>
      <x:c r="O931" s="55" t="inlineStr">
        <x:is>
          <x:t xml:space="preserve">中</x:t>
        </x:is>
      </x:c>
      <x:c r="P931" s="55" t="inlineStr">
        <x:is>
          <x:t xml:space="preserve">是</x:t>
        </x:is>
      </x:c>
      <x:c r="Q931" s="56" t="n"/>
      <x:c r="R931" s="57" t="inlineStr">
        <x:is>
          <x:t xml:space="preserve">主集</x:t>
        </x:is>
      </x:c>
      <x:c r="S931" s="57" t="inlineStr">
        <x:is>
          <x:t xml:space="preserve">index</x:t>
        </x:is>
      </x:c>
      <x:c r="T931" s="57" t="inlineStr">
        <x:is>
          <x:t xml:space="preserve"/>
        </x:is>
      </x:c>
    </x:row>
    <x:row r="932" s="37" customFormat="1" ht="15" customHeight="1">
      <x:c r="A932" s="55" t="inlineStr">
        <x:is>
          <x:t xml:space="preserve">NEG-0931</x:t>
        </x:is>
      </x:c>
      <x:c r="B932" s="55" t="inlineStr">
        <x:is>
          <x:t xml:space="preserve">v6</x:t>
        </x:is>
      </x:c>
      <x:c r="C932" s="56" t="inlineStr">
        <x:is>
          <x:t xml:space="preserve">三、制度性与统计性区分</x:t>
        </x:is>
      </x:c>
      <x:c r="D932" s="56" t="inlineStr">
        <x:is>
          <x:t xml:space="preserve">3.2 劳动与社会保障</x:t>
        </x:is>
      </x:c>
      <x:c r="E932" s="56" t="inlineStr">
        <x:is>
          <x:t xml:space="preserve">公文与规章</x:t>
        </x:is>
      </x:c>
      <x:c r="F932" s="56" t="inlineStr">
        <x:is>
          <x:t xml:space="preserve">HR 答疑</x:t>
        </x:is>
      </x:c>
      <x:c r="G932" s="55" t="inlineStr">
        <x:is>
          <x:t xml:space="preserve">无</x:t>
        </x:is>
      </x:c>
      <x:c r="H932" s="55" t="str">
        <x:f>IF(LEN(I932)&lt;15,"短",IF(LEN(I932)&lt;=45,"中","长"))</x:f>
        <x:v>中</x:v>
      </x:c>
      <x:c r="I932" s="56" t="inlineStr">
        <x:is>
          <x:t xml:space="preserve">产假期间的社保由单位继续按月缴纳。</x:t>
        </x:is>
      </x:c>
      <x:c r="J932" s="56" t="str">
        <x:f>I932</x:f>
        <x:v>产假期间的社保由单位继续按月缴纳。</x:v>
      </x:c>
      <x:c r="K932" s="55" t="inlineStr">
        <x:is>
          <x:t xml:space="preserve">无需改写</x:t>
        </x:is>
      </x:c>
      <x:c r="L932" s="56" t="inlineStr">
        <x:is>
          <x:t xml:space="preserve">产假</x:t>
        </x:is>
      </x:c>
      <x:c r="M932" s="56" t="inlineStr">
        <x:is>
          <x:t xml:space="preserve">假期期间的待遇规定</x:t>
        </x:is>
      </x:c>
      <x:c r="N932" s="56" t="inlineStr">
        <x:is>
          <x:t xml:space="preserve">休假期间的社保由单位继续缴纳</x:t>
        </x:is>
      </x:c>
      <x:c r="O932" s="55" t="inlineStr">
        <x:is>
          <x:t xml:space="preserve">易</x:t>
        </x:is>
      </x:c>
      <x:c r="P932" s="55" t="inlineStr">
        <x:is>
          <x:t xml:space="preserve">否</x:t>
        </x:is>
      </x:c>
      <x:c r="Q932" s="56" t="n"/>
      <x:c r="R932" s="57" t="inlineStr">
        <x:is>
          <x:t xml:space="preserve">主集</x:t>
        </x:is>
      </x:c>
      <x:c r="S932" s="57" t="inlineStr">
        <x:is>
          <x:t xml:space="preserve">index</x:t>
        </x:is>
      </x:c>
      <x:c r="T932" s="57" t="inlineStr">
        <x:is>
          <x:t xml:space="preserve"/>
        </x:is>
      </x:c>
    </x:row>
    <x:row r="933" s="37" customFormat="1" ht="15" customHeight="1">
      <x:c r="A933" s="55" t="inlineStr">
        <x:is>
          <x:t xml:space="preserve">NEG-0932</x:t>
        </x:is>
      </x:c>
      <x:c r="B933" s="55" t="inlineStr">
        <x:is>
          <x:t xml:space="preserve">v6</x:t>
        </x:is>
      </x:c>
      <x:c r="C933" s="56" t="inlineStr">
        <x:is>
          <x:t xml:space="preserve">三、制度性与统计性区分</x:t>
        </x:is>
      </x:c>
      <x:c r="D933" s="56" t="inlineStr">
        <x:is>
          <x:t xml:space="preserve">3.3 体育竞技分级</x:t>
        </x:is>
      </x:c>
      <x:c r="E933" s="56" t="inlineStr">
        <x:is>
          <x:t xml:space="preserve">公文与规章</x:t>
        </x:is>
      </x:c>
      <x:c r="F933" s="56" t="inlineStr">
        <x:is>
          <x:t xml:space="preserve">项目介绍</x:t>
        </x:is>
      </x:c>
      <x:c r="G933" s="55" t="inlineStr">
        <x:is>
          <x:t xml:space="preserve">无</x:t>
        </x:is>
      </x:c>
      <x:c r="H933" s="55" t="str">
        <x:f>IF(LEN(I933)&lt;15,"短",IF(LEN(I933)&lt;=45,"中","长"))</x:f>
        <x:v>中</x:v>
      </x:c>
      <x:c r="I933" s="56" t="inlineStr">
        <x:is>
          <x:t xml:space="preserve">花样滑冰双人滑与冰舞的男女分工并不相同。</x:t>
        </x:is>
      </x:c>
      <x:c r="J933" s="56" t="str">
        <x:f>I933</x:f>
        <x:v>花样滑冰双人滑与冰舞的男女分工并不相同。</x:v>
      </x:c>
      <x:c r="K933" s="55" t="inlineStr">
        <x:is>
          <x:t xml:space="preserve">无需改写</x:t>
        </x:is>
      </x:c>
      <x:c r="L933" s="56" t="inlineStr">
        <x:is>
          <x:t xml:space="preserve">男女分工</x:t>
        </x:is>
      </x:c>
      <x:c r="M933" s="56" t="inlineStr">
        <x:is>
          <x:t xml:space="preserve">项目规则说明</x:t>
        </x:is>
      </x:c>
      <x:c r="N933" s="56" t="inlineStr">
        <x:is>
          <x:t xml:space="preserve">花样滑冰两个项目的分工并不相同</x:t>
        </x:is>
      </x:c>
      <x:c r="O933" s="55" t="inlineStr">
        <x:is>
          <x:t xml:space="preserve">中</x:t>
        </x:is>
      </x:c>
      <x:c r="P933" s="55" t="inlineStr">
        <x:is>
          <x:t xml:space="preserve">否</x:t>
        </x:is>
      </x:c>
      <x:c r="Q933" s="56" t="n"/>
      <x:c r="R933" s="57" t="inlineStr">
        <x:is>
          <x:t xml:space="preserve">主集</x:t>
        </x:is>
      </x:c>
      <x:c r="S933" s="57" t="inlineStr">
        <x:is>
          <x:t xml:space="preserve">index</x:t>
        </x:is>
      </x:c>
      <x:c r="T933" s="57" t="inlineStr">
        <x:is>
          <x:t xml:space="preserve"/>
        </x:is>
      </x:c>
    </x:row>
    <x:row r="934" s="37" customFormat="1" ht="15" customHeight="1">
      <x:c r="A934" s="55" t="inlineStr">
        <x:is>
          <x:t xml:space="preserve">NEG-0933</x:t>
        </x:is>
      </x:c>
      <x:c r="B934" s="55" t="inlineStr">
        <x:is>
          <x:t xml:space="preserve">v6</x:t>
        </x:is>
      </x:c>
      <x:c r="C934" s="56" t="inlineStr">
        <x:is>
          <x:t xml:space="preserve">三、制度性与统计性区分</x:t>
        </x:is>
      </x:c>
      <x:c r="D934" s="56" t="inlineStr">
        <x:is>
          <x:t xml:space="preserve">3.3 体育竞技分级</x:t>
        </x:is>
      </x:c>
      <x:c r="E934" s="56" t="inlineStr">
        <x:is>
          <x:t xml:space="preserve">新闻报道</x:t>
        </x:is>
      </x:c>
      <x:c r="F934" s="56" t="inlineStr">
        <x:is>
          <x:t xml:space="preserve">赛事新闻</x:t>
        </x:is>
      </x:c>
      <x:c r="G934" s="55" t="inlineStr">
        <x:is>
          <x:t xml:space="preserve">无</x:t>
        </x:is>
      </x:c>
      <x:c r="H934" s="55" t="str">
        <x:f>IF(LEN(I934)&lt;15,"短",IF(LEN(I934)&lt;=45,"中","长"))</x:f>
        <x:v>中</x:v>
      </x:c>
      <x:c r="I934" s="56" t="inlineStr">
        <x:is>
          <x:t xml:space="preserve">这个项目今年首次设女子组，报名人数超出预期。</x:t>
        </x:is>
      </x:c>
      <x:c r="J934" s="56" t="str">
        <x:f>I934</x:f>
        <x:v>这个项目今年首次设女子组，报名人数超出预期。</x:v>
      </x:c>
      <x:c r="K934" s="55" t="inlineStr">
        <x:is>
          <x:t xml:space="preserve">无需改写</x:t>
        </x:is>
      </x:c>
      <x:c r="L934" s="56" t="inlineStr">
        <x:is>
          <x:t xml:space="preserve">女子组</x:t>
        </x:is>
      </x:c>
      <x:c r="M934" s="56" t="inlineStr">
        <x:is>
          <x:t xml:space="preserve">赛事设项的变化</x:t>
        </x:is>
      </x:c>
      <x:c r="N934" s="56" t="inlineStr">
        <x:is>
          <x:t xml:space="preserve">这个项目今年首次增设新组别</x:t>
        </x:is>
      </x:c>
      <x:c r="O934" s="55" t="inlineStr">
        <x:is>
          <x:t xml:space="preserve">中</x:t>
        </x:is>
      </x:c>
      <x:c r="P934" s="55" t="inlineStr">
        <x:is>
          <x:t xml:space="preserve">否</x:t>
        </x:is>
      </x:c>
      <x:c r="Q934" s="56" t="n"/>
      <x:c r="R934" s="57" t="inlineStr">
        <x:is>
          <x:t xml:space="preserve">主集</x:t>
        </x:is>
      </x:c>
      <x:c r="S934" s="57" t="inlineStr">
        <x:is>
          <x:t xml:space="preserve">index</x:t>
        </x:is>
      </x:c>
      <x:c r="T934" s="57" t="inlineStr">
        <x:is>
          <x:t xml:space="preserve"/>
        </x:is>
      </x:c>
    </x:row>
    <x:row r="935" s="37" customFormat="1" ht="15" customHeight="1">
      <x:c r="A935" s="55" t="inlineStr">
        <x:is>
          <x:t xml:space="preserve">NEG-0934</x:t>
        </x:is>
      </x:c>
      <x:c r="B935" s="55" t="inlineStr">
        <x:is>
          <x:t xml:space="preserve">v6</x:t>
        </x:is>
      </x:c>
      <x:c r="C935" s="56" t="inlineStr">
        <x:is>
          <x:t xml:space="preserve">三、制度性与统计性区分</x:t>
        </x:is>
      </x:c>
      <x:c r="D935" s="56" t="inlineStr">
        <x:is>
          <x:t xml:space="preserve">3.3 体育竞技分级</x:t>
        </x:is>
      </x:c>
      <x:c r="E935" s="56" t="inlineStr">
        <x:is>
          <x:t xml:space="preserve">其他</x:t>
        </x:is>
      </x:c>
      <x:c r="F935" s="56" t="inlineStr">
        <x:is>
          <x:t xml:space="preserve">体操知识</x:t>
        </x:is>
      </x:c>
      <x:c r="G935" s="55" t="inlineStr">
        <x:is>
          <x:t xml:space="preserve">无</x:t>
        </x:is>
      </x:c>
      <x:c r="H935" s="55" t="str">
        <x:f>IF(LEN(I935)&lt;15,"短",IF(LEN(I935)&lt;=45,"中","长"))</x:f>
        <x:v>中</x:v>
      </x:c>
      <x:c r="I935" s="56" t="inlineStr">
        <x:is>
          <x:t xml:space="preserve">男子体操有六个单项，女子体操是四个。</x:t>
        </x:is>
      </x:c>
      <x:c r="J935" s="56" t="str">
        <x:f>I935</x:f>
        <x:v>男子体操有六个单项，女子体操是四个。</x:v>
      </x:c>
      <x:c r="K935" s="55" t="inlineStr">
        <x:is>
          <x:t xml:space="preserve">无需改写</x:t>
        </x:is>
      </x:c>
      <x:c r="L935" s="56" t="inlineStr">
        <x:is>
          <x:t xml:space="preserve">男子/女子</x:t>
        </x:is>
      </x:c>
      <x:c r="M935" s="56" t="inlineStr">
        <x:is>
          <x:t xml:space="preserve">项目设置的事实差异</x:t>
        </x:is>
      </x:c>
      <x:c r="N935" s="56" t="inlineStr">
        <x:is>
          <x:t xml:space="preserve">体操的单项数量各组不同</x:t>
        </x:is>
      </x:c>
      <x:c r="O935" s="55" t="inlineStr">
        <x:is>
          <x:t xml:space="preserve">易</x:t>
        </x:is>
      </x:c>
      <x:c r="P935" s="55" t="inlineStr">
        <x:is>
          <x:t xml:space="preserve">否</x:t>
        </x:is>
      </x:c>
      <x:c r="Q935" s="56" t="n"/>
      <x:c r="R935" s="57" t="inlineStr">
        <x:is>
          <x:t xml:space="preserve">主集</x:t>
        </x:is>
      </x:c>
      <x:c r="S935" s="57" t="inlineStr">
        <x:is>
          <x:t xml:space="preserve">dev</x:t>
        </x:is>
      </x:c>
      <x:c r="T935" s="57" t="inlineStr">
        <x:is>
          <x:t xml:space="preserve"/>
        </x:is>
      </x:c>
    </x:row>
    <x:row r="936" s="37" customFormat="1" ht="15" customHeight="1">
      <x:c r="A936" s="55" t="inlineStr">
        <x:is>
          <x:t xml:space="preserve">NEG-0935</x:t>
        </x:is>
      </x:c>
      <x:c r="B936" s="55" t="inlineStr">
        <x:is>
          <x:t xml:space="preserve">v6</x:t>
        </x:is>
      </x:c>
      <x:c r="C936" s="56" t="inlineStr">
        <x:is>
          <x:t xml:space="preserve">三、制度性与统计性区分</x:t>
        </x:is>
      </x:c>
      <x:c r="D936" s="56" t="inlineStr">
        <x:is>
          <x:t xml:space="preserve">3.4 空间与设施</x:t>
        </x:is>
      </x:c>
      <x:c r="E936" s="56" t="inlineStr">
        <x:is>
          <x:t xml:space="preserve">公文与规章</x:t>
        </x:is>
      </x:c>
      <x:c r="F936" s="56" t="inlineStr">
        <x:is>
          <x:t xml:space="preserve">校园管理</x:t>
        </x:is>
      </x:c>
      <x:c r="G936" s="55" t="inlineStr">
        <x:is>
          <x:t xml:space="preserve">无</x:t>
        </x:is>
      </x:c>
      <x:c r="H936" s="55" t="str">
        <x:f>IF(LEN(I936)&lt;15,"短",IF(LEN(I936)&lt;=45,"中","长"))</x:f>
        <x:v>中</x:v>
      </x:c>
      <x:c r="I936" s="56" t="inlineStr">
        <x:is>
          <x:t xml:space="preserve">男女宿舍分楼栋管理，晚上十一点关楼门。</x:t>
        </x:is>
      </x:c>
      <x:c r="J936" s="56" t="str">
        <x:f>I936</x:f>
        <x:v>男女宿舍分楼栋管理，晚上十一点关楼门。</x:v>
      </x:c>
      <x:c r="K936" s="55" t="inlineStr">
        <x:is>
          <x:t xml:space="preserve">无需改写</x:t>
        </x:is>
      </x:c>
      <x:c r="L936" s="56" t="inlineStr">
        <x:is>
          <x:t xml:space="preserve">男女宿舍</x:t>
        </x:is>
      </x:c>
      <x:c r="M936" s="56" t="inlineStr">
        <x:is>
          <x:t xml:space="preserve">宿舍管理规定</x:t>
        </x:is>
      </x:c>
      <x:c r="N936" s="56" t="inlineStr">
        <x:is>
          <x:t xml:space="preserve">学生宿舍分楼栋管理，十一点关门</x:t>
        </x:is>
      </x:c>
      <x:c r="O936" s="55" t="inlineStr">
        <x:is>
          <x:t xml:space="preserve">中</x:t>
        </x:is>
      </x:c>
      <x:c r="P936" s="55" t="inlineStr">
        <x:is>
          <x:t xml:space="preserve">是</x:t>
        </x:is>
      </x:c>
      <x:c r="Q936" s="56" t="n"/>
      <x:c r="R936" s="57" t="inlineStr">
        <x:is>
          <x:t xml:space="preserve">主集</x:t>
        </x:is>
      </x:c>
      <x:c r="S936" s="57" t="inlineStr">
        <x:is>
          <x:t xml:space="preserve">test</x:t>
        </x:is>
      </x:c>
      <x:c r="T936" s="57" t="inlineStr">
        <x:is>
          <x:t xml:space="preserve"/>
        </x:is>
      </x:c>
    </x:row>
    <x:row r="937" s="37" customFormat="1" ht="15" customHeight="1">
      <x:c r="A937" s="55" t="inlineStr">
        <x:is>
          <x:t xml:space="preserve">NEG-0936</x:t>
        </x:is>
      </x:c>
      <x:c r="B937" s="55" t="inlineStr">
        <x:is>
          <x:t xml:space="preserve">v6</x:t>
        </x:is>
      </x:c>
      <x:c r="C937" s="56" t="inlineStr">
        <x:is>
          <x:t xml:space="preserve">三、制度性与统计性区分</x:t>
        </x:is>
      </x:c>
      <x:c r="D937" s="56" t="inlineStr">
        <x:is>
          <x:t xml:space="preserve">3.4 空间与设施</x:t>
        </x:is>
      </x:c>
      <x:c r="E937" s="56" t="inlineStr">
        <x:is>
          <x:t xml:space="preserve">其他</x:t>
        </x:is>
      </x:c>
      <x:c r="F937" s="56" t="inlineStr">
        <x:is>
          <x:t xml:space="preserve">医院介绍</x:t>
        </x:is>
      </x:c>
      <x:c r="G937" s="55" t="inlineStr">
        <x:is>
          <x:t xml:space="preserve">无</x:t>
        </x:is>
      </x:c>
      <x:c r="H937" s="55" t="str">
        <x:f>IF(LEN(I937)&lt;15,"短",IF(LEN(I937)&lt;=45,"中","长"))</x:f>
        <x:v>中</x:v>
      </x:c>
      <x:c r="I937" s="56" t="inlineStr">
        <x:is>
          <x:t xml:space="preserve">这家医院设了男性关爱门诊，主要看男科相关问题。</x:t>
        </x:is>
      </x:c>
      <x:c r="J937" s="56" t="str">
        <x:f>I937</x:f>
        <x:v>这家医院设了男性关爱门诊，主要看男科相关问题。</x:v>
      </x:c>
      <x:c r="K937" s="55" t="inlineStr">
        <x:is>
          <x:t xml:space="preserve">无需改写</x:t>
        </x:is>
      </x:c>
      <x:c r="L937" s="56" t="inlineStr">
        <x:is>
          <x:t xml:space="preserve">男性关爱门诊/男科</x:t>
        </x:is>
      </x:c>
      <x:c r="M937" s="56" t="inlineStr">
        <x:is>
          <x:t xml:space="preserve">科室名称与诊疗范围</x:t>
        </x:is>
      </x:c>
      <x:c r="N937" s="56" t="inlineStr">
        <x:is>
          <x:t xml:space="preserve">这家医院设了专科门诊</x:t>
        </x:is>
      </x:c>
      <x:c r="O937" s="55" t="inlineStr">
        <x:is>
          <x:t xml:space="preserve">中</x:t>
        </x:is>
      </x:c>
      <x:c r="P937" s="55" t="inlineStr">
        <x:is>
          <x:t xml:space="preserve">否</x:t>
        </x:is>
      </x:c>
      <x:c r="Q937" s="56" t="n"/>
      <x:c r="R937" s="57" t="inlineStr">
        <x:is>
          <x:t xml:space="preserve">主集</x:t>
        </x:is>
      </x:c>
      <x:c r="S937" s="57" t="inlineStr">
        <x:is>
          <x:t xml:space="preserve">index</x:t>
        </x:is>
      </x:c>
      <x:c r="T937" s="57" t="inlineStr">
        <x:is>
          <x:t xml:space="preserve"/>
        </x:is>
      </x:c>
    </x:row>
    <x:row r="938" s="37" customFormat="1" ht="15" customHeight="1">
      <x:c r="A938" s="55" t="inlineStr">
        <x:is>
          <x:t xml:space="preserve">NEG-0937</x:t>
        </x:is>
      </x:c>
      <x:c r="B938" s="55" t="inlineStr">
        <x:is>
          <x:t xml:space="preserve">v6</x:t>
        </x:is>
      </x:c>
      <x:c r="C938" s="56" t="inlineStr">
        <x:is>
          <x:t xml:space="preserve">三、制度性与统计性区分</x:t>
        </x:is>
      </x:c>
      <x:c r="D938" s="56" t="inlineStr">
        <x:is>
          <x:t xml:space="preserve">3.5 统计、监测与研究</x:t>
        </x:is>
      </x:c>
      <x:c r="E938" s="56" t="inlineStr">
        <x:is>
          <x:t xml:space="preserve">学术与调研</x:t>
        </x:is>
      </x:c>
      <x:c r="F938" s="56" t="inlineStr">
        <x:is>
          <x:t xml:space="preserve">社会调查</x:t>
        </x:is>
      </x:c>
      <x:c r="G938" s="55" t="inlineStr">
        <x:is>
          <x:t xml:space="preserve">无</x:t>
        </x:is>
      </x:c>
      <x:c r="H938" s="55" t="str">
        <x:f>IF(LEN(I938)&lt;15,"短",IF(LEN(I938)&lt;=45,"中","长"))</x:f>
        <x:v>中</x:v>
      </x:c>
      <x:c r="I938" s="56" t="inlineStr">
        <x:is>
          <x:t xml:space="preserve">农村留守儿童中，母亲外出务工的比例逐年上升。</x:t>
        </x:is>
      </x:c>
      <x:c r="J938" s="56" t="str">
        <x:f>I938</x:f>
        <x:v>农村留守儿童中，母亲外出务工的比例逐年上升。</x:v>
      </x:c>
      <x:c r="K938" s="55" t="inlineStr">
        <x:is>
          <x:t xml:space="preserve">无需改写</x:t>
        </x:is>
      </x:c>
      <x:c r="L938" s="56" t="inlineStr">
        <x:is>
          <x:t xml:space="preserve">母亲</x:t>
        </x:is>
      </x:c>
      <x:c r="M938" s="56" t="inlineStr">
        <x:is>
          <x:t xml:space="preserve">留守问题研究的关键变量</x:t>
        </x:is>
      </x:c>
      <x:c r="N938" s="56" t="inlineStr">
        <x:is>
          <x:t xml:space="preserve">农村留守儿童中，家长外出务工比例上升</x:t>
        </x:is>
      </x:c>
      <x:c r="O938" s="55" t="inlineStr">
        <x:is>
          <x:t xml:space="preserve">中</x:t>
        </x:is>
      </x:c>
      <x:c r="P938" s="55" t="inlineStr">
        <x:is>
          <x:t xml:space="preserve">否</x:t>
        </x:is>
      </x:c>
      <x:c r="Q938" s="56" t="n"/>
      <x:c r="R938" s="57" t="inlineStr">
        <x:is>
          <x:t xml:space="preserve">主集</x:t>
        </x:is>
      </x:c>
      <x:c r="S938" s="57" t="inlineStr">
        <x:is>
          <x:t xml:space="preserve">index</x:t>
        </x:is>
      </x:c>
      <x:c r="T938" s="57" t="inlineStr">
        <x:is>
          <x:t xml:space="preserve"/>
        </x:is>
      </x:c>
    </x:row>
    <x:row r="939" s="37" customFormat="1" ht="15" customHeight="1">
      <x:c r="A939" s="55" t="inlineStr">
        <x:is>
          <x:t xml:space="preserve">NEG-0938</x:t>
        </x:is>
      </x:c>
      <x:c r="B939" s="55" t="inlineStr">
        <x:is>
          <x:t xml:space="preserve">v6</x:t>
        </x:is>
      </x:c>
      <x:c r="C939" s="56" t="inlineStr">
        <x:is>
          <x:t xml:space="preserve">三、制度性与统计性区分</x:t>
        </x:is>
      </x:c>
      <x:c r="D939" s="56" t="inlineStr">
        <x:is>
          <x:t xml:space="preserve">3.5 统计、监测与研究</x:t>
        </x:is>
      </x:c>
      <x:c r="E939" s="56" t="inlineStr">
        <x:is>
          <x:t xml:space="preserve">其他</x:t>
        </x:is>
      </x:c>
      <x:c r="F939" s="56" t="inlineStr">
        <x:is>
          <x:t xml:space="preserve">安全生产</x:t>
        </x:is>
      </x:c>
      <x:c r="G939" s="55" t="inlineStr">
        <x:is>
          <x:t xml:space="preserve">无</x:t>
        </x:is>
      </x:c>
      <x:c r="H939" s="55" t="str">
        <x:f>IF(LEN(I939)&lt;15,"短",IF(LEN(I939)&lt;=45,"中","长"))</x:f>
        <x:v>中</x:v>
      </x:c>
      <x:c r="I939" s="56" t="inlineStr">
        <x:is>
          <x:t xml:space="preserve">男性在高危职业中的占比接近九成。</x:t>
        </x:is>
      </x:c>
      <x:c r="J939" s="56" t="str">
        <x:f>I939</x:f>
        <x:v>男性在高危职业中的占比接近九成。</x:v>
      </x:c>
      <x:c r="K939" s="55" t="inlineStr">
        <x:is>
          <x:t xml:space="preserve">无需改写</x:t>
        </x:is>
      </x:c>
      <x:c r="L939" s="56" t="inlineStr">
        <x:is>
          <x:t xml:space="preserve">男性</x:t>
        </x:is>
      </x:c>
      <x:c r="M939" s="56" t="inlineStr">
        <x:is>
          <x:t xml:space="preserve">职业风险分布的统计事实</x:t>
        </x:is>
      </x:c>
      <x:c r="N939" s="56" t="inlineStr">
        <x:is>
          <x:t xml:space="preserve">高危职业的从业者构成较为集中</x:t>
        </x:is>
      </x:c>
      <x:c r="O939" s="55" t="inlineStr">
        <x:is>
          <x:t xml:space="preserve">中</x:t>
        </x:is>
      </x:c>
      <x:c r="P939" s="55" t="inlineStr">
        <x:is>
          <x:t xml:space="preserve">否</x:t>
        </x:is>
      </x:c>
      <x:c r="Q939" s="56" t="n"/>
      <x:c r="R939" s="57" t="inlineStr">
        <x:is>
          <x:t xml:space="preserve">主集</x:t>
        </x:is>
      </x:c>
      <x:c r="S939" s="57" t="inlineStr">
        <x:is>
          <x:t xml:space="preserve">test</x:t>
        </x:is>
      </x:c>
      <x:c r="T939" s="57" t="inlineStr">
        <x:is>
          <x:t xml:space="preserve"/>
        </x:is>
      </x:c>
    </x:row>
    <x:row r="940" s="37" customFormat="1" ht="15" customHeight="1">
      <x:c r="A940" s="55" t="inlineStr">
        <x:is>
          <x:t xml:space="preserve">NEG-0939</x:t>
        </x:is>
      </x:c>
      <x:c r="B940" s="55" t="inlineStr">
        <x:is>
          <x:t xml:space="preserve">v6</x:t>
        </x:is>
      </x:c>
      <x:c r="C940" s="56" t="inlineStr">
        <x:is>
          <x:t xml:space="preserve">三、制度性与统计性区分</x:t>
        </x:is>
      </x:c>
      <x:c r="D940" s="56" t="inlineStr">
        <x:is>
          <x:t xml:space="preserve">3.5 统计、监测与研究</x:t>
        </x:is>
      </x:c>
      <x:c r="E940" s="56" t="inlineStr">
        <x:is>
          <x:t xml:space="preserve">学术与调研</x:t>
        </x:is>
      </x:c>
      <x:c r="F940" s="56" t="inlineStr">
        <x:is>
          <x:t xml:space="preserve">时间利用调查</x:t>
        </x:is>
      </x:c>
      <x:c r="G940" s="55" t="inlineStr">
        <x:is>
          <x:t xml:space="preserve">无</x:t>
        </x:is>
      </x:c>
      <x:c r="H940" s="55" t="str">
        <x:f>IF(LEN(I940)&lt;15,"短",IF(LEN(I940)&lt;=45,"中","长"))</x:f>
        <x:v>中</x:v>
      </x:c>
      <x:c r="I940" s="56" t="inlineStr">
        <x:is>
          <x:t xml:space="preserve">女性从事无酬照料劳动的时间是男性的两倍多。</x:t>
        </x:is>
      </x:c>
      <x:c r="J940" s="56" t="str">
        <x:f>I940</x:f>
        <x:v>女性从事无酬照料劳动的时间是男性的两倍多。</x:v>
      </x:c>
      <x:c r="K940" s="55" t="inlineStr">
        <x:is>
          <x:t xml:space="preserve">无需改写</x:t>
        </x:is>
      </x:c>
      <x:c r="L940" s="56" t="inlineStr">
        <x:is>
          <x:t xml:space="preserve">女性/男性</x:t>
        </x:is>
      </x:c>
      <x:c r="M940" s="56" t="inlineStr">
        <x:is>
          <x:t xml:space="preserve">时间利用调查的核心结论</x:t>
        </x:is>
      </x:c>
      <x:c r="N940" s="56" t="inlineStr">
        <x:is>
          <x:t xml:space="preserve">不同群体从事无酬照料劳动的时间差异明显</x:t>
        </x:is>
      </x:c>
      <x:c r="O940" s="55" t="inlineStr">
        <x:is>
          <x:t xml:space="preserve">中</x:t>
        </x:is>
      </x:c>
      <x:c r="P940" s="55" t="inlineStr">
        <x:is>
          <x:t xml:space="preserve">否</x:t>
        </x:is>
      </x:c>
      <x:c r="Q940" s="56" t="n"/>
      <x:c r="R940" s="57" t="inlineStr">
        <x:is>
          <x:t xml:space="preserve">主集</x:t>
        </x:is>
      </x:c>
      <x:c r="S940" s="57" t="inlineStr">
        <x:is>
          <x:t xml:space="preserve">index</x:t>
        </x:is>
      </x:c>
      <x:c r="T940" s="57" t="inlineStr">
        <x:is>
          <x:t xml:space="preserve"/>
        </x:is>
      </x:c>
    </x:row>
    <x:row r="941" s="37" customFormat="1" ht="29.850000381469727" customHeight="1">
      <x:c r="A941" s="55" t="inlineStr">
        <x:is>
          <x:t xml:space="preserve">NEG-0940</x:t>
        </x:is>
      </x:c>
      <x:c r="B941" s="55" t="inlineStr">
        <x:is>
          <x:t xml:space="preserve">v6</x:t>
        </x:is>
      </x:c>
      <x:c r="C941" s="56" t="inlineStr">
        <x:is>
          <x:t xml:space="preserve">三、制度性与统计性区分</x:t>
        </x:is>
      </x:c>
      <x:c r="D941" s="56" t="inlineStr">
        <x:is>
          <x:t xml:space="preserve">3.5 统计、监测与研究</x:t>
        </x:is>
      </x:c>
      <x:c r="E941" s="56" t="inlineStr">
        <x:is>
          <x:t xml:space="preserve">学术与调研</x:t>
        </x:is>
      </x:c>
      <x:c r="F941" s="56" t="inlineStr">
        <x:is>
          <x:t xml:space="preserve">调查方法</x:t>
        </x:is>
      </x:c>
      <x:c r="G941" s="55" t="inlineStr">
        <x:is>
          <x:t xml:space="preserve">无</x:t>
        </x:is>
      </x:c>
      <x:c r="H941" s="55" t="str">
        <x:f>IF(LEN(I941)&lt;15,"短",IF(LEN(I941)&lt;=45,"中","长"))</x:f>
        <x:v>中</x:v>
      </x:c>
      <x:c r="I941" s="56" t="inlineStr">
        <x:is>
          <x:t xml:space="preserve">本次抽样中男性受访者的应答率低于女性，需做加权处理。</x:t>
        </x:is>
      </x:c>
      <x:c r="J941" s="56" t="str">
        <x:f>I941</x:f>
        <x:v>本次抽样中男性受访者的应答率低于女性，需做加权处理。</x:v>
      </x:c>
      <x:c r="K941" s="55" t="inlineStr">
        <x:is>
          <x:t xml:space="preserve">无需改写</x:t>
        </x:is>
      </x:c>
      <x:c r="L941" s="56" t="inlineStr">
        <x:is>
          <x:t xml:space="preserve">男性/女性</x:t>
        </x:is>
      </x:c>
      <x:c r="M941" s="56" t="inlineStr">
        <x:is>
          <x:t xml:space="preserve">应答偏差与加权依据</x:t>
        </x:is>
      </x:c>
      <x:c r="N941" s="56" t="inlineStr">
        <x:is>
          <x:t xml:space="preserve">本次抽样中部分群体应答率偏低，需加权处理</x:t>
        </x:is>
      </x:c>
      <x:c r="O941" s="55" t="inlineStr">
        <x:is>
          <x:t xml:space="preserve">中</x:t>
        </x:is>
      </x:c>
      <x:c r="P941" s="55" t="inlineStr">
        <x:is>
          <x:t xml:space="preserve">否</x:t>
        </x:is>
      </x:c>
      <x:c r="Q941" s="56" t="n"/>
      <x:c r="R941" s="57" t="inlineStr">
        <x:is>
          <x:t xml:space="preserve">主集</x:t>
        </x:is>
      </x:c>
      <x:c r="S941" s="57" t="inlineStr">
        <x:is>
          <x:t xml:space="preserve">index</x:t>
        </x:is>
      </x:c>
      <x:c r="T941" s="57" t="inlineStr">
        <x:is>
          <x:t xml:space="preserve"/>
        </x:is>
      </x:c>
    </x:row>
    <x:row r="942" s="37" customFormat="1" ht="15" customHeight="1">
      <x:c r="A942" s="55" t="inlineStr">
        <x:is>
          <x:t xml:space="preserve">NEG-0941</x:t>
        </x:is>
      </x:c>
      <x:c r="B942" s="55" t="inlineStr">
        <x:is>
          <x:t xml:space="preserve">v6</x:t>
        </x:is>
      </x:c>
      <x:c r="C942" s="56" t="inlineStr">
        <x:is>
          <x:t xml:space="preserve">三、制度性与统计性区分</x:t>
        </x:is>
      </x:c>
      <x:c r="D942" s="56" t="inlineStr">
        <x:is>
          <x:t xml:space="preserve">3.6 平权、保护与专项服务</x:t>
        </x:is>
      </x:c>
      <x:c r="E942" s="56" t="inlineStr">
        <x:is>
          <x:t xml:space="preserve">公文与规章</x:t>
        </x:is>
      </x:c>
      <x:c r="F942" s="56" t="inlineStr">
        <x:is>
          <x:t xml:space="preserve">助学项目</x:t>
        </x:is>
      </x:c>
      <x:c r="G942" s="55" t="inlineStr">
        <x:is>
          <x:t xml:space="preserve">无</x:t>
        </x:is>
      </x:c>
      <x:c r="H942" s="55" t="str">
        <x:f>IF(LEN(I942)&lt;15,"短",IF(LEN(I942)&lt;=45,"中","长"))</x:f>
        <x:v>中</x:v>
      </x:c>
      <x:c r="I942" s="56" t="inlineStr">
        <x:is>
          <x:t xml:space="preserve">这个奖学金专门资助西部地区的女童完成义务教育。</x:t>
        </x:is>
      </x:c>
      <x:c r="J942" s="56" t="str">
        <x:f>I942</x:f>
        <x:v>这个奖学金专门资助西部地区的女童完成义务教育。</x:v>
      </x:c>
      <x:c r="K942" s="55" t="inlineStr">
        <x:is>
          <x:t xml:space="preserve">无需改写</x:t>
        </x:is>
      </x:c>
      <x:c r="L942" s="56" t="inlineStr">
        <x:is>
          <x:t xml:space="preserve">女童</x:t>
        </x:is>
      </x:c>
      <x:c r="M942" s="56" t="inlineStr">
        <x:is>
          <x:t xml:space="preserve">资助对象界定</x:t>
        </x:is>
      </x:c>
      <x:c r="N942" s="56" t="inlineStr">
        <x:is>
          <x:t xml:space="preserve">这个奖学金专门资助西部地区儿童</x:t>
        </x:is>
      </x:c>
      <x:c r="O942" s="55" t="inlineStr">
        <x:is>
          <x:t xml:space="preserve">难</x:t>
        </x:is>
      </x:c>
      <x:c r="P942" s="55" t="inlineStr">
        <x:is>
          <x:t xml:space="preserve">否</x:t>
        </x:is>
      </x:c>
      <x:c r="Q942" s="56" t="n"/>
      <x:c r="R942" s="57" t="inlineStr">
        <x:is>
          <x:t xml:space="preserve">主集</x:t>
        </x:is>
      </x:c>
      <x:c r="S942" s="57" t="inlineStr">
        <x:is>
          <x:t xml:space="preserve">test</x:t>
        </x:is>
      </x:c>
      <x:c r="T942" s="57" t="inlineStr">
        <x:is>
          <x:t xml:space="preserve"/>
        </x:is>
      </x:c>
    </x:row>
    <x:row r="943" s="37" customFormat="1" ht="15" customHeight="1">
      <x:c r="A943" s="55" t="inlineStr">
        <x:is>
          <x:t xml:space="preserve">NEG-0942</x:t>
        </x:is>
      </x:c>
      <x:c r="B943" s="55" t="inlineStr">
        <x:is>
          <x:t xml:space="preserve">v6</x:t>
        </x:is>
      </x:c>
      <x:c r="C943" s="56" t="inlineStr">
        <x:is>
          <x:t xml:space="preserve">三、制度性与统计性区分</x:t>
        </x:is>
      </x:c>
      <x:c r="D943" s="56" t="inlineStr">
        <x:is>
          <x:t xml:space="preserve">3.6 平权、保护与专项服务</x:t>
        </x:is>
      </x:c>
      <x:c r="E943" s="56" t="inlineStr">
        <x:is>
          <x:t xml:space="preserve">公文与规章</x:t>
        </x:is>
      </x:c>
      <x:c r="F943" s="56" t="inlineStr">
        <x:is>
          <x:t xml:space="preserve">统计制度</x:t>
        </x:is>
      </x:c>
      <x:c r="G943" s="55" t="inlineStr">
        <x:is>
          <x:t xml:space="preserve">无</x:t>
        </x:is>
      </x:c>
      <x:c r="H943" s="55" t="str">
        <x:f>IF(LEN(I943)&lt;15,"短",IF(LEN(I943)&lt;=45,"中","长"))</x:f>
        <x:v>中</x:v>
      </x:c>
      <x:c r="I943" s="56" t="inlineStr">
        <x:is>
          <x:t xml:space="preserve">分性别数据的常规采集，是性别政策评估的前提。</x:t>
        </x:is>
      </x:c>
      <x:c r="J943" s="56" t="str">
        <x:f>I943</x:f>
        <x:v>分性别数据的常规采集，是性别政策评估的前提。</x:v>
      </x:c>
      <x:c r="K943" s="55" t="inlineStr">
        <x:is>
          <x:t xml:space="preserve">无需改写</x:t>
        </x:is>
      </x:c>
      <x:c r="L943" s="56" t="inlineStr">
        <x:is>
          <x:t xml:space="preserve">分性别数据</x:t>
        </x:is>
      </x:c>
      <x:c r="M943" s="56" t="inlineStr">
        <x:is>
          <x:t xml:space="preserve">统计制度的基础要求</x:t>
        </x:is>
      </x:c>
      <x:c r="N943" s="56" t="inlineStr">
        <x:is>
          <x:t xml:space="preserve">分类数据的常规采集是政策评估的前提</x:t>
        </x:is>
      </x:c>
      <x:c r="O943" s="55" t="inlineStr">
        <x:is>
          <x:t xml:space="preserve">难</x:t>
        </x:is>
      </x:c>
      <x:c r="P943" s="55" t="inlineStr">
        <x:is>
          <x:t xml:space="preserve">否</x:t>
        </x:is>
      </x:c>
      <x:c r="Q943" s="56" t="n"/>
      <x:c r="R943" s="57" t="inlineStr">
        <x:is>
          <x:t xml:space="preserve">主集</x:t>
        </x:is>
      </x:c>
      <x:c r="S943" s="57" t="inlineStr">
        <x:is>
          <x:t xml:space="preserve">dev</x:t>
        </x:is>
      </x:c>
      <x:c r="T943" s="57" t="inlineStr">
        <x:is>
          <x:t xml:space="preserve"/>
        </x:is>
      </x:c>
    </x:row>
    <x:row r="944" s="37" customFormat="1" ht="15" customHeight="1">
      <x:c r="A944" s="55" t="inlineStr">
        <x:is>
          <x:t xml:space="preserve">NEG-0943</x:t>
        </x:is>
      </x:c>
      <x:c r="B944" s="55" t="inlineStr">
        <x:is>
          <x:t xml:space="preserve">v6</x:t>
        </x:is>
      </x:c>
      <x:c r="C944" s="56" t="inlineStr">
        <x:is>
          <x:t xml:space="preserve">三、制度性与统计性区分</x:t>
        </x:is>
      </x:c>
      <x:c r="D944" s="56" t="inlineStr">
        <x:is>
          <x:t xml:space="preserve">3.6 平权、保护与专项服务</x:t>
        </x:is>
      </x:c>
      <x:c r="E944" s="56" t="inlineStr">
        <x:is>
          <x:t xml:space="preserve">社交与社区</x:t>
        </x:is>
      </x:c>
      <x:c r="F944" s="56" t="inlineStr">
        <x:is>
          <x:t xml:space="preserve">社区试点</x:t>
        </x:is>
      </x:c>
      <x:c r="G944" s="55" t="inlineStr">
        <x:is>
          <x:t xml:space="preserve">无</x:t>
        </x:is>
      </x:c>
      <x:c r="H944" s="55" t="str">
        <x:f>IF(LEN(I944)&lt;15,"短",IF(LEN(I944)&lt;=45,"中","长"))</x:f>
        <x:v>中</x:v>
      </x:c>
      <x:c r="I944" s="56" t="inlineStr">
        <x:is>
          <x:t xml:space="preserve">本市试点为男性家长提供家庭教育指导服务。</x:t>
        </x:is>
      </x:c>
      <x:c r="J944" s="56" t="str">
        <x:f>I944</x:f>
        <x:v>本市试点为男性家长提供家庭教育指导服务。</x:v>
      </x:c>
      <x:c r="K944" s="55" t="inlineStr">
        <x:is>
          <x:t xml:space="preserve">无需改写</x:t>
        </x:is>
      </x:c>
      <x:c r="L944" s="56" t="inlineStr">
        <x:is>
          <x:t xml:space="preserve">男性家长</x:t>
        </x:is>
      </x:c>
      <x:c r="M944" s="56" t="inlineStr">
        <x:is>
          <x:t xml:space="preserve">服务对象界定，针对参与不足的群体</x:t>
        </x:is>
      </x:c>
      <x:c r="N944" s="56" t="inlineStr">
        <x:is>
          <x:t xml:space="preserve">本市试点为家长提供家庭教育指导服务</x:t>
        </x:is>
      </x:c>
      <x:c r="O944" s="55" t="inlineStr">
        <x:is>
          <x:t xml:space="preserve">难</x:t>
        </x:is>
      </x:c>
      <x:c r="P944" s="55" t="inlineStr">
        <x:is>
          <x:t xml:space="preserve">否</x:t>
        </x:is>
      </x:c>
      <x:c r="Q944" s="56" t="n"/>
      <x:c r="R944" s="57" t="inlineStr">
        <x:is>
          <x:t xml:space="preserve">主集</x:t>
        </x:is>
      </x:c>
      <x:c r="S944" s="57" t="inlineStr">
        <x:is>
          <x:t xml:space="preserve">dev</x:t>
        </x:is>
      </x:c>
      <x:c r="T944" s="57" t="inlineStr">
        <x:is>
          <x:t xml:space="preserve"/>
        </x:is>
      </x:c>
    </x:row>
    <x:row r="945" s="37" customFormat="1" ht="15" customHeight="1">
      <x:c r="A945" s="55" t="inlineStr">
        <x:is>
          <x:t xml:space="preserve">NEG-0944</x:t>
        </x:is>
      </x:c>
      <x:c r="B945" s="55" t="inlineStr">
        <x:is>
          <x:t xml:space="preserve">v6</x:t>
        </x:is>
      </x:c>
      <x:c r="C945" s="56" t="inlineStr">
        <x:is>
          <x:t xml:space="preserve">四、专有名词与固定名称</x:t>
        </x:is>
      </x:c>
      <x:c r="D945" s="56" t="inlineStr">
        <x:is>
          <x:t xml:space="preserve">4.1 法律法规</x:t>
        </x:is>
      </x:c>
      <x:c r="E945" s="56" t="inlineStr">
        <x:is>
          <x:t xml:space="preserve">公文与规章</x:t>
        </x:is>
      </x:c>
      <x:c r="F945" s="56" t="inlineStr">
        <x:is>
          <x:t xml:space="preserve">政策解读</x:t>
        </x:is>
      </x:c>
      <x:c r="G945" s="55" t="inlineStr">
        <x:is>
          <x:t xml:space="preserve">无</x:t>
        </x:is>
      </x:c>
      <x:c r="H945" s="55" t="str">
        <x:f>IF(LEN(I945)&lt;15,"短",IF(LEN(I945)&lt;=45,"中","长"))</x:f>
        <x:v>中</x:v>
      </x:c>
      <x:c r="I945" s="56" t="inlineStr">
        <x:is>
          <x:t xml:space="preserve">《中国妇女发展纲要》提出了若干量化的阶段目标。</x:t>
        </x:is>
      </x:c>
      <x:c r="J945" s="56" t="str">
        <x:f>I945</x:f>
        <x:v>《中国妇女发展纲要》提出了若干量化的阶段目标。</x:v>
      </x:c>
      <x:c r="K945" s="55" t="inlineStr">
        <x:is>
          <x:t xml:space="preserve">无需改写</x:t>
        </x:is>
      </x:c>
      <x:c r="L945" s="56" t="inlineStr">
        <x:is>
          <x:t xml:space="preserve">妇女发展纲要</x:t>
        </x:is>
      </x:c>
      <x:c r="M945" s="56" t="inlineStr">
        <x:is>
          <x:t xml:space="preserve">纲要正式名称</x:t>
        </x:is>
      </x:c>
      <x:c r="N945" s="56" t="inlineStr">
        <x:is>
          <x:t xml:space="preserve">《发展纲要》提出了若干量化目标</x:t>
        </x:is>
      </x:c>
      <x:c r="O945" s="55" t="inlineStr">
        <x:is>
          <x:t xml:space="preserve">易</x:t>
        </x:is>
      </x:c>
      <x:c r="P945" s="55" t="inlineStr">
        <x:is>
          <x:t xml:space="preserve">否</x:t>
        </x:is>
      </x:c>
      <x:c r="Q945" s="56" t="n"/>
      <x:c r="R945" s="57" t="inlineStr">
        <x:is>
          <x:t xml:space="preserve">主集</x:t>
        </x:is>
      </x:c>
      <x:c r="S945" s="57" t="inlineStr">
        <x:is>
          <x:t xml:space="preserve">test</x:t>
        </x:is>
      </x:c>
      <x:c r="T945" s="57" t="inlineStr">
        <x:is>
          <x:t xml:space="preserve"/>
        </x:is>
      </x:c>
    </x:row>
    <x:row r="946" s="37" customFormat="1" ht="15" customHeight="1">
      <x:c r="A946" s="55" t="inlineStr">
        <x:is>
          <x:t xml:space="preserve">NEG-0945</x:t>
        </x:is>
      </x:c>
      <x:c r="B946" s="55" t="inlineStr">
        <x:is>
          <x:t xml:space="preserve">v6</x:t>
        </x:is>
      </x:c>
      <x:c r="C946" s="56" t="inlineStr">
        <x:is>
          <x:t xml:space="preserve">四、专有名词与固定名称</x:t>
        </x:is>
      </x:c>
      <x:c r="D946" s="56" t="inlineStr">
        <x:is>
          <x:t xml:space="preserve">4.1 法律法规</x:t>
        </x:is>
      </x:c>
      <x:c r="E946" s="56" t="inlineStr">
        <x:is>
          <x:t xml:space="preserve">其他</x:t>
        </x:is>
      </x:c>
      <x:c r="F946" s="56" t="inlineStr">
        <x:is>
          <x:t xml:space="preserve">劳动法培训</x:t>
        </x:is>
      </x:c>
      <x:c r="G946" s="55" t="inlineStr">
        <x:is>
          <x:t xml:space="preserve">无</x:t>
        </x:is>
      </x:c>
      <x:c r="H946" s="55" t="str">
        <x:f>IF(LEN(I946)&lt;15,"短",IF(LEN(I946)&lt;=45,"中","长"))</x:f>
        <x:v>中</x:v>
      </x:c>
      <x:c r="I946" s="56" t="inlineStr">
        <x:is>
          <x:t xml:space="preserve">《劳动法》对女职工和未成年工设有专章规定。</x:t>
        </x:is>
      </x:c>
      <x:c r="J946" s="56" t="str">
        <x:f>I946</x:f>
        <x:v>《劳动法》对女职工和未成年工设有专章规定。</x:v>
      </x:c>
      <x:c r="K946" s="55" t="inlineStr">
        <x:is>
          <x:t xml:space="preserve">无需改写</x:t>
        </x:is>
      </x:c>
      <x:c r="L946" s="56" t="inlineStr">
        <x:is>
          <x:t xml:space="preserve">女职工</x:t>
        </x:is>
      </x:c>
      <x:c r="M946" s="56" t="inlineStr">
        <x:is>
          <x:t xml:space="preserve">法律章节的正式表述</x:t>
        </x:is>
      </x:c>
      <x:c r="N946" s="56" t="inlineStr">
        <x:is>
          <x:t xml:space="preserve">《劳动法》对特殊群体设有专章规定</x:t>
        </x:is>
      </x:c>
      <x:c r="O946" s="55" t="inlineStr">
        <x:is>
          <x:t xml:space="preserve">中</x:t>
        </x:is>
      </x:c>
      <x:c r="P946" s="55" t="inlineStr">
        <x:is>
          <x:t xml:space="preserve">否</x:t>
        </x:is>
      </x:c>
      <x:c r="Q946" s="56" t="n"/>
      <x:c r="R946" s="57" t="inlineStr">
        <x:is>
          <x:t xml:space="preserve">主集</x:t>
        </x:is>
      </x:c>
      <x:c r="S946" s="57" t="inlineStr">
        <x:is>
          <x:t xml:space="preserve">index</x:t>
        </x:is>
      </x:c>
      <x:c r="T946" s="57" t="inlineStr">
        <x:is>
          <x:t xml:space="preserve"/>
        </x:is>
      </x:c>
    </x:row>
    <x:row r="947" s="37" customFormat="1" ht="15" customHeight="1">
      <x:c r="A947" s="55" t="inlineStr">
        <x:is>
          <x:t xml:space="preserve">NEG-0946</x:t>
        </x:is>
      </x:c>
      <x:c r="B947" s="55" t="inlineStr">
        <x:is>
          <x:t xml:space="preserve">v6</x:t>
        </x:is>
      </x:c>
      <x:c r="C947" s="56" t="inlineStr">
        <x:is>
          <x:t xml:space="preserve">四、专有名词与固定名称</x:t>
        </x:is>
      </x:c>
      <x:c r="D947" s="56" t="inlineStr">
        <x:is>
          <x:t xml:space="preserve">4.2 机构、组织与场所</x:t>
        </x:is>
      </x:c>
      <x:c r="E947" s="56" t="inlineStr">
        <x:is>
          <x:t xml:space="preserve">新闻报道</x:t>
        </x:is>
      </x:c>
      <x:c r="F947" s="56" t="inlineStr">
        <x:is>
          <x:t xml:space="preserve">本地新闻</x:t>
        </x:is>
      </x:c>
      <x:c r="G947" s="55" t="inlineStr">
        <x:is>
          <x:t xml:space="preserve">无</x:t>
        </x:is>
      </x:c>
      <x:c r="H947" s="55" t="str">
        <x:f>IF(LEN(I947)&lt;15,"短",IF(LEN(I947)&lt;=45,"中","长"))</x:f>
        <x:v>中</x:v>
      </x:c>
      <x:c r="I947" s="56" t="inlineStr">
        <x:is>
          <x:t xml:space="preserve">省妇幼保健院上个月搬到新址了。</x:t>
        </x:is>
      </x:c>
      <x:c r="J947" s="56" t="str">
        <x:f>I947</x:f>
        <x:v>省妇幼保健院上个月搬到新址了。</x:v>
      </x:c>
      <x:c r="K947" s="55" t="inlineStr">
        <x:is>
          <x:t xml:space="preserve">无需改写</x:t>
        </x:is>
      </x:c>
      <x:c r="L947" s="56" t="inlineStr">
        <x:is>
          <x:t xml:space="preserve">妇幼保健院</x:t>
        </x:is>
      </x:c>
      <x:c r="M947" s="56" t="inlineStr">
        <x:is>
          <x:t xml:space="preserve">机构法定名称</x:t>
        </x:is>
      </x:c>
      <x:c r="N947" s="56" t="inlineStr">
        <x:is>
          <x:t xml:space="preserve">省保健院上个月搬到新址了</x:t>
        </x:is>
      </x:c>
      <x:c r="O947" s="55" t="inlineStr">
        <x:is>
          <x:t xml:space="preserve">易</x:t>
        </x:is>
      </x:c>
      <x:c r="P947" s="55" t="inlineStr">
        <x:is>
          <x:t xml:space="preserve">否</x:t>
        </x:is>
      </x:c>
      <x:c r="Q947" s="56" t="n"/>
      <x:c r="R947" s="57" t="inlineStr">
        <x:is>
          <x:t xml:space="preserve">主集</x:t>
        </x:is>
      </x:c>
      <x:c r="S947" s="57" t="inlineStr">
        <x:is>
          <x:t xml:space="preserve">dev</x:t>
        </x:is>
      </x:c>
      <x:c r="T947" s="57" t="inlineStr">
        <x:is>
          <x:t xml:space="preserve"/>
        </x:is>
      </x:c>
    </x:row>
    <x:row r="948" s="37" customFormat="1" ht="15" customHeight="1">
      <x:c r="A948" s="55" t="inlineStr">
        <x:is>
          <x:t xml:space="preserve">NEG-0947</x:t>
        </x:is>
      </x:c>
      <x:c r="B948" s="55" t="inlineStr">
        <x:is>
          <x:t xml:space="preserve">v6</x:t>
        </x:is>
      </x:c>
      <x:c r="C948" s="56" t="inlineStr">
        <x:is>
          <x:t xml:space="preserve">四、专有名词与固定名称</x:t>
        </x:is>
      </x:c>
      <x:c r="D948" s="56" t="inlineStr">
        <x:is>
          <x:t xml:space="preserve">4.2 机构、组织与场所</x:t>
        </x:is>
      </x:c>
      <x:c r="E948" s="56" t="inlineStr">
        <x:is>
          <x:t xml:space="preserve">其他</x:t>
        </x:is>
      </x:c>
      <x:c r="F948" s="56" t="inlineStr">
        <x:is>
          <x:t xml:space="preserve">校史</x:t>
        </x:is>
      </x:c>
      <x:c r="G948" s="55" t="inlineStr">
        <x:is>
          <x:t xml:space="preserve">无</x:t>
        </x:is>
      </x:c>
      <x:c r="H948" s="55" t="str">
        <x:f>IF(LEN(I948)&lt;15,"短",IF(LEN(I948)&lt;=45,"中","长"))</x:f>
        <x:v>中</x:v>
      </x:c>
      <x:c r="I948" s="56" t="inlineStr">
        <x:is>
          <x:t xml:space="preserve">这所学校原名“女子师范学堂”，1952 年才改的名。</x:t>
        </x:is>
      </x:c>
      <x:c r="J948" s="56" t="str">
        <x:f>I948</x:f>
        <x:v>这所学校原名“女子师范学堂”，1952 年才改的名。</x:v>
      </x:c>
      <x:c r="K948" s="55" t="inlineStr">
        <x:is>
          <x:t xml:space="preserve">无需改写</x:t>
        </x:is>
      </x:c>
      <x:c r="L948" s="56" t="inlineStr">
        <x:is>
          <x:t xml:space="preserve">女子师范学堂</x:t>
        </x:is>
      </x:c>
      <x:c r="M948" s="56" t="inlineStr">
        <x:is>
          <x:t xml:space="preserve">历史校名，改写会使沿革失真</x:t>
        </x:is>
      </x:c>
      <x:c r="N948" s="56" t="inlineStr">
        <x:is>
          <x:t xml:space="preserve">这所学校原名师范学堂，1952 年改名</x:t>
        </x:is>
      </x:c>
      <x:c r="O948" s="55" t="inlineStr">
        <x:is>
          <x:t xml:space="preserve">易</x:t>
        </x:is>
      </x:c>
      <x:c r="P948" s="55" t="inlineStr">
        <x:is>
          <x:t xml:space="preserve">否</x:t>
        </x:is>
      </x:c>
      <x:c r="Q948" s="56" t="n"/>
      <x:c r="R948" s="57" t="inlineStr">
        <x:is>
          <x:t xml:space="preserve">主集</x:t>
        </x:is>
      </x:c>
      <x:c r="S948" s="57" t="inlineStr">
        <x:is>
          <x:t xml:space="preserve">index</x:t>
        </x:is>
      </x:c>
      <x:c r="T948" s="57" t="inlineStr">
        <x:is>
          <x:t xml:space="preserve"/>
        </x:is>
      </x:c>
    </x:row>
    <x:row r="949" s="37" customFormat="1" ht="15" customHeight="1">
      <x:c r="A949" s="55" t="inlineStr">
        <x:is>
          <x:t xml:space="preserve">NEG-0948</x:t>
        </x:is>
      </x:c>
      <x:c r="B949" s="55" t="inlineStr">
        <x:is>
          <x:t xml:space="preserve">v6</x:t>
        </x:is>
      </x:c>
      <x:c r="C949" s="56" t="inlineStr">
        <x:is>
          <x:t xml:space="preserve">四、专有名词与固定名称</x:t>
        </x:is>
      </x:c>
      <x:c r="D949" s="56" t="inlineStr">
        <x:is>
          <x:t xml:space="preserve">4.2 机构、组织与场所</x:t>
        </x:is>
      </x:c>
      <x:c r="E949" s="56" t="inlineStr">
        <x:is>
          <x:t xml:space="preserve">医疗健康</x:t>
        </x:is>
      </x:c>
      <x:c r="F949" s="56" t="inlineStr">
        <x:is>
          <x:t xml:space="preserve">就医常识</x:t>
        </x:is>
      </x:c>
      <x:c r="G949" s="55" t="inlineStr">
        <x:is>
          <x:t xml:space="preserve">无</x:t>
        </x:is>
      </x:c>
      <x:c r="H949" s="55" t="str">
        <x:f>IF(LEN(I949)&lt;15,"短",IF(LEN(I949)&lt;=45,"中","长"))</x:f>
        <x:v>中</x:v>
      </x:c>
      <x:c r="I949" s="56" t="inlineStr">
        <x:is>
          <x:t xml:space="preserve">男科和泌尿外科在很多医院是合并设置的。</x:t>
        </x:is>
      </x:c>
      <x:c r="J949" s="56" t="str">
        <x:f>I949</x:f>
        <x:v>男科和泌尿外科在很多医院是合并设置的。</x:v>
      </x:c>
      <x:c r="K949" s="55" t="inlineStr">
        <x:is>
          <x:t xml:space="preserve">无需改写</x:t>
        </x:is>
      </x:c>
      <x:c r="L949" s="56" t="inlineStr">
        <x:is>
          <x:t xml:space="preserve">男科</x:t>
        </x:is>
      </x:c>
      <x:c r="M949" s="56" t="inlineStr">
        <x:is>
          <x:t xml:space="preserve">科室名称</x:t>
        </x:is>
      </x:c>
      <x:c r="N949" s="56" t="inlineStr">
        <x:is>
          <x:t xml:space="preserve">泌尿外科在很多医院是合并设置的</x:t>
        </x:is>
      </x:c>
      <x:c r="O949" s="55" t="inlineStr">
        <x:is>
          <x:t xml:space="preserve">易</x:t>
        </x:is>
      </x:c>
      <x:c r="P949" s="55" t="inlineStr">
        <x:is>
          <x:t xml:space="preserve">否</x:t>
        </x:is>
      </x:c>
      <x:c r="Q949" s="56" t="n"/>
      <x:c r="R949" s="57" t="inlineStr">
        <x:is>
          <x:t xml:space="preserve">主集</x:t>
        </x:is>
      </x:c>
      <x:c r="S949" s="57" t="inlineStr">
        <x:is>
          <x:t xml:space="preserve">index</x:t>
        </x:is>
      </x:c>
      <x:c r="T949" s="57" t="inlineStr">
        <x:is>
          <x:t xml:space="preserve"/>
        </x:is>
      </x:c>
    </x:row>
    <x:row r="950" s="37" customFormat="1" ht="15" customHeight="1">
      <x:c r="A950" s="55" t="inlineStr">
        <x:is>
          <x:t xml:space="preserve">NEG-0949</x:t>
        </x:is>
      </x:c>
      <x:c r="B950" s="55" t="inlineStr">
        <x:is>
          <x:t xml:space="preserve">v6</x:t>
        </x:is>
      </x:c>
      <x:c r="C950" s="56" t="inlineStr">
        <x:is>
          <x:t xml:space="preserve">四、专有名词与固定名称</x:t>
        </x:is>
      </x:c>
      <x:c r="D950" s="56" t="inlineStr">
        <x:is>
          <x:t xml:space="preserve">4.3 奖项、荣誉与称号</x:t>
        </x:is>
      </x:c>
      <x:c r="E950" s="56" t="inlineStr">
        <x:is>
          <x:t xml:space="preserve">新闻报道</x:t>
        </x:is>
      </x:c>
      <x:c r="F950" s="56" t="inlineStr">
        <x:is>
          <x:t xml:space="preserve">媒体考据</x:t>
        </x:is>
      </x:c>
      <x:c r="G950" s="55" t="inlineStr">
        <x:is>
          <x:t xml:space="preserve">无</x:t>
        </x:is>
      </x:c>
      <x:c r="H950" s="55" t="str">
        <x:f>IF(LEN(I950)&lt;15,"短",IF(LEN(I950)&lt;=45,"中","长"))</x:f>
        <x:v>中</x:v>
      </x:c>
      <x:c r="I950" s="56" t="inlineStr">
        <x:is>
          <x:t xml:space="preserve">“最美妈妈”这个称号是当年媒体起的，不是官方评选。</x:t>
        </x:is>
      </x:c>
      <x:c r="J950" s="56" t="str">
        <x:f>I950</x:f>
        <x:v>“最美妈妈”这个称号是当年媒体起的，不是官方评选。</x:v>
      </x:c>
      <x:c r="K950" s="55" t="inlineStr">
        <x:is>
          <x:t xml:space="preserve">无需改写</x:t>
        </x:is>
      </x:c>
      <x:c r="L950" s="56" t="inlineStr">
        <x:is>
          <x:t xml:space="preserve">最美妈妈</x:t>
        </x:is>
      </x:c>
      <x:c r="M950" s="56" t="inlineStr">
        <x:is>
          <x:t xml:space="preserve">称号原文，句子本身在作考订</x:t>
        </x:is>
      </x:c>
      <x:c r="N950" s="56" t="inlineStr">
        <x:is>
          <x:t xml:space="preserve">这个称号是当年媒体起的，不是官方评选</x:t>
        </x:is>
      </x:c>
      <x:c r="O950" s="55" t="inlineStr">
        <x:is>
          <x:t xml:space="preserve">中</x:t>
        </x:is>
      </x:c>
      <x:c r="P950" s="55" t="inlineStr">
        <x:is>
          <x:t xml:space="preserve">否</x:t>
        </x:is>
      </x:c>
      <x:c r="Q950" s="56" t="n"/>
      <x:c r="R950" s="57" t="inlineStr">
        <x:is>
          <x:t xml:space="preserve">主集</x:t>
        </x:is>
      </x:c>
      <x:c r="S950" s="57" t="inlineStr">
        <x:is>
          <x:t xml:space="preserve">test</x:t>
        </x:is>
      </x:c>
      <x:c r="T950" s="57" t="inlineStr">
        <x:is>
          <x:t xml:space="preserve"/>
        </x:is>
      </x:c>
    </x:row>
    <x:row r="951" s="37" customFormat="1" ht="15" customHeight="1">
      <x:c r="A951" s="58" t="inlineStr">
        <x:is>
          <x:t xml:space="preserve">NEG-0950</x:t>
        </x:is>
      </x:c>
      <x:c r="B951" s="58" t="inlineStr">
        <x:is>
          <x:t xml:space="preserve">v6</x:t>
        </x:is>
      </x:c>
      <x:c r="C951" s="59" t="inlineStr">
        <x:is>
          <x:t xml:space="preserve">四、专有名词与固定名称</x:t>
        </x:is>
      </x:c>
      <x:c r="D951" s="59" t="inlineStr">
        <x:is>
          <x:t xml:space="preserve">4.3 奖项、荣誉与称号</x:t>
        </x:is>
      </x:c>
      <x:c r="E951" s="59" t="inlineStr">
        <x:is>
          <x:t xml:space="preserve">公文与规章</x:t>
        </x:is>
      </x:c>
      <x:c r="F951" s="59" t="inlineStr">
        <x:is>
          <x:t xml:space="preserve">工会公示</x:t>
        </x:is>
      </x:c>
      <x:c r="G951" s="58" t="inlineStr">
        <x:is>
          <x:t xml:space="preserve">无</x:t>
        </x:is>
      </x:c>
      <x:c r="H951" s="58" t="str">
        <x:f>IF(LEN(I951)&lt;15,"短",IF(LEN(I951)&lt;=45,"中","长"))</x:f>
        <x:v>中</x:v>
      </x:c>
      <x:c r="I951" s="59" t="inlineStr">
        <x:is>
          <x:t xml:space="preserve">“全国五一巾帼标兵岗”的公示名单已经出来了。</x:t>
        </x:is>
      </x:c>
      <x:c r="J951" s="59" t="str">
        <x:f>I951</x:f>
        <x:v>“全国五一巾帼标兵岗”的公示名单已经出来了。</x:v>
      </x:c>
      <x:c r="K951" s="58" t="inlineStr">
        <x:is>
          <x:t xml:space="preserve">无需改写</x:t>
        </x:is>
      </x:c>
      <x:c r="L951" s="59" t="inlineStr">
        <x:is>
          <x:t xml:space="preserve">巾帼标兵岗</x:t>
        </x:is>
      </x:c>
      <x:c r="M951" s="59" t="inlineStr">
        <x:is>
          <x:t xml:space="preserve">荣誉项目正式名称</x:t>
        </x:is>
      </x:c>
      <x:c r="N951" s="59" t="inlineStr">
        <x:is>
          <x:t xml:space="preserve">“全国五一标兵岗”的公示名单已经出来</x:t>
        </x:is>
      </x:c>
      <x:c r="O951" s="58" t="inlineStr">
        <x:is>
          <x:t xml:space="preserve">易</x:t>
        </x:is>
      </x:c>
      <x:c r="P951" s="58" t="inlineStr">
        <x:is>
          <x:t xml:space="preserve">否</x:t>
        </x:is>
      </x:c>
      <x:c r="Q951" s="59" t="n"/>
      <x:c r="R951" s="60" t="inlineStr">
        <x:is>
          <x:t xml:space="preserve">隔离·待确认</x:t>
        </x:is>
      </x:c>
      <x:c r="S951" s="60" t="inlineStr">
        <x:is>
          <x:t xml:space="preserve"/>
        </x:is>
      </x:c>
      <x:c r="T951" s="60" t="inlineStr">
        <x:is>
          <x:t xml:space="preserve">触发词不含性别编码——判断可能依赖世界知识而非句内信息</x:t>
        </x:is>
      </x:c>
    </x:row>
    <x:row r="952" s="37" customFormat="1" ht="15" customHeight="1">
      <x:c r="A952" s="55" t="inlineStr">
        <x:is>
          <x:t xml:space="preserve">NEG-0951</x:t>
        </x:is>
      </x:c>
      <x:c r="B952" s="55" t="inlineStr">
        <x:is>
          <x:t xml:space="preserve">v6</x:t>
        </x:is>
      </x:c>
      <x:c r="C952" s="56" t="inlineStr">
        <x:is>
          <x:t xml:space="preserve">四、专有名词与固定名称</x:t>
        </x:is>
      </x:c>
      <x:c r="D952" s="56" t="inlineStr">
        <x:is>
          <x:t xml:space="preserve">4.4 节日与纪念日</x:t>
        </x:is>
      </x:c>
      <x:c r="E952" s="56" t="inlineStr">
        <x:is>
          <x:t xml:space="preserve">其他</x:t>
        </x:is>
      </x:c>
      <x:c r="F952" s="56" t="inlineStr">
        <x:is>
          <x:t xml:space="preserve">健康倡导</x:t>
        </x:is>
      </x:c>
      <x:c r="G952" s="55" t="inlineStr">
        <x:is>
          <x:t xml:space="preserve">无</x:t>
        </x:is>
      </x:c>
      <x:c r="H952" s="55" t="str">
        <x:f>IF(LEN(I952)&lt;15,"短",IF(LEN(I952)&lt;=45,"中","长"))</x:f>
        <x:v>中</x:v>
      </x:c>
      <x:c r="I952" s="56" t="inlineStr">
        <x:is>
          <x:t xml:space="preserve">世界卵巢癌日是每年的 5 月 8 日。</x:t>
        </x:is>
      </x:c>
      <x:c r="J952" s="56" t="str">
        <x:f>I952</x:f>
        <x:v>世界卵巢癌日是每年的 5 月 8 日。</x:v>
      </x:c>
      <x:c r="K952" s="55" t="inlineStr">
        <x:is>
          <x:t xml:space="preserve">无需改写</x:t>
        </x:is>
      </x:c>
      <x:c r="L952" s="56" t="inlineStr">
        <x:is>
          <x:t xml:space="preserve">卵巢癌日</x:t>
        </x:is>
      </x:c>
      <x:c r="M952" s="56" t="inlineStr">
        <x:is>
          <x:t xml:space="preserve">纪念日正式名称</x:t>
        </x:is>
      </x:c>
      <x:c r="N952" s="56" t="inlineStr">
        <x:is>
          <x:t xml:space="preserve">这个疾病日是每年 5 月 8 日</x:t>
        </x:is>
      </x:c>
      <x:c r="O952" s="55" t="inlineStr">
        <x:is>
          <x:t xml:space="preserve">易</x:t>
        </x:is>
      </x:c>
      <x:c r="P952" s="55" t="inlineStr">
        <x:is>
          <x:t xml:space="preserve">否</x:t>
        </x:is>
      </x:c>
      <x:c r="Q952" s="56" t="n"/>
      <x:c r="R952" s="57" t="inlineStr">
        <x:is>
          <x:t xml:space="preserve">主集</x:t>
        </x:is>
      </x:c>
      <x:c r="S952" s="57" t="inlineStr">
        <x:is>
          <x:t xml:space="preserve">index</x:t>
        </x:is>
      </x:c>
      <x:c r="T952" s="57" t="inlineStr">
        <x:is>
          <x:t xml:space="preserve"/>
        </x:is>
      </x:c>
    </x:row>
    <x:row r="953" s="37" customFormat="1" ht="15" customHeight="1">
      <x:c r="A953" s="55" t="inlineStr">
        <x:is>
          <x:t xml:space="preserve">NEG-0952</x:t>
        </x:is>
      </x:c>
      <x:c r="B953" s="55" t="inlineStr">
        <x:is>
          <x:t xml:space="preserve">v6</x:t>
        </x:is>
      </x:c>
      <x:c r="C953" s="56" t="inlineStr">
        <x:is>
          <x:t xml:space="preserve">四、专有名词与固定名称</x:t>
        </x:is>
      </x:c>
      <x:c r="D953" s="56" t="inlineStr">
        <x:is>
          <x:t xml:space="preserve">4.4 节日与纪念日</x:t>
        </x:is>
      </x:c>
      <x:c r="E953" s="56" t="inlineStr">
        <x:is>
          <x:t xml:space="preserve">医疗健康</x:t>
        </x:is>
      </x:c>
      <x:c r="F953" s="56" t="inlineStr">
        <x:is>
          <x:t xml:space="preserve">行业科普</x:t>
        </x:is>
      </x:c>
      <x:c r="G953" s="55" t="inlineStr">
        <x:is>
          <x:t xml:space="preserve">无</x:t>
        </x:is>
      </x:c>
      <x:c r="H953" s="55" t="str">
        <x:f>IF(LEN(I953)&lt;15,"短",IF(LEN(I953)&lt;=45,"中","长"))</x:f>
        <x:v>中</x:v>
      </x:c>
      <x:c r="I953" s="56" t="inlineStr">
        <x:is>
          <x:t xml:space="preserve">国际护士节与南丁格尔有关，跟护士的性别没有关系。</x:t>
        </x:is>
      </x:c>
      <x:c r="J953" s="56" t="str">
        <x:f>I953</x:f>
        <x:v>国际护士节与南丁格尔有关，跟护士的性别没有关系。</x:v>
      </x:c>
      <x:c r="K953" s="55" t="inlineStr">
        <x:is>
          <x:t xml:space="preserve">无需改写</x:t>
        </x:is>
      </x:c>
      <x:c r="L953" s="56" t="inlineStr">
        <x:is>
          <x:t xml:space="preserve">护士节/性别</x:t>
        </x:is>
      </x:c>
      <x:c r="M953" s="56" t="inlineStr">
        <x:is>
          <x:t xml:space="preserve">节日由来说明，句子在澄清误解</x:t>
        </x:is>
      </x:c>
      <x:c r="N953" s="56" t="inlineStr">
        <x:is>
          <x:t xml:space="preserve">国际护士节与南丁格尔有关</x:t>
        </x:is>
      </x:c>
      <x:c r="O953" s="55" t="inlineStr">
        <x:is>
          <x:t xml:space="preserve">中</x:t>
        </x:is>
      </x:c>
      <x:c r="P953" s="55" t="inlineStr">
        <x:is>
          <x:t xml:space="preserve">否</x:t>
        </x:is>
      </x:c>
      <x:c r="Q953" s="56" t="n"/>
      <x:c r="R953" s="57" t="inlineStr">
        <x:is>
          <x:t xml:space="preserve">主集</x:t>
        </x:is>
      </x:c>
      <x:c r="S953" s="57" t="inlineStr">
        <x:is>
          <x:t xml:space="preserve">index</x:t>
        </x:is>
      </x:c>
      <x:c r="T953" s="57" t="inlineStr">
        <x:is>
          <x:t xml:space="preserve"/>
        </x:is>
      </x:c>
    </x:row>
    <x:row r="954" s="37" customFormat="1" ht="15" customHeight="1">
      <x:c r="A954" s="58" t="inlineStr">
        <x:is>
          <x:t xml:space="preserve">NEG-0953</x:t>
        </x:is>
      </x:c>
      <x:c r="B954" s="58" t="inlineStr">
        <x:is>
          <x:t xml:space="preserve">v6</x:t>
        </x:is>
      </x:c>
      <x:c r="C954" s="59" t="inlineStr">
        <x:is>
          <x:t xml:space="preserve">四、专有名词与固定名称</x:t>
        </x:is>
      </x:c>
      <x:c r="D954" s="59" t="inlineStr">
        <x:is>
          <x:t xml:space="preserve">4.5 作品名与文化产品</x:t>
        </x:is>
      </x:c>
      <x:c r="E954" s="59" t="inlineStr">
        <x:is>
          <x:t xml:space="preserve">文艺创作与评论</x:t>
        </x:is>
      </x:c>
      <x:c r="F954" s="59" t="inlineStr">
        <x:is>
          <x:t xml:space="preserve">戏剧评论</x:t>
        </x:is>
      </x:c>
      <x:c r="G954" s="58" t="inlineStr">
        <x:is>
          <x:t xml:space="preserve">无</x:t>
        </x:is>
      </x:c>
      <x:c r="H954" s="58" t="str">
        <x:f>IF(LEN(I954)&lt;15,"短",IF(LEN(I954)&lt;=45,"中","长"))</x:f>
        <x:v>中</x:v>
      </x:c>
      <x:c r="I954" s="59" t="inlineStr">
        <x:is>
          <x:t xml:space="preserve">《雷雨》里繁漪这个角色，历来解读分歧就很大。</x:t>
        </x:is>
      </x:c>
      <x:c r="J954" s="59" t="str">
        <x:f>I954</x:f>
        <x:v>《雷雨》里繁漪这个角色，历来解读分歧就很大。</x:v>
      </x:c>
      <x:c r="K954" s="58" t="inlineStr">
        <x:is>
          <x:t xml:space="preserve">无需改写</x:t>
        </x:is>
      </x:c>
      <x:c r="L954" s="59" t="inlineStr">
        <x:is>
          <x:t xml:space="preserve">繁漪</x:t>
        </x:is>
      </x:c>
      <x:c r="M954" s="59" t="inlineStr">
        <x:is>
          <x:t xml:space="preserve">剧中人物专名</x:t>
        </x:is>
      </x:c>
      <x:c r="N954" s="59" t="inlineStr">
        <x:is>
          <x:t xml:space="preserve">《雷雨》里的这个角色，历来解读分歧很大</x:t>
        </x:is>
      </x:c>
      <x:c r="O954" s="58" t="inlineStr">
        <x:is>
          <x:t xml:space="preserve">易</x:t>
        </x:is>
      </x:c>
      <x:c r="P954" s="58" t="inlineStr">
        <x:is>
          <x:t xml:space="preserve">否</x:t>
        </x:is>
      </x:c>
      <x:c r="Q954" s="59" t="n"/>
      <x:c r="R954" s="60" t="inlineStr">
        <x:is>
          <x:t xml:space="preserve">隔离·待确认</x:t>
        </x:is>
      </x:c>
      <x:c r="S954" s="60" t="inlineStr">
        <x:is>
          <x:t xml:space="preserve"/>
        </x:is>
      </x:c>
      <x:c r="T954" s="60" t="inlineStr">
        <x:is>
          <x:t xml:space="preserve">触发词不含性别编码——判断可能依赖世界知识而非句内信息</x:t>
        </x:is>
      </x:c>
    </x:row>
    <x:row r="955" s="37" customFormat="1" ht="29.850000381469727" customHeight="1">
      <x:c r="A955" s="55" t="inlineStr">
        <x:is>
          <x:t xml:space="preserve">NEG-0954</x:t>
        </x:is>
      </x:c>
      <x:c r="B955" s="55" t="inlineStr">
        <x:is>
          <x:t xml:space="preserve">v6</x:t>
        </x:is>
      </x:c>
      <x:c r="C955" s="56" t="inlineStr">
        <x:is>
          <x:t xml:space="preserve">四、专有名词与固定名称</x:t>
        </x:is>
      </x:c>
      <x:c r="D955" s="56" t="inlineStr">
        <x:is>
          <x:t xml:space="preserve">4.5 作品名与文化产品</x:t>
        </x:is>
      </x:c>
      <x:c r="E955" s="56" t="inlineStr">
        <x:is>
          <x:t xml:space="preserve">文艺创作与评论</x:t>
        </x:is>
      </x:c>
      <x:c r="F955" s="56" t="inlineStr">
        <x:is>
          <x:t xml:space="preserve">文学讲读</x:t>
        </x:is>
      </x:c>
      <x:c r="G955" s="55" t="inlineStr">
        <x:is>
          <x:t xml:space="preserve">无</x:t>
        </x:is>
      </x:c>
      <x:c r="H955" s="55" t="str">
        <x:f>IF(LEN(I955)&lt;15,"短",IF(LEN(I955)&lt;=45,"中","长"))</x:f>
        <x:v>中</x:v>
      </x:c>
      <x:c r="I955" s="56" t="inlineStr">
        <x:is>
          <x:t xml:space="preserve">《傲慢与偏见》开头那句关于单身男子的话，几乎人人会背。</x:t>
        </x:is>
      </x:c>
      <x:c r="J955" s="56" t="str">
        <x:f>I955</x:f>
        <x:v>《傲慢与偏见》开头那句关于单身男子的话，几乎人人会背。</x:v>
      </x:c>
      <x:c r="K955" s="55" t="inlineStr">
        <x:is>
          <x:t xml:space="preserve">无需改写</x:t>
        </x:is>
      </x:c>
      <x:c r="L955" s="56" t="inlineStr">
        <x:is>
          <x:t xml:space="preserve">单身男子</x:t>
        </x:is>
      </x:c>
      <x:c r="M955" s="56" t="inlineStr">
        <x:is>
          <x:t xml:space="preserve">小说开篇原文的指涉</x:t>
        </x:is>
      </x:c>
      <x:c r="N955" s="56" t="inlineStr">
        <x:is>
          <x:t xml:space="preserve">《傲慢与偏见》的开篇那句话几乎人人会背</x:t>
        </x:is>
      </x:c>
      <x:c r="O955" s="55" t="inlineStr">
        <x:is>
          <x:t xml:space="preserve">中</x:t>
        </x:is>
      </x:c>
      <x:c r="P955" s="55" t="inlineStr">
        <x:is>
          <x:t xml:space="preserve">否</x:t>
        </x:is>
      </x:c>
      <x:c r="Q955" s="56" t="n"/>
      <x:c r="R955" s="57" t="inlineStr">
        <x:is>
          <x:t xml:space="preserve">主集</x:t>
        </x:is>
      </x:c>
      <x:c r="S955" s="57" t="inlineStr">
        <x:is>
          <x:t xml:space="preserve">test</x:t>
        </x:is>
      </x:c>
      <x:c r="T955" s="57" t="inlineStr">
        <x:is>
          <x:t xml:space="preserve"/>
        </x:is>
      </x:c>
    </x:row>
    <x:row r="956" s="37" customFormat="1" ht="15" customHeight="1">
      <x:c r="A956" s="55" t="inlineStr">
        <x:is>
          <x:t xml:space="preserve">NEG-0955</x:t>
        </x:is>
      </x:c>
      <x:c r="B956" s="55" t="inlineStr">
        <x:is>
          <x:t xml:space="preserve">v6</x:t>
        </x:is>
      </x:c>
      <x:c r="C956" s="56" t="inlineStr">
        <x:is>
          <x:t xml:space="preserve">四、专有名词与固定名称</x:t>
        </x:is>
      </x:c>
      <x:c r="D956" s="56" t="inlineStr">
        <x:is>
          <x:t xml:space="preserve">4.5 作品名与文化产品</x:t>
        </x:is>
      </x:c>
      <x:c r="E956" s="56" t="inlineStr">
        <x:is>
          <x:t xml:space="preserve">学术与调研</x:t>
        </x:is>
      </x:c>
      <x:c r="F956" s="56" t="inlineStr">
        <x:is>
          <x:t xml:space="preserve">书目介绍</x:t>
        </x:is>
      </x:c>
      <x:c r="G956" s="55" t="inlineStr">
        <x:is>
          <x:t xml:space="preserve">无</x:t>
        </x:is>
      </x:c>
      <x:c r="H956" s="55" t="str">
        <x:f>IF(LEN(I956)&lt;15,"短",IF(LEN(I956)&lt;=45,"中","长"))</x:f>
        <x:v>中</x:v>
      </x:c>
      <x:c r="I956" s="56" t="inlineStr">
        <x:is>
          <x:t xml:space="preserve">《小妇人》里四个姐妹各有各的路。</x:t>
        </x:is>
      </x:c>
      <x:c r="J956" s="56" t="str">
        <x:f>I956</x:f>
        <x:v>《小妇人》里四个姐妹各有各的路。</x:v>
      </x:c>
      <x:c r="K956" s="55" t="inlineStr">
        <x:is>
          <x:t xml:space="preserve">无需改写</x:t>
        </x:is>
      </x:c>
      <x:c r="L956" s="56" t="inlineStr">
        <x:is>
          <x:t xml:space="preserve">小妇人/姐妹</x:t>
        </x:is>
      </x:c>
      <x:c r="M956" s="56" t="inlineStr">
        <x:is>
          <x:t xml:space="preserve">书名与人物关系</x:t>
        </x:is>
      </x:c>
      <x:c r="N956" s="56" t="inlineStr">
        <x:is>
          <x:t xml:space="preserve">《小妇人》里四个孩子各有各的路</x:t>
        </x:is>
      </x:c>
      <x:c r="O956" s="55" t="inlineStr">
        <x:is>
          <x:t xml:space="preserve">易</x:t>
        </x:is>
      </x:c>
      <x:c r="P956" s="55" t="inlineStr">
        <x:is>
          <x:t xml:space="preserve">否</x:t>
        </x:is>
      </x:c>
      <x:c r="Q956" s="56" t="n"/>
      <x:c r="R956" s="57" t="inlineStr">
        <x:is>
          <x:t xml:space="preserve">主集</x:t>
        </x:is>
      </x:c>
      <x:c r="S956" s="57" t="inlineStr">
        <x:is>
          <x:t xml:space="preserve">test</x:t>
        </x:is>
      </x:c>
      <x:c r="T956" s="57" t="inlineStr">
        <x:is>
          <x:t xml:space="preserve"/>
        </x:is>
      </x:c>
    </x:row>
    <x:row r="957" s="37" customFormat="1" ht="29.850000381469727" customHeight="1">
      <x:c r="A957" s="55" t="inlineStr">
        <x:is>
          <x:t xml:space="preserve">NEG-0956</x:t>
        </x:is>
      </x:c>
      <x:c r="B957" s="55" t="inlineStr">
        <x:is>
          <x:t xml:space="preserve">v6</x:t>
        </x:is>
      </x:c>
      <x:c r="C957" s="56" t="inlineStr">
        <x:is>
          <x:t xml:space="preserve">四、专有名词与固定名称</x:t>
        </x:is>
      </x:c>
      <x:c r="D957" s="56" t="inlineStr">
        <x:is>
          <x:t xml:space="preserve">4.6 历史与制度术语</x:t>
        </x:is>
      </x:c>
      <x:c r="E957" s="56" t="inlineStr">
        <x:is>
          <x:t xml:space="preserve">其他</x:t>
        </x:is>
      </x:c>
      <x:c r="F957" s="56" t="inlineStr">
        <x:is>
          <x:t xml:space="preserve">思想史</x:t>
        </x:is>
      </x:c>
      <x:c r="G957" s="55" t="inlineStr">
        <x:is>
          <x:t xml:space="preserve">无</x:t>
        </x:is>
      </x:c>
      <x:c r="H957" s="55" t="str">
        <x:f>IF(LEN(I957)&lt;15,"短",IF(LEN(I957)&lt;=45,"中","长"))</x:f>
        <x:v>中</x:v>
      </x:c>
      <x:c r="I957" s="56" t="inlineStr">
        <x:is>
          <x:t xml:space="preserve">“三纲五常”里的“夫为妻纲”，是后世争议最大的一条。</x:t>
        </x:is>
      </x:c>
      <x:c r="J957" s="56" t="str">
        <x:f>I957</x:f>
        <x:v>“三纲五常”里的“夫为妻纲”，是后世争议最大的一条。</x:v>
      </x:c>
      <x:c r="K957" s="55" t="inlineStr">
        <x:is>
          <x:t xml:space="preserve">无需改写</x:t>
        </x:is>
      </x:c>
      <x:c r="L957" s="56" t="inlineStr">
        <x:is>
          <x:t xml:space="preserve">夫为妻纲</x:t>
        </x:is>
      </x:c>
      <x:c r="M957" s="56" t="inlineStr">
        <x:is>
          <x:t xml:space="preserve">历史概念原文，且句子已含批判</x:t>
        </x:is>
      </x:c>
      <x:c r="N957" s="56" t="inlineStr">
        <x:is>
          <x:t xml:space="preserve">“三纲五常”中有一条是后世争议最大的</x:t>
        </x:is>
      </x:c>
      <x:c r="O957" s="55" t="inlineStr">
        <x:is>
          <x:t xml:space="preserve">中</x:t>
        </x:is>
      </x:c>
      <x:c r="P957" s="55" t="inlineStr">
        <x:is>
          <x:t xml:space="preserve">否</x:t>
        </x:is>
      </x:c>
      <x:c r="Q957" s="56" t="n"/>
      <x:c r="R957" s="57" t="inlineStr">
        <x:is>
          <x:t xml:space="preserve">主集</x:t>
        </x:is>
      </x:c>
      <x:c r="S957" s="57" t="inlineStr">
        <x:is>
          <x:t xml:space="preserve">index</x:t>
        </x:is>
      </x:c>
      <x:c r="T957" s="57" t="inlineStr">
        <x:is>
          <x:t xml:space="preserve"/>
        </x:is>
      </x:c>
    </x:row>
    <x:row r="958" s="37" customFormat="1" ht="15" customHeight="1">
      <x:c r="A958" s="55" t="inlineStr">
        <x:is>
          <x:t xml:space="preserve">NEG-0957</x:t>
        </x:is>
      </x:c>
      <x:c r="B958" s="55" t="inlineStr">
        <x:is>
          <x:t xml:space="preserve">v6</x:t>
        </x:is>
      </x:c>
      <x:c r="C958" s="56" t="inlineStr">
        <x:is>
          <x:t xml:space="preserve">四、专有名词与固定名称</x:t>
        </x:is>
      </x:c>
      <x:c r="D958" s="56" t="inlineStr">
        <x:is>
          <x:t xml:space="preserve">4.6 历史与制度术语</x:t>
        </x:is>
      </x:c>
      <x:c r="E958" s="56" t="inlineStr">
        <x:is>
          <x:t xml:space="preserve">法律与司法</x:t>
        </x:is>
      </x:c>
      <x:c r="F958" s="56" t="inlineStr">
        <x:is>
          <x:t xml:space="preserve">法制史</x:t>
        </x:is>
      </x:c>
      <x:c r="G958" s="55" t="inlineStr">
        <x:is>
          <x:t xml:space="preserve">无</x:t>
        </x:is>
      </x:c>
      <x:c r="H958" s="55" t="str">
        <x:f>IF(LEN(I958)&lt;15,"短",IF(LEN(I958)&lt;=45,"中","长"))</x:f>
        <x:v>中</x:v>
      </x:c>
      <x:c r="I958" s="56" t="inlineStr">
        <x:is>
          <x:t xml:space="preserve">寡妇再嫁在不同朝代的法律待遇差别很大。</x:t>
        </x:is>
      </x:c>
      <x:c r="J958" s="56" t="str">
        <x:f>I958</x:f>
        <x:v>寡妇再嫁在不同朝代的法律待遇差别很大。</x:v>
      </x:c>
      <x:c r="K958" s="55" t="inlineStr">
        <x:is>
          <x:t xml:space="preserve">无需改写</x:t>
        </x:is>
      </x:c>
      <x:c r="L958" s="56" t="inlineStr">
        <x:is>
          <x:t xml:space="preserve">寡妇再嫁</x:t>
        </x:is>
      </x:c>
      <x:c r="M958" s="56" t="inlineStr">
        <x:is>
          <x:t xml:space="preserve">历史制度的研究对象</x:t>
        </x:is>
      </x:c>
      <x:c r="N958" s="56" t="inlineStr">
        <x:is>
          <x:t xml:space="preserve">再婚在不同朝代的法律待遇差别很大</x:t>
        </x:is>
      </x:c>
      <x:c r="O958" s="55" t="inlineStr">
        <x:is>
          <x:t xml:space="preserve">中</x:t>
        </x:is>
      </x:c>
      <x:c r="P958" s="55" t="inlineStr">
        <x:is>
          <x:t xml:space="preserve">否</x:t>
        </x:is>
      </x:c>
      <x:c r="Q958" s="56" t="n"/>
      <x:c r="R958" s="57" t="inlineStr">
        <x:is>
          <x:t xml:space="preserve">主集</x:t>
        </x:is>
      </x:c>
      <x:c r="S958" s="57" t="inlineStr">
        <x:is>
          <x:t xml:space="preserve">dev</x:t>
        </x:is>
      </x:c>
      <x:c r="T958" s="57" t="inlineStr">
        <x:is>
          <x:t xml:space="preserve"/>
        </x:is>
      </x:c>
    </x:row>
    <x:row r="959" s="37" customFormat="1" ht="15" customHeight="1">
      <x:c r="A959" s="55" t="inlineStr">
        <x:is>
          <x:t xml:space="preserve">NEG-0958</x:t>
        </x:is>
      </x:c>
      <x:c r="B959" s="55" t="inlineStr">
        <x:is>
          <x:t xml:space="preserve">v6</x:t>
        </x:is>
      </x:c>
      <x:c r="C959" s="56" t="inlineStr">
        <x:is>
          <x:t xml:space="preserve">四、专有名词与固定名称</x:t>
        </x:is>
      </x:c>
      <x:c r="D959" s="56" t="inlineStr">
        <x:is>
          <x:t xml:space="preserve">4.6 历史与制度术语</x:t>
        </x:is>
      </x:c>
      <x:c r="E959" s="56" t="inlineStr">
        <x:is>
          <x:t xml:space="preserve">学术与调研</x:t>
        </x:is>
      </x:c>
      <x:c r="F959" s="56" t="inlineStr">
        <x:is>
          <x:t xml:space="preserve">历史评论</x:t>
        </x:is>
      </x:c>
      <x:c r="G959" s="55" t="inlineStr">
        <x:is>
          <x:t xml:space="preserve">无</x:t>
        </x:is>
      </x:c>
      <x:c r="H959" s="55" t="str">
        <x:f>IF(LEN(I959)&lt;15,"短",IF(LEN(I959)&lt;=45,"中","长"))</x:f>
        <x:v>中</x:v>
      </x:c>
      <x:c r="I959" s="56" t="inlineStr">
        <x:is>
          <x:t xml:space="preserve">古代的“和亲”，本质上是以女性为纽带的政治安排。</x:t>
        </x:is>
      </x:c>
      <x:c r="J959" s="56" t="str">
        <x:f>I959</x:f>
        <x:v>古代的“和亲”，本质上是以女性为纽带的政治安排。</x:v>
      </x:c>
      <x:c r="K959" s="55" t="inlineStr">
        <x:is>
          <x:t xml:space="preserve">无需改写</x:t>
        </x:is>
      </x:c>
      <x:c r="L959" s="56" t="inlineStr">
        <x:is>
          <x:t xml:space="preserve">和亲/女性</x:t>
        </x:is>
      </x:c>
      <x:c r="M959" s="56" t="inlineStr">
        <x:is>
          <x:t xml:space="preserve">历史制度及其批判性分析</x:t>
        </x:is>
      </x:c>
      <x:c r="N959" s="56" t="inlineStr">
        <x:is>
          <x:t xml:space="preserve">古代的“和亲”本质上是一种政治安排</x:t>
        </x:is>
      </x:c>
      <x:c r="O959" s="55" t="inlineStr">
        <x:is>
          <x:t xml:space="preserve">难</x:t>
        </x:is>
      </x:c>
      <x:c r="P959" s="55" t="inlineStr">
        <x:is>
          <x:t xml:space="preserve">否</x:t>
        </x:is>
      </x:c>
      <x:c r="Q959" s="56" t="n"/>
      <x:c r="R959" s="57" t="inlineStr">
        <x:is>
          <x:t xml:space="preserve">主集</x:t>
        </x:is>
      </x:c>
      <x:c r="S959" s="57" t="inlineStr">
        <x:is>
          <x:t xml:space="preserve">dev</x:t>
        </x:is>
      </x:c>
      <x:c r="T959" s="57" t="inlineStr">
        <x:is>
          <x:t xml:space="preserve"/>
        </x:is>
      </x:c>
    </x:row>
    <x:row r="960" s="37" customFormat="1" ht="29.850000381469727" customHeight="1">
      <x:c r="A960" s="55" t="inlineStr">
        <x:is>
          <x:t xml:space="preserve">NEG-0959</x:t>
        </x:is>
      </x:c>
      <x:c r="B960" s="55" t="inlineStr">
        <x:is>
          <x:t xml:space="preserve">v6</x:t>
        </x:is>
      </x:c>
      <x:c r="C960" s="56" t="inlineStr">
        <x:is>
          <x:t xml:space="preserve">四、专有名词与固定名称</x:t>
        </x:is>
      </x:c>
      <x:c r="D960" s="56" t="inlineStr">
        <x:is>
          <x:t xml:space="preserve">4.7 学术与批判性概念</x:t>
        </x:is>
      </x:c>
      <x:c r="E960" s="56" t="inlineStr">
        <x:is>
          <x:t xml:space="preserve">学术与调研</x:t>
        </x:is>
      </x:c>
      <x:c r="F960" s="56" t="inlineStr">
        <x:is>
          <x:t xml:space="preserve">劳动研究</x:t>
        </x:is>
      </x:c>
      <x:c r="G960" s="55" t="inlineStr">
        <x:is>
          <x:t xml:space="preserve">无</x:t>
        </x:is>
      </x:c>
      <x:c r="H960" s="55" t="str">
        <x:f>IF(LEN(I960)&lt;15,"短",IF(LEN(I960)&lt;=45,"中","长"))</x:f>
        <x:v>中</x:v>
      </x:c>
      <x:c r="I960" s="56" t="inlineStr">
        <x:is>
          <x:t xml:space="preserve">“男主外女主内”作为分析概念时，指的是一种劳动分工模式。</x:t>
        </x:is>
      </x:c>
      <x:c r="J960" s="56" t="str">
        <x:f>I960</x:f>
        <x:v>“男主外女主内”作为分析概念时，指的是一种劳动分工模式。</x:v>
      </x:c>
      <x:c r="K960" s="55" t="inlineStr">
        <x:is>
          <x:t xml:space="preserve">无需改写</x:t>
        </x:is>
      </x:c>
      <x:c r="L960" s="56" t="inlineStr">
        <x:is>
          <x:t xml:space="preserve">男主外女主内</x:t>
        </x:is>
      </x:c>
      <x:c r="M960" s="56" t="inlineStr">
        <x:is>
          <x:t xml:space="preserve">术语在学术语境中的界定</x:t>
        </x:is>
      </x:c>
      <x:c r="N960" s="56" t="inlineStr">
        <x:is>
          <x:t xml:space="preserve">这一分工模式作为分析概念时另有所指</x:t>
        </x:is>
      </x:c>
      <x:c r="O960" s="55" t="inlineStr">
        <x:is>
          <x:t xml:space="preserve">难</x:t>
        </x:is>
      </x:c>
      <x:c r="P960" s="55" t="inlineStr">
        <x:is>
          <x:t xml:space="preserve">否</x:t>
        </x:is>
      </x:c>
      <x:c r="Q960" s="56" t="n"/>
      <x:c r="R960" s="57" t="inlineStr">
        <x:is>
          <x:t xml:space="preserve">主集</x:t>
        </x:is>
      </x:c>
      <x:c r="S960" s="57" t="inlineStr">
        <x:is>
          <x:t xml:space="preserve">test</x:t>
        </x:is>
      </x:c>
      <x:c r="T960" s="57" t="inlineStr">
        <x:is>
          <x:t xml:space="preserve"/>
        </x:is>
      </x:c>
    </x:row>
    <x:row r="961" s="37" customFormat="1" ht="15" customHeight="1">
      <x:c r="A961" s="55" t="inlineStr">
        <x:is>
          <x:t xml:space="preserve">NEG-0960</x:t>
        </x:is>
      </x:c>
      <x:c r="B961" s="55" t="inlineStr">
        <x:is>
          <x:t xml:space="preserve">v6</x:t>
        </x:is>
      </x:c>
      <x:c r="C961" s="56" t="inlineStr">
        <x:is>
          <x:t xml:space="preserve">四、专有名词与固定名称</x:t>
        </x:is>
      </x:c>
      <x:c r="D961" s="56" t="inlineStr">
        <x:is>
          <x:t xml:space="preserve">4.7 学术与批判性概念</x:t>
        </x:is>
      </x:c>
      <x:c r="E961" s="56" t="inlineStr">
        <x:is>
          <x:t xml:space="preserve">学术与调研</x:t>
        </x:is>
      </x:c>
      <x:c r="F961" s="56" t="inlineStr">
        <x:is>
          <x:t xml:space="preserve">性别研究</x:t>
        </x:is>
      </x:c>
      <x:c r="G961" s="55" t="inlineStr">
        <x:is>
          <x:t xml:space="preserve">无</x:t>
        </x:is>
      </x:c>
      <x:c r="H961" s="55" t="str">
        <x:f>IF(LEN(I961)&lt;15,"短",IF(LEN(I961)&lt;=45,"中","长"))</x:f>
        <x:v>中</x:v>
      </x:c>
      <x:c r="I961" s="56" t="inlineStr">
        <x:is>
          <x:t xml:space="preserve">“性别表达”和“性别认同”是两个概念，不能混用。</x:t>
        </x:is>
      </x:c>
      <x:c r="J961" s="56" t="str">
        <x:f>I961</x:f>
        <x:v>“性别表达”和“性别认同”是两个概念，不能混用。</x:v>
      </x:c>
      <x:c r="K961" s="55" t="inlineStr">
        <x:is>
          <x:t xml:space="preserve">无需改写</x:t>
        </x:is>
      </x:c>
      <x:c r="L961" s="56" t="inlineStr">
        <x:is>
          <x:t xml:space="preserve">性别表达/性别认同</x:t>
        </x:is>
      </x:c>
      <x:c r="M961" s="56" t="inlineStr">
        <x:is>
          <x:t xml:space="preserve">学科基本术语的辨析</x:t>
        </x:is>
      </x:c>
      <x:c r="N961" s="56" t="inlineStr">
        <x:is>
          <x:t xml:space="preserve">这两个相关概念不能混用</x:t>
        </x:is>
      </x:c>
      <x:c r="O961" s="55" t="inlineStr">
        <x:is>
          <x:t xml:space="preserve">易</x:t>
        </x:is>
      </x:c>
      <x:c r="P961" s="55" t="inlineStr">
        <x:is>
          <x:t xml:space="preserve">否</x:t>
        </x:is>
      </x:c>
      <x:c r="Q961" s="56" t="n"/>
      <x:c r="R961" s="57" t="inlineStr">
        <x:is>
          <x:t xml:space="preserve">主集</x:t>
        </x:is>
      </x:c>
      <x:c r="S961" s="57" t="inlineStr">
        <x:is>
          <x:t xml:space="preserve">index</x:t>
        </x:is>
      </x:c>
      <x:c r="T961" s="57" t="inlineStr">
        <x:is>
          <x:t xml:space="preserve"/>
        </x:is>
      </x:c>
    </x:row>
    <x:row r="962" s="37" customFormat="1" ht="15" customHeight="1">
      <x:c r="A962" s="55" t="inlineStr">
        <x:is>
          <x:t xml:space="preserve">NEG-0961</x:t>
        </x:is>
      </x:c>
      <x:c r="B962" s="55" t="inlineStr">
        <x:is>
          <x:t xml:space="preserve">v6</x:t>
        </x:is>
      </x:c>
      <x:c r="C962" s="56" t="inlineStr">
        <x:is>
          <x:t xml:space="preserve">四、专有名词与固定名称</x:t>
        </x:is>
      </x:c>
      <x:c r="D962" s="56" t="inlineStr">
        <x:is>
          <x:t xml:space="preserve">4.7 学术与批判性概念</x:t>
        </x:is>
      </x:c>
      <x:c r="E962" s="56" t="inlineStr">
        <x:is>
          <x:t xml:space="preserve">其他</x:t>
        </x:is>
      </x:c>
      <x:c r="F962" s="56" t="inlineStr">
        <x:is>
          <x:t xml:space="preserve">术语辨析</x:t>
        </x:is>
      </x:c>
      <x:c r="G962" s="55" t="inlineStr">
        <x:is>
          <x:t xml:space="preserve">无</x:t>
        </x:is>
      </x:c>
      <x:c r="H962" s="55" t="str">
        <x:f>IF(LEN(I962)&lt;15,"短",IF(LEN(I962)&lt;=45,"中","长"))</x:f>
        <x:v>中</x:v>
      </x:c>
      <x:c r="I962" s="56" t="inlineStr">
        <x:is>
          <x:t xml:space="preserve">“厌女”是学术译名，与日常说的讨厌女性不是一回事。</x:t>
        </x:is>
      </x:c>
      <x:c r="J962" s="56" t="str">
        <x:f>I962</x:f>
        <x:v>“厌女”是学术译名，与日常说的讨厌女性不是一回事。</x:v>
      </x:c>
      <x:c r="K962" s="55" t="inlineStr">
        <x:is>
          <x:t xml:space="preserve">无需改写</x:t>
        </x:is>
      </x:c>
      <x:c r="L962" s="56" t="inlineStr">
        <x:is>
          <x:t xml:space="preserve">厌女</x:t>
        </x:is>
      </x:c>
      <x:c r="M962" s="56" t="inlineStr">
        <x:is>
          <x:t xml:space="preserve">术语说明，句子在澄清误读</x:t>
        </x:is>
      </x:c>
      <x:c r="N962" s="56" t="inlineStr">
        <x:is>
          <x:t xml:space="preserve">这一学术译名与日常理解不是一回事</x:t>
        </x:is>
      </x:c>
      <x:c r="O962" s="55" t="inlineStr">
        <x:is>
          <x:t xml:space="preserve">难</x:t>
        </x:is>
      </x:c>
      <x:c r="P962" s="55" t="inlineStr">
        <x:is>
          <x:t xml:space="preserve">否</x:t>
        </x:is>
      </x:c>
      <x:c r="Q962" s="56" t="n"/>
      <x:c r="R962" s="57" t="inlineStr">
        <x:is>
          <x:t xml:space="preserve">主集</x:t>
        </x:is>
      </x:c>
      <x:c r="S962" s="57" t="inlineStr">
        <x:is>
          <x:t xml:space="preserve">index</x:t>
        </x:is>
      </x:c>
      <x:c r="T962" s="57" t="inlineStr">
        <x:is>
          <x:t xml:space="preserve"/>
        </x:is>
      </x:c>
    </x:row>
    <x:row r="963" s="37" customFormat="1" ht="15" customHeight="1">
      <x:c r="A963" s="55" t="inlineStr">
        <x:is>
          <x:t xml:space="preserve">NEG-0962</x:t>
        </x:is>
      </x:c>
      <x:c r="B963" s="55" t="inlineStr">
        <x:is>
          <x:t xml:space="preserve">v6</x:t>
        </x:is>
      </x:c>
      <x:c r="C963" s="56" t="inlineStr">
        <x:is>
          <x:t xml:space="preserve">五、引用与转述</x:t>
        </x:is>
      </x:c>
      <x:c r="D963" s="56" t="inlineStr">
        <x:is>
          <x:t xml:space="preserve">5.1 直接引语</x:t>
        </x:is>
      </x:c>
      <x:c r="E963" s="56" t="inlineStr">
        <x:is>
          <x:t xml:space="preserve">其他</x:t>
        </x:is>
      </x:c>
      <x:c r="F963" s="56" t="inlineStr">
        <x:is>
          <x:t xml:space="preserve">追悼会</x:t>
        </x:is>
      </x:c>
      <x:c r="G963" s="55" t="inlineStr">
        <x:is>
          <x:t xml:space="preserve">无</x:t>
        </x:is>
      </x:c>
      <x:c r="H963" s="55" t="str">
        <x:f>IF(LEN(I963)&lt;15,"短",IF(LEN(I963)&lt;=45,"中","长"))</x:f>
        <x:v>中</x:v>
      </x:c>
      <x:c r="I963" s="56" t="inlineStr">
        <x:is>
          <x:t xml:space="preserve">他在追悼会上说：“我妈一辈子没求过人。”</x:t>
        </x:is>
      </x:c>
      <x:c r="J963" s="56" t="str">
        <x:f>I963</x:f>
        <x:v>他在追悼会上说：“我妈一辈子没求过人。”</x:v>
      </x:c>
      <x:c r="K963" s="55" t="inlineStr">
        <x:is>
          <x:t xml:space="preserve">无需改写</x:t>
        </x:is>
      </x:c>
      <x:c r="L963" s="56" t="inlineStr">
        <x:is>
          <x:t xml:space="preserve">我妈</x:t>
        </x:is>
      </x:c>
      <x:c r="M963" s="56" t="inlineStr">
        <x:is>
          <x:t xml:space="preserve">悼词原话</x:t>
        </x:is>
      </x:c>
      <x:c r="N963" s="56" t="inlineStr">
        <x:is>
          <x:t xml:space="preserve">他在追悼会上回忆了母亲的一生</x:t>
        </x:is>
      </x:c>
      <x:c r="O963" s="55" t="inlineStr">
        <x:is>
          <x:t xml:space="preserve">难</x:t>
        </x:is>
      </x:c>
      <x:c r="P963" s="55" t="inlineStr">
        <x:is>
          <x:t xml:space="preserve">否</x:t>
        </x:is>
      </x:c>
      <x:c r="Q963" s="56" t="n"/>
      <x:c r="R963" s="57" t="inlineStr">
        <x:is>
          <x:t xml:space="preserve">主集</x:t>
        </x:is>
      </x:c>
      <x:c r="S963" s="57" t="inlineStr">
        <x:is>
          <x:t xml:space="preserve">index</x:t>
        </x:is>
      </x:c>
      <x:c r="T963" s="57" t="inlineStr">
        <x:is>
          <x:t xml:space="preserve"/>
        </x:is>
      </x:c>
    </x:row>
    <x:row r="964" s="37" customFormat="1" ht="29.850000381469727" customHeight="1">
      <x:c r="A964" s="55" t="inlineStr">
        <x:is>
          <x:t xml:space="preserve">NEG-0963</x:t>
        </x:is>
      </x:c>
      <x:c r="B964" s="55" t="inlineStr">
        <x:is>
          <x:t xml:space="preserve">v6</x:t>
        </x:is>
      </x:c>
      <x:c r="C964" s="56" t="inlineStr">
        <x:is>
          <x:t xml:space="preserve">五、引用与转述</x:t>
        </x:is>
      </x:c>
      <x:c r="D964" s="56" t="inlineStr">
        <x:is>
          <x:t xml:space="preserve">5.1 直接引语</x:t>
        </x:is>
      </x:c>
      <x:c r="E964" s="56" t="inlineStr">
        <x:is>
          <x:t xml:space="preserve">其他</x:t>
        </x:is>
      </x:c>
      <x:c r="F964" s="56" t="inlineStr">
        <x:is>
          <x:t xml:space="preserve">职场记录</x:t>
        </x:is>
      </x:c>
      <x:c r="G964" s="55" t="inlineStr">
        <x:is>
          <x:t xml:space="preserve">无</x:t>
        </x:is>
      </x:c>
      <x:c r="H964" s="55" t="str">
        <x:f>IF(LEN(I964)&lt;15,"短",IF(LEN(I964)&lt;=45,"中","长"))</x:f>
        <x:v>中</x:v>
      </x:c>
      <x:c r="I964" s="56" t="inlineStr">
        <x:is>
          <x:t xml:space="preserve">群里那句“这活儿交给男生吧”，后来被截图发到了内网。</x:t>
        </x:is>
      </x:c>
      <x:c r="J964" s="56" t="str">
        <x:f>I964</x:f>
        <x:v>群里那句“这活儿交给男生吧”，后来被截图发到了内网。</x:v>
      </x:c>
      <x:c r="K964" s="55" t="inlineStr">
        <x:is>
          <x:t xml:space="preserve">无需改写</x:t>
        </x:is>
      </x:c>
      <x:c r="L964" s="56" t="inlineStr">
        <x:is>
          <x:t xml:space="preserve">男生</x:t>
        </x:is>
      </x:c>
      <x:c r="M964" s="56" t="inlineStr">
        <x:is>
          <x:t xml:space="preserve">被举报的原话</x:t>
        </x:is>
      </x:c>
      <x:c r="N964" s="56" t="inlineStr">
        <x:is>
          <x:t xml:space="preserve">群里那句带倾向性的话被截图发到内网</x:t>
        </x:is>
      </x:c>
      <x:c r="O964" s="55" t="inlineStr">
        <x:is>
          <x:t xml:space="preserve">难</x:t>
        </x:is>
      </x:c>
      <x:c r="P964" s="55" t="inlineStr">
        <x:is>
          <x:t xml:space="preserve">否</x:t>
        </x:is>
      </x:c>
      <x:c r="Q964" s="56" t="n"/>
      <x:c r="R964" s="57" t="inlineStr">
        <x:is>
          <x:t xml:space="preserve">主集</x:t>
        </x:is>
      </x:c>
      <x:c r="S964" s="57" t="inlineStr">
        <x:is>
          <x:t xml:space="preserve">dev</x:t>
        </x:is>
      </x:c>
      <x:c r="T964" s="57" t="inlineStr">
        <x:is>
          <x:t xml:space="preserve"/>
        </x:is>
      </x:c>
    </x:row>
    <x:row r="965" s="37" customFormat="1" ht="15" customHeight="1">
      <x:c r="A965" s="55" t="inlineStr">
        <x:is>
          <x:t xml:space="preserve">NEG-0964</x:t>
        </x:is>
      </x:c>
      <x:c r="B965" s="55" t="inlineStr">
        <x:is>
          <x:t xml:space="preserve">v6</x:t>
        </x:is>
      </x:c>
      <x:c r="C965" s="56" t="inlineStr">
        <x:is>
          <x:t xml:space="preserve">五、引用与转述</x:t>
        </x:is>
      </x:c>
      <x:c r="D965" s="56" t="inlineStr">
        <x:is>
          <x:t xml:space="preserve">5.1 直接引语</x:t>
        </x:is>
      </x:c>
      <x:c r="E965" s="56" t="inlineStr">
        <x:is>
          <x:t xml:space="preserve">其他</x:t>
        </x:is>
      </x:c>
      <x:c r="F965" s="56" t="inlineStr">
        <x:is>
          <x:t xml:space="preserve">口述回忆</x:t>
        </x:is>
      </x:c>
      <x:c r="G965" s="55" t="inlineStr">
        <x:is>
          <x:t xml:space="preserve">无</x:t>
        </x:is>
      </x:c>
      <x:c r="H965" s="55" t="str">
        <x:f>IF(LEN(I965)&lt;15,"短",IF(LEN(I965)&lt;=45,"中","长"))</x:f>
        <x:v>中</x:v>
      </x:c>
      <x:c r="I965" s="56" t="inlineStr">
        <x:is>
          <x:t xml:space="preserve">“姑娘家读书没用”，这话我奶奶说过，我妈没说过。</x:t>
        </x:is>
      </x:c>
      <x:c r="J965" s="56" t="str">
        <x:f>I965</x:f>
        <x:v>“姑娘家读书没用”，这话我奶奶说过，我妈没说过。</x:v>
      </x:c>
      <x:c r="K965" s="55" t="inlineStr">
        <x:is>
          <x:t xml:space="preserve">无需改写</x:t>
        </x:is>
      </x:c>
      <x:c r="L965" s="56" t="inlineStr">
        <x:is>
          <x:t xml:space="preserve">姑娘家/奶奶/妈</x:t>
        </x:is>
      </x:c>
      <x:c r="M965" s="56" t="inlineStr">
        <x:is>
          <x:t xml:space="preserve">引语＋两代人的对比，是全句要点</x:t>
        </x:is>
      </x:c>
      <x:c r="N965" s="56" t="inlineStr">
        <x:is>
          <x:t xml:space="preserve">这类话我家上一辈说过，我妈没说过</x:t>
        </x:is>
      </x:c>
      <x:c r="O965" s="55" t="inlineStr">
        <x:is>
          <x:t xml:space="preserve">难</x:t>
        </x:is>
      </x:c>
      <x:c r="P965" s="55" t="inlineStr">
        <x:is>
          <x:t xml:space="preserve">否</x:t>
        </x:is>
      </x:c>
      <x:c r="Q965" s="56" t="n"/>
      <x:c r="R965" s="57" t="inlineStr">
        <x:is>
          <x:t xml:space="preserve">主集</x:t>
        </x:is>
      </x:c>
      <x:c r="S965" s="57" t="inlineStr">
        <x:is>
          <x:t xml:space="preserve">index</x:t>
        </x:is>
      </x:c>
      <x:c r="T965" s="57" t="inlineStr">
        <x:is>
          <x:t xml:space="preserve"/>
        </x:is>
      </x:c>
    </x:row>
    <x:row r="966" s="37" customFormat="1" ht="29.850000381469727" customHeight="1">
      <x:c r="A966" s="58" t="inlineStr">
        <x:is>
          <x:t xml:space="preserve">NEG-0965</x:t>
        </x:is>
      </x:c>
      <x:c r="B966" s="58" t="inlineStr">
        <x:is>
          <x:t xml:space="preserve">v6</x:t>
        </x:is>
      </x:c>
      <x:c r="C966" s="59" t="inlineStr">
        <x:is>
          <x:t xml:space="preserve">五、引用与转述</x:t>
        </x:is>
      </x:c>
      <x:c r="D966" s="59" t="inlineStr">
        <x:is>
          <x:t xml:space="preserve">5.2 文献与史料</x:t>
        </x:is>
      </x:c>
      <x:c r="E966" s="59" t="inlineStr">
        <x:is>
          <x:t xml:space="preserve">学术与调研</x:t>
        </x:is>
      </x:c>
      <x:c r="F966" s="59" t="inlineStr">
        <x:is>
          <x:t xml:space="preserve">古文教学</x:t>
        </x:is>
      </x:c>
      <x:c r="G966" s="58" t="inlineStr">
        <x:is>
          <x:t xml:space="preserve">无</x:t>
        </x:is>
      </x:c>
      <x:c r="H966" s="58" t="str">
        <x:f>IF(LEN(I966)&lt;15,"短",IF(LEN(I966)&lt;=45,"中","长"))</x:f>
        <x:v>中</x:v>
      </x:c>
      <x:c r="I966" s="59" t="inlineStr">
        <x:is>
          <x:t xml:space="preserve">《木兰辞》“当窗理云鬓”几句，历来被当作身份转换的转折。</x:t>
        </x:is>
      </x:c>
      <x:c r="J966" s="59" t="str">
        <x:f>I966</x:f>
        <x:v>《木兰辞》“当窗理云鬓”几句，历来被当作身份转换的转折。</x:v>
      </x:c>
      <x:c r="K966" s="58" t="inlineStr">
        <x:is>
          <x:t xml:space="preserve">无需改写</x:t>
        </x:is>
      </x:c>
      <x:c r="L966" s="59" t="inlineStr">
        <x:is>
          <x:t xml:space="preserve">当窗理云鬓</x:t>
        </x:is>
      </x:c>
      <x:c r="M966" s="59" t="inlineStr">
        <x:is>
          <x:t xml:space="preserve">原文引用与文学分析</x:t>
        </x:is>
      </x:c>
      <x:c r="N966" s="59" t="inlineStr">
        <x:is>
          <x:t xml:space="preserve">《木兰辞》中的几句历来被当作转折</x:t>
        </x:is>
      </x:c>
      <x:c r="O966" s="58" t="inlineStr">
        <x:is>
          <x:t xml:space="preserve">中</x:t>
        </x:is>
      </x:c>
      <x:c r="P966" s="58" t="inlineStr">
        <x:is>
          <x:t xml:space="preserve">否</x:t>
        </x:is>
      </x:c>
      <x:c r="Q966" s="59" t="n"/>
      <x:c r="R966" s="60" t="inlineStr">
        <x:is>
          <x:t xml:space="preserve">隔离·待确认</x:t>
        </x:is>
      </x:c>
      <x:c r="S966" s="60" t="inlineStr">
        <x:is>
          <x:t xml:space="preserve"/>
        </x:is>
      </x:c>
      <x:c r="T966" s="60" t="inlineStr">
        <x:is>
          <x:t xml:space="preserve">触发词不含性别编码——判断可能依赖世界知识而非句内信息</x:t>
        </x:is>
      </x:c>
    </x:row>
    <x:row r="967" s="37" customFormat="1" ht="15" customHeight="1">
      <x:c r="A967" s="55" t="inlineStr">
        <x:is>
          <x:t xml:space="preserve">NEG-0966</x:t>
        </x:is>
      </x:c>
      <x:c r="B967" s="55" t="inlineStr">
        <x:is>
          <x:t xml:space="preserve">v6</x:t>
        </x:is>
      </x:c>
      <x:c r="C967" s="56" t="inlineStr">
        <x:is>
          <x:t xml:space="preserve">五、引用与转述</x:t>
        </x:is>
      </x:c>
      <x:c r="D967" s="56" t="inlineStr">
        <x:is>
          <x:t xml:space="preserve">5.2 文献与史料</x:t>
        </x:is>
      </x:c>
      <x:c r="E967" s="56" t="inlineStr">
        <x:is>
          <x:t xml:space="preserve">公文与规章</x:t>
        </x:is>
      </x:c>
      <x:c r="F967" s="56" t="inlineStr">
        <x:is>
          <x:t xml:space="preserve">家书档案</x:t>
        </x:is>
      </x:c>
      <x:c r="G967" s="55" t="inlineStr">
        <x:is>
          <x:t xml:space="preserve">无</x:t>
        </x:is>
      </x:c>
      <x:c r="H967" s="55" t="str">
        <x:f>IF(LEN(I967)&lt;15,"短",IF(LEN(I967)&lt;=45,"中","长"))</x:f>
        <x:v>中</x:v>
      </x:c>
      <x:c r="I967" s="56" t="inlineStr">
        <x:is>
          <x:t xml:space="preserve">这封民国家书的抬头写的是“慈母大人膝下”。</x:t>
        </x:is>
      </x:c>
      <x:c r="J967" s="56" t="str">
        <x:f>I967</x:f>
        <x:v>这封民国家书的抬头写的是“慈母大人膝下”。</x:v>
      </x:c>
      <x:c r="K967" s="55" t="inlineStr">
        <x:is>
          <x:t xml:space="preserve">无需改写</x:t>
        </x:is>
      </x:c>
      <x:c r="L967" s="56" t="inlineStr">
        <x:is>
          <x:t xml:space="preserve">慈母大人膝下</x:t>
        </x:is>
      </x:c>
      <x:c r="M967" s="56" t="inlineStr">
        <x:is>
          <x:t xml:space="preserve">书信抬头的原文</x:t>
        </x:is>
      </x:c>
      <x:c r="N967" s="56" t="inlineStr">
        <x:is>
          <x:t xml:space="preserve">这封民国家书用的是旧式抬头</x:t>
        </x:is>
      </x:c>
      <x:c r="O967" s="55" t="inlineStr">
        <x:is>
          <x:t xml:space="preserve">中</x:t>
        </x:is>
      </x:c>
      <x:c r="P967" s="55" t="inlineStr">
        <x:is>
          <x:t xml:space="preserve">否</x:t>
        </x:is>
      </x:c>
      <x:c r="Q967" s="56" t="n"/>
      <x:c r="R967" s="57" t="inlineStr">
        <x:is>
          <x:t xml:space="preserve">主集</x:t>
        </x:is>
      </x:c>
      <x:c r="S967" s="57" t="inlineStr">
        <x:is>
          <x:t xml:space="preserve">dev</x:t>
        </x:is>
      </x:c>
      <x:c r="T967" s="57" t="inlineStr">
        <x:is>
          <x:t xml:space="preserve"/>
        </x:is>
      </x:c>
    </x:row>
    <x:row r="968" s="37" customFormat="1" ht="15" customHeight="1">
      <x:c r="A968" s="55" t="inlineStr">
        <x:is>
          <x:t xml:space="preserve">NEG-0967</x:t>
        </x:is>
      </x:c>
      <x:c r="B968" s="55" t="inlineStr">
        <x:is>
          <x:t xml:space="preserve">v6</x:t>
        </x:is>
      </x:c>
      <x:c r="C968" s="56" t="inlineStr">
        <x:is>
          <x:t xml:space="preserve">五、引用与转述</x:t>
        </x:is>
      </x:c>
      <x:c r="D968" s="56" t="inlineStr">
        <x:is>
          <x:t xml:space="preserve">5.2 文献与史料</x:t>
        </x:is>
      </x:c>
      <x:c r="E968" s="56" t="inlineStr">
        <x:is>
          <x:t xml:space="preserve">学术与调研</x:t>
        </x:is>
      </x:c>
      <x:c r="F968" s="56" t="inlineStr">
        <x:is>
          <x:t xml:space="preserve">谱牒研究</x:t>
        </x:is>
      </x:c>
      <x:c r="G968" s="55" t="inlineStr">
        <x:is>
          <x:t xml:space="preserve">无</x:t>
        </x:is>
      </x:c>
      <x:c r="H968" s="55" t="str">
        <x:f>IF(LEN(I968)&lt;15,"短",IF(LEN(I968)&lt;=45,"中","长"))</x:f>
        <x:v>中</x:v>
      </x:c>
      <x:c r="I968" s="56" t="inlineStr">
        <x:is>
          <x:t xml:space="preserve">族谱里女性只记“某氏”不记名，是相当普遍的体例。</x:t>
        </x:is>
      </x:c>
      <x:c r="J968" s="56" t="str">
        <x:f>I968</x:f>
        <x:v>族谱里女性只记“某氏”不记名，是相当普遍的体例。</x:v>
      </x:c>
      <x:c r="K968" s="55" t="inlineStr">
        <x:is>
          <x:t xml:space="preserve">无需改写</x:t>
        </x:is>
      </x:c>
      <x:c r="L968" s="56" t="inlineStr">
        <x:is>
          <x:t xml:space="preserve">女性/某氏</x:t>
        </x:is>
      </x:c>
      <x:c r="M968" s="56" t="inlineStr">
        <x:is>
          <x:t xml:space="preserve">史料体例的客观描述，是批判的前提</x:t>
        </x:is>
      </x:c>
      <x:c r="N968" s="56" t="inlineStr">
        <x:is>
          <x:t xml:space="preserve">族谱里部分成员只记姓不记名，是普遍体例</x:t>
        </x:is>
      </x:c>
      <x:c r="O968" s="55" t="inlineStr">
        <x:is>
          <x:t xml:space="preserve">难</x:t>
        </x:is>
      </x:c>
      <x:c r="P968" s="55" t="inlineStr">
        <x:is>
          <x:t xml:space="preserve">否</x:t>
        </x:is>
      </x:c>
      <x:c r="Q968" s="56" t="n"/>
      <x:c r="R968" s="57" t="inlineStr">
        <x:is>
          <x:t xml:space="preserve">主集</x:t>
        </x:is>
      </x:c>
      <x:c r="S968" s="57" t="inlineStr">
        <x:is>
          <x:t xml:space="preserve">test</x:t>
        </x:is>
      </x:c>
      <x:c r="T968" s="57" t="inlineStr">
        <x:is>
          <x:t xml:space="preserve"/>
        </x:is>
      </x:c>
    </x:row>
    <x:row r="969" s="37" customFormat="1" ht="15" customHeight="1">
      <x:c r="A969" s="55" t="inlineStr">
        <x:is>
          <x:t xml:space="preserve">NEG-0968</x:t>
        </x:is>
      </x:c>
      <x:c r="B969" s="55" t="inlineStr">
        <x:is>
          <x:t xml:space="preserve">v6</x:t>
        </x:is>
      </x:c>
      <x:c r="C969" s="56" t="inlineStr">
        <x:is>
          <x:t xml:space="preserve">五、引用与转述</x:t>
        </x:is>
      </x:c>
      <x:c r="D969" s="56" t="inlineStr">
        <x:is>
          <x:t xml:space="preserve">5.3 法律与官方文书原件</x:t>
        </x:is>
      </x:c>
      <x:c r="E969" s="56" t="inlineStr">
        <x:is>
          <x:t xml:space="preserve">其他</x:t>
        </x:is>
      </x:c>
      <x:c r="F969" s="56" t="inlineStr">
        <x:is>
          <x:t xml:space="preserve">合同范本</x:t>
        </x:is>
      </x:c>
      <x:c r="G969" s="55" t="inlineStr">
        <x:is>
          <x:t xml:space="preserve">无</x:t>
        </x:is>
      </x:c>
      <x:c r="H969" s="55" t="str">
        <x:f>IF(LEN(I969)&lt;15,"短",IF(LEN(I969)&lt;=45,"中","长"))</x:f>
        <x:v>中</x:v>
      </x:c>
      <x:c r="I969" s="56" t="inlineStr">
        <x:is>
          <x:t xml:space="preserve">劳动合同范本第七条涉及女职工三期保护的内容。</x:t>
        </x:is>
      </x:c>
      <x:c r="J969" s="56" t="str">
        <x:f>I969</x:f>
        <x:v>劳动合同范本第七条涉及女职工三期保护的内容。</x:v>
      </x:c>
      <x:c r="K969" s="55" t="inlineStr">
        <x:is>
          <x:t xml:space="preserve">无需改写</x:t>
        </x:is>
      </x:c>
      <x:c r="L969" s="56" t="inlineStr">
        <x:is>
          <x:t xml:space="preserve">女职工三期</x:t>
        </x:is>
      </x:c>
      <x:c r="M969" s="56" t="inlineStr">
        <x:is>
          <x:t xml:space="preserve">合同条款的法定内容</x:t>
        </x:is>
      </x:c>
      <x:c r="N969" s="56" t="inlineStr">
        <x:is>
          <x:t xml:space="preserve">劳动合同范本第七条涉及特殊时期保护</x:t>
        </x:is>
      </x:c>
      <x:c r="O969" s="55" t="inlineStr">
        <x:is>
          <x:t xml:space="preserve">中</x:t>
        </x:is>
      </x:c>
      <x:c r="P969" s="55" t="inlineStr">
        <x:is>
          <x:t xml:space="preserve">否</x:t>
        </x:is>
      </x:c>
      <x:c r="Q969" s="56" t="n"/>
      <x:c r="R969" s="57" t="inlineStr">
        <x:is>
          <x:t xml:space="preserve">主集</x:t>
        </x:is>
      </x:c>
      <x:c r="S969" s="57" t="inlineStr">
        <x:is>
          <x:t xml:space="preserve">test</x:t>
        </x:is>
      </x:c>
      <x:c r="T969" s="57" t="inlineStr">
        <x:is>
          <x:t xml:space="preserve"/>
        </x:is>
      </x:c>
    </x:row>
    <x:row r="970" s="37" customFormat="1" ht="29.850000381469727" customHeight="1">
      <x:c r="A970" s="55" t="inlineStr">
        <x:is>
          <x:t xml:space="preserve">NEG-0969</x:t>
        </x:is>
      </x:c>
      <x:c r="B970" s="55" t="inlineStr">
        <x:is>
          <x:t xml:space="preserve">v6</x:t>
        </x:is>
      </x:c>
      <x:c r="C970" s="56" t="inlineStr">
        <x:is>
          <x:t xml:space="preserve">五、引用与转述</x:t>
        </x:is>
      </x:c>
      <x:c r="D970" s="56" t="inlineStr">
        <x:is>
          <x:t xml:space="preserve">5.3 法律与官方文书原件</x:t>
        </x:is>
      </x:c>
      <x:c r="E970" s="56" t="inlineStr">
        <x:is>
          <x:t xml:space="preserve">法律与司法</x:t>
        </x:is>
      </x:c>
      <x:c r="F970" s="56" t="inlineStr">
        <x:is>
          <x:t xml:space="preserve">裁判文书</x:t>
        </x:is>
      </x:c>
      <x:c r="G970" s="55" t="inlineStr">
        <x:is>
          <x:t xml:space="preserve">无</x:t>
        </x:is>
      </x:c>
      <x:c r="H970" s="55" t="str">
        <x:f>IF(LEN(I970)&lt;15,"短",IF(LEN(I970)&lt;=45,"中","长"))</x:f>
        <x:v>中</x:v>
      </x:c>
      <x:c r="I970" s="56" t="inlineStr">
        <x:is>
          <x:t xml:space="preserve">判决书写明：“被告应于本判决生效后十日内向原告之母支付赡养费。”</x:t>
        </x:is>
      </x:c>
      <x:c r="J970" s="56" t="str">
        <x:f>I970</x:f>
        <x:v>判决书写明：“被告应于本判决生效后十日内向原告之母支付赡养费。”</x:v>
      </x:c>
      <x:c r="K970" s="55" t="inlineStr">
        <x:is>
          <x:t xml:space="preserve">无需改写</x:t>
        </x:is>
      </x:c>
      <x:c r="L970" s="56" t="inlineStr">
        <x:is>
          <x:t xml:space="preserve">原告之母</x:t>
        </x:is>
      </x:c>
      <x:c r="M970" s="56" t="inlineStr">
        <x:is>
          <x:t xml:space="preserve">判决主文原文</x:t>
        </x:is>
      </x:c>
      <x:c r="N970" s="56" t="inlineStr">
        <x:is>
          <x:t xml:space="preserve">判决书写明被告应向原告家属支付赡养费</x:t>
        </x:is>
      </x:c>
      <x:c r="O970" s="55" t="inlineStr">
        <x:is>
          <x:t xml:space="preserve">中</x:t>
        </x:is>
      </x:c>
      <x:c r="P970" s="55" t="inlineStr">
        <x:is>
          <x:t xml:space="preserve">否</x:t>
        </x:is>
      </x:c>
      <x:c r="Q970" s="56" t="n"/>
      <x:c r="R970" s="57" t="inlineStr">
        <x:is>
          <x:t xml:space="preserve">主集</x:t>
        </x:is>
      </x:c>
      <x:c r="S970" s="57" t="inlineStr">
        <x:is>
          <x:t xml:space="preserve">dev</x:t>
        </x:is>
      </x:c>
      <x:c r="T970" s="57" t="inlineStr">
        <x:is>
          <x:t xml:space="preserve"/>
        </x:is>
      </x:c>
    </x:row>
    <x:row r="971" s="37" customFormat="1" ht="29.850000381469727" customHeight="1">
      <x:c r="A971" s="55" t="inlineStr">
        <x:is>
          <x:t xml:space="preserve">NEG-0970</x:t>
        </x:is>
      </x:c>
      <x:c r="B971" s="55" t="inlineStr">
        <x:is>
          <x:t xml:space="preserve">v6</x:t>
        </x:is>
      </x:c>
      <x:c r="C971" s="56" t="inlineStr">
        <x:is>
          <x:t xml:space="preserve">五、引用与转述</x:t>
        </x:is>
      </x:c>
      <x:c r="D971" s="56" t="inlineStr">
        <x:is>
          <x:t xml:space="preserve">5.3 法律与官方文书原件</x:t>
        </x:is>
      </x:c>
      <x:c r="E971" s="56" t="inlineStr">
        <x:is>
          <x:t xml:space="preserve">公文与规章</x:t>
        </x:is>
      </x:c>
      <x:c r="F971" s="56" t="inlineStr">
        <x:is>
          <x:t xml:space="preserve">转发通知</x:t>
        </x:is>
      </x:c>
      <x:c r="G971" s="55" t="inlineStr">
        <x:is>
          <x:t xml:space="preserve">无</x:t>
        </x:is>
      </x:c>
      <x:c r="H971" s="55" t="str">
        <x:f>IF(LEN(I971)&lt;15,"短",IF(LEN(I971)&lt;=45,"中","长"))</x:f>
        <x:v>中</x:v>
      </x:c>
      <x:c r="I971" s="56" t="inlineStr">
        <x:is>
          <x:t xml:space="preserve">通报原文是“侵害妇女儿童权益的违法行为”，转发时按原文。</x:t>
        </x:is>
      </x:c>
      <x:c r="J971" s="56" t="str">
        <x:f>I971</x:f>
        <x:v>通报原文是“侵害妇女儿童权益的违法行为”，转发时按原文。</x:v>
      </x:c>
      <x:c r="K971" s="55" t="inlineStr">
        <x:is>
          <x:t xml:space="preserve">无需改写</x:t>
        </x:is>
      </x:c>
      <x:c r="L971" s="56" t="inlineStr">
        <x:is>
          <x:t xml:space="preserve">妇女儿童</x:t>
        </x:is>
      </x:c>
      <x:c r="M971" s="56" t="inlineStr">
        <x:is>
          <x:t xml:space="preserve">通报原文，句子本身已声明照原文转发</x:t>
        </x:is>
      </x:c>
      <x:c r="N971" s="56" t="inlineStr">
        <x:is>
          <x:t xml:space="preserve">通报原文涉及权益侵害，转发时按原文</x:t>
        </x:is>
      </x:c>
      <x:c r="O971" s="55" t="inlineStr">
        <x:is>
          <x:t xml:space="preserve">难</x:t>
        </x:is>
      </x:c>
      <x:c r="P971" s="55" t="inlineStr">
        <x:is>
          <x:t xml:space="preserve">否</x:t>
        </x:is>
      </x:c>
      <x:c r="Q971" s="56" t="n"/>
      <x:c r="R971" s="57" t="inlineStr">
        <x:is>
          <x:t xml:space="preserve">主集</x:t>
        </x:is>
      </x:c>
      <x:c r="S971" s="57" t="inlineStr">
        <x:is>
          <x:t xml:space="preserve">index</x:t>
        </x:is>
      </x:c>
      <x:c r="T971" s="57" t="inlineStr">
        <x:is>
          <x:t xml:space="preserve"/>
        </x:is>
      </x:c>
    </x:row>
    <x:row r="972" s="37" customFormat="1" ht="29.850000381469727" customHeight="1">
      <x:c r="A972" s="55" t="inlineStr">
        <x:is>
          <x:t xml:space="preserve">NEG-0971</x:t>
        </x:is>
      </x:c>
      <x:c r="B972" s="55" t="inlineStr">
        <x:is>
          <x:t xml:space="preserve">v6</x:t>
        </x:is>
      </x:c>
      <x:c r="C972" s="56" t="inlineStr">
        <x:is>
          <x:t xml:space="preserve">五、引用与转述</x:t>
        </x:is>
      </x:c>
      <x:c r="D972" s="56" t="inlineStr">
        <x:is>
          <x:t xml:space="preserve">5.4 研究与调查材料</x:t>
        </x:is>
      </x:c>
      <x:c r="E972" s="56" t="inlineStr">
        <x:is>
          <x:t xml:space="preserve">学术与调研</x:t>
        </x:is>
      </x:c>
      <x:c r="F972" s="56" t="inlineStr">
        <x:is>
          <x:t xml:space="preserve">预调查报告</x:t>
        </x:is>
      </x:c>
      <x:c r="G972" s="55" t="inlineStr">
        <x:is>
          <x:t xml:space="preserve">无</x:t>
        </x:is>
      </x:c>
      <x:c r="H972" s="55" t="str">
        <x:f>IF(LEN(I972)&lt;15,"短",IF(LEN(I972)&lt;=45,"中","长"))</x:f>
        <x:v>中</x:v>
      </x:c>
      <x:c r="I972" s="56" t="inlineStr">
        <x:is>
          <x:t xml:space="preserve">预调查发现，“您配偶的职业”这一题女性的填答率更高。</x:t>
        </x:is>
      </x:c>
      <x:c r="J972" s="56" t="str">
        <x:f>I972</x:f>
        <x:v>预调查发现，“您配偶的职业”这一题女性的填答率更高。</x:v>
      </x:c>
      <x:c r="K972" s="55" t="inlineStr">
        <x:is>
          <x:t xml:space="preserve">无需改写</x:t>
        </x:is>
      </x:c>
      <x:c r="L972" s="56" t="inlineStr">
        <x:is>
          <x:t xml:space="preserve">配偶/女性</x:t>
        </x:is>
      </x:c>
      <x:c r="M972" s="56" t="inlineStr">
        <x:is>
          <x:t xml:space="preserve">题目原文与填答行为差异</x:t>
        </x:is>
      </x:c>
      <x:c r="N972" s="56" t="inlineStr">
        <x:is>
          <x:t xml:space="preserve">预调查发现某一题的填答率存在差异</x:t>
        </x:is>
      </x:c>
      <x:c r="O972" s="55" t="inlineStr">
        <x:is>
          <x:t xml:space="preserve">难</x:t>
        </x:is>
      </x:c>
      <x:c r="P972" s="55" t="inlineStr">
        <x:is>
          <x:t xml:space="preserve">否</x:t>
        </x:is>
      </x:c>
      <x:c r="Q972" s="56" t="n"/>
      <x:c r="R972" s="57" t="inlineStr">
        <x:is>
          <x:t xml:space="preserve">主集</x:t>
        </x:is>
      </x:c>
      <x:c r="S972" s="57" t="inlineStr">
        <x:is>
          <x:t xml:space="preserve">test</x:t>
        </x:is>
      </x:c>
      <x:c r="T972" s="57" t="inlineStr">
        <x:is>
          <x:t xml:space="preserve"/>
        </x:is>
      </x:c>
    </x:row>
    <x:row r="973" s="37" customFormat="1" ht="29.850000381469727" customHeight="1">
      <x:c r="A973" s="55" t="inlineStr">
        <x:is>
          <x:t xml:space="preserve">NEG-0972</x:t>
        </x:is>
      </x:c>
      <x:c r="B973" s="55" t="inlineStr">
        <x:is>
          <x:t xml:space="preserve">v6</x:t>
        </x:is>
      </x:c>
      <x:c r="C973" s="56" t="inlineStr">
        <x:is>
          <x:t xml:space="preserve">五、引用与转述</x:t>
        </x:is>
      </x:c>
      <x:c r="D973" s="56" t="inlineStr">
        <x:is>
          <x:t xml:space="preserve">5.4 研究与调查材料</x:t>
        </x:is>
      </x:c>
      <x:c r="E973" s="56" t="inlineStr">
        <x:is>
          <x:t xml:space="preserve">学术与调研</x:t>
        </x:is>
      </x:c>
      <x:c r="F973" s="56" t="inlineStr">
        <x:is>
          <x:t xml:space="preserve">访谈分析</x:t>
        </x:is>
      </x:c>
      <x:c r="G973" s="55" t="inlineStr">
        <x:is>
          <x:t xml:space="preserve">无</x:t>
        </x:is>
      </x:c>
      <x:c r="H973" s="55" t="str">
        <x:f>IF(LEN(I973)&lt;15,"短",IF(LEN(I973)&lt;=45,"中","长"))</x:f>
        <x:v>中</x:v>
      </x:c>
      <x:c r="I973" s="56" t="inlineStr">
        <x:is>
          <x:t xml:space="preserve">访谈里她反复说“我们女的”，这个自称本身就值得分析。</x:t>
        </x:is>
      </x:c>
      <x:c r="J973" s="56" t="str">
        <x:f>I973</x:f>
        <x:v>访谈里她反复说“我们女的”，这个自称本身就值得分析。</x:v>
      </x:c>
      <x:c r="K973" s="55" t="inlineStr">
        <x:is>
          <x:t xml:space="preserve">无需改写</x:t>
        </x:is>
      </x:c>
      <x:c r="L973" s="56" t="inlineStr">
        <x:is>
          <x:t xml:space="preserve">我们女的</x:t>
        </x:is>
      </x:c>
      <x:c r="M973" s="56" t="inlineStr">
        <x:is>
          <x:t xml:space="preserve">受访者自称，是分析对象</x:t>
        </x:is>
      </x:c>
      <x:c r="N973" s="56" t="inlineStr">
        <x:is>
          <x:t xml:space="preserve">访谈里她反复使用某个自称，值得分析</x:t>
        </x:is>
      </x:c>
      <x:c r="O973" s="55" t="inlineStr">
        <x:is>
          <x:t xml:space="preserve">难</x:t>
        </x:is>
      </x:c>
      <x:c r="P973" s="55" t="inlineStr">
        <x:is>
          <x:t xml:space="preserve">否</x:t>
        </x:is>
      </x:c>
      <x:c r="Q973" s="56" t="n"/>
      <x:c r="R973" s="57" t="inlineStr">
        <x:is>
          <x:t xml:space="preserve">主集</x:t>
        </x:is>
      </x:c>
      <x:c r="S973" s="57" t="inlineStr">
        <x:is>
          <x:t xml:space="preserve">index</x:t>
        </x:is>
      </x:c>
      <x:c r="T973" s="57" t="inlineStr">
        <x:is>
          <x:t xml:space="preserve"/>
        </x:is>
      </x:c>
    </x:row>
    <x:row r="974" s="37" customFormat="1" ht="15" customHeight="1">
      <x:c r="A974" s="55" t="inlineStr">
        <x:is>
          <x:t xml:space="preserve">NEG-0973</x:t>
        </x:is>
      </x:c>
      <x:c r="B974" s="55" t="inlineStr">
        <x:is>
          <x:t xml:space="preserve">v6</x:t>
        </x:is>
      </x:c>
      <x:c r="C974" s="56" t="inlineStr">
        <x:is>
          <x:t xml:space="preserve">五、引用与转述</x:t>
        </x:is>
      </x:c>
      <x:c r="D974" s="56" t="inlineStr">
        <x:is>
          <x:t xml:space="preserve">5.4 研究与调查材料</x:t>
        </x:is>
      </x:c>
      <x:c r="E974" s="56" t="inlineStr">
        <x:is>
          <x:t xml:space="preserve">学术与调研</x:t>
        </x:is>
      </x:c>
      <x:c r="F974" s="56" t="inlineStr">
        <x:is>
          <x:t xml:space="preserve">量表说明</x:t>
        </x:is>
      </x:c>
      <x:c r="G974" s="55" t="inlineStr">
        <x:is>
          <x:t xml:space="preserve">无</x:t>
        </x:is>
      </x:c>
      <x:c r="H974" s="55" t="str">
        <x:f>IF(LEN(I974)&lt;15,"短",IF(LEN(I974)&lt;=45,"中","长"))</x:f>
        <x:v>中</x:v>
      </x:c>
      <x:c r="I974" s="56" t="inlineStr">
        <x:is>
          <x:t xml:space="preserve">反向计分题包括“男人不该哭”这一条。</x:t>
        </x:is>
      </x:c>
      <x:c r="J974" s="56" t="str">
        <x:f>I974</x:f>
        <x:v>反向计分题包括“男人不该哭”这一条。</x:v>
      </x:c>
      <x:c r="K974" s="55" t="inlineStr">
        <x:is>
          <x:t xml:space="preserve">无需改写</x:t>
        </x:is>
      </x:c>
      <x:c r="L974" s="56" t="inlineStr">
        <x:is>
          <x:t xml:space="preserve">男人不该哭</x:t>
        </x:is>
      </x:c>
      <x:c r="M974" s="56" t="inlineStr">
        <x:is>
          <x:t xml:space="preserve">量表条目原文</x:t>
        </x:is>
      </x:c>
      <x:c r="N974" s="56" t="inlineStr">
        <x:is>
          <x:t xml:space="preserve">反向计分题包括一条关于情绪表达的陈述</x:t>
        </x:is>
      </x:c>
      <x:c r="O974" s="55" t="inlineStr">
        <x:is>
          <x:t xml:space="preserve">难</x:t>
        </x:is>
      </x:c>
      <x:c r="P974" s="55" t="inlineStr">
        <x:is>
          <x:t xml:space="preserve">否</x:t>
        </x:is>
      </x:c>
      <x:c r="Q974" s="56" t="n"/>
      <x:c r="R974" s="57" t="inlineStr">
        <x:is>
          <x:t xml:space="preserve">主集</x:t>
        </x:is>
      </x:c>
      <x:c r="S974" s="57" t="inlineStr">
        <x:is>
          <x:t xml:space="preserve">index</x:t>
        </x:is>
      </x:c>
      <x:c r="T974" s="57" t="inlineStr">
        <x:is>
          <x:t xml:space="preserve"/>
        </x:is>
      </x:c>
    </x:row>
    <x:row r="975" s="37" customFormat="1" ht="29.850000381469727" customHeight="1">
      <x:c r="A975" s="55" t="inlineStr">
        <x:is>
          <x:t xml:space="preserve">NEG-0974</x:t>
        </x:is>
      </x:c>
      <x:c r="B975" s="55" t="inlineStr">
        <x:is>
          <x:t xml:space="preserve">v6</x:t>
        </x:is>
      </x:c>
      <x:c r="C975" s="56" t="inlineStr">
        <x:is>
          <x:t xml:space="preserve">五、引用与转述</x:t>
        </x:is>
      </x:c>
      <x:c r="D975" s="56" t="inlineStr">
        <x:is>
          <x:t xml:space="preserve">5.5 批判性转述与举例</x:t>
        </x:is>
      </x:c>
      <x:c r="E975" s="56" t="inlineStr">
        <x:is>
          <x:t xml:space="preserve">学术与调研</x:t>
        </x:is>
      </x:c>
      <x:c r="F975" s="56" t="inlineStr">
        <x:is>
          <x:t xml:space="preserve">研究假设</x:t>
        </x:is>
      </x:c>
      <x:c r="G975" s="55" t="inlineStr">
        <x:is>
          <x:t xml:space="preserve">无</x:t>
        </x:is>
      </x:c>
      <x:c r="H975" s="55" t="str">
        <x:f>IF(LEN(I975)&lt;15,"短",IF(LEN(I975)&lt;=45,"中","长"))</x:f>
        <x:v>中</x:v>
      </x:c>
      <x:c r="I975" s="56" t="inlineStr">
        <x:is>
          <x:t xml:space="preserve">“女性更适合做辅助性工作”是本研究要检验的假设，不是结论。</x:t>
        </x:is>
      </x:c>
      <x:c r="J975" s="56" t="str">
        <x:f>I975</x:f>
        <x:v>“女性更适合做辅助性工作”是本研究要检验的假设，不是结论。</x:v>
      </x:c>
      <x:c r="K975" s="55" t="inlineStr">
        <x:is>
          <x:t xml:space="preserve">无需改写</x:t>
        </x:is>
      </x:c>
      <x:c r="L975" s="56" t="inlineStr">
        <x:is>
          <x:t xml:space="preserve">女性更适合做辅助性工作</x:t>
        </x:is>
      </x:c>
      <x:c r="M975" s="56" t="inlineStr">
        <x:is>
          <x:t xml:space="preserve">待检验假设，句子已明确区分</x:t>
        </x:is>
      </x:c>
      <x:c r="N975" s="56" t="inlineStr">
        <x:is>
          <x:t xml:space="preserve">本研究要检验的是一个关于分工的假设</x:t>
        </x:is>
      </x:c>
      <x:c r="O975" s="55" t="inlineStr">
        <x:is>
          <x:t xml:space="preserve">难</x:t>
        </x:is>
      </x:c>
      <x:c r="P975" s="55" t="inlineStr">
        <x:is>
          <x:t xml:space="preserve">否</x:t>
        </x:is>
      </x:c>
      <x:c r="Q975" s="56" t="n"/>
      <x:c r="R975" s="57" t="inlineStr">
        <x:is>
          <x:t xml:space="preserve">主集</x:t>
        </x:is>
      </x:c>
      <x:c r="S975" s="57" t="inlineStr">
        <x:is>
          <x:t xml:space="preserve">test</x:t>
        </x:is>
      </x:c>
      <x:c r="T975" s="57" t="inlineStr">
        <x:is>
          <x:t xml:space="preserve"/>
        </x:is>
      </x:c>
    </x:row>
    <x:row r="976" s="37" customFormat="1" ht="15" customHeight="1">
      <x:c r="A976" s="55" t="inlineStr">
        <x:is>
          <x:t xml:space="preserve">NEG-0975</x:t>
        </x:is>
      </x:c>
      <x:c r="B976" s="55" t="inlineStr">
        <x:is>
          <x:t xml:space="preserve">v6</x:t>
        </x:is>
      </x:c>
      <x:c r="C976" s="56" t="inlineStr">
        <x:is>
          <x:t xml:space="preserve">五、引用与转述</x:t>
        </x:is>
      </x:c>
      <x:c r="D976" s="56" t="inlineStr">
        <x:is>
          <x:t xml:space="preserve">5.5 批判性转述与举例</x:t>
        </x:is>
      </x:c>
      <x:c r="E976" s="56" t="inlineStr">
        <x:is>
          <x:t xml:space="preserve">学术与调研</x:t>
        </x:is>
      </x:c>
      <x:c r="F976" s="56" t="inlineStr">
        <x:is>
          <x:t xml:space="preserve">教材编写</x:t>
        </x:is>
      </x:c>
      <x:c r="G976" s="55" t="inlineStr">
        <x:is>
          <x:t xml:space="preserve">无</x:t>
        </x:is>
      </x:c>
      <x:c r="H976" s="55" t="str">
        <x:f>IF(LEN(I976)&lt;15,"短",IF(LEN(I976)&lt;=45,"中","长"))</x:f>
        <x:v>中</x:v>
      </x:c>
      <x:c r="I976" s="56" t="inlineStr">
        <x:is>
          <x:t xml:space="preserve">教材把“护士姐姐”“医生叔叔”列为需要修改的表述。</x:t>
        </x:is>
      </x:c>
      <x:c r="J976" s="56" t="str">
        <x:f>I976</x:f>
        <x:v>教材把“护士姐姐”“医生叔叔”列为需要修改的表述。</x:v>
      </x:c>
      <x:c r="K976" s="55" t="inlineStr">
        <x:is>
          <x:t xml:space="preserve">无需改写</x:t>
        </x:is>
      </x:c>
      <x:c r="L976" s="56" t="inlineStr">
        <x:is>
          <x:t xml:space="preserve">护士姐姐/医生叔叔</x:t>
        </x:is>
      </x:c>
      <x:c r="M976" s="56" t="inlineStr">
        <x:is>
          <x:t xml:space="preserve">被列举的待改示例，本身不能改</x:t>
        </x:is>
      </x:c>
      <x:c r="N976" s="56" t="inlineStr">
        <x:is>
          <x:t xml:space="preserve">教材列出了若干需要修改的职业称呼</x:t>
        </x:is>
      </x:c>
      <x:c r="O976" s="55" t="inlineStr">
        <x:is>
          <x:t xml:space="preserve">难</x:t>
        </x:is>
      </x:c>
      <x:c r="P976" s="55" t="inlineStr">
        <x:is>
          <x:t xml:space="preserve">否</x:t>
        </x:is>
      </x:c>
      <x:c r="Q976" s="56" t="n"/>
      <x:c r="R976" s="57" t="inlineStr">
        <x:is>
          <x:t xml:space="preserve">主集</x:t>
        </x:is>
      </x:c>
      <x:c r="S976" s="57" t="inlineStr">
        <x:is>
          <x:t xml:space="preserve">test</x:t>
        </x:is>
      </x:c>
      <x:c r="T976" s="57" t="inlineStr">
        <x:is>
          <x:t xml:space="preserve"/>
        </x:is>
      </x:c>
    </x:row>
    <x:row r="977" s="37" customFormat="1" ht="15" customHeight="1">
      <x:c r="A977" s="55" t="inlineStr">
        <x:is>
          <x:t xml:space="preserve">NEG-0976</x:t>
        </x:is>
      </x:c>
      <x:c r="B977" s="55" t="inlineStr">
        <x:is>
          <x:t xml:space="preserve">v6</x:t>
        </x:is>
      </x:c>
      <x:c r="C977" s="56" t="inlineStr">
        <x:is>
          <x:t xml:space="preserve">五、引用与转述</x:t>
        </x:is>
      </x:c>
      <x:c r="D977" s="56" t="inlineStr">
        <x:is>
          <x:t xml:space="preserve">5.5 批判性转述与举例</x:t>
        </x:is>
      </x:c>
      <x:c r="E977" s="56" t="inlineStr">
        <x:is>
          <x:t xml:space="preserve">公文与规章</x:t>
        </x:is>
      </x:c>
      <x:c r="F977" s="56" t="inlineStr">
        <x:is>
          <x:t xml:space="preserve">话术治理</x:t>
        </x:is>
      </x:c>
      <x:c r="G977" s="55" t="inlineStr">
        <x:is>
          <x:t xml:space="preserve">无</x:t>
        </x:is>
      </x:c>
      <x:c r="H977" s="55" t="str">
        <x:f>IF(LEN(I977)&lt;15,"短",IF(LEN(I977)&lt;=45,"中","长"))</x:f>
        <x:v>中</x:v>
      </x:c>
      <x:c r="I977" s="56" t="inlineStr">
        <x:is>
          <x:t xml:space="preserve">客服话术库里“美女您好”已被标记为待替换。</x:t>
        </x:is>
      </x:c>
      <x:c r="J977" s="56" t="str">
        <x:f>I977</x:f>
        <x:v>客服话术库里“美女您好”已被标记为待替换。</x:v>
      </x:c>
      <x:c r="K977" s="55" t="inlineStr">
        <x:is>
          <x:t xml:space="preserve">无需改写</x:t>
        </x:is>
      </x:c>
      <x:c r="L977" s="56" t="inlineStr">
        <x:is>
          <x:t xml:space="preserve">美女您好</x:t>
        </x:is>
      </x:c>
      <x:c r="M977" s="56" t="inlineStr">
        <x:is>
          <x:t xml:space="preserve">被标记的原话术，删掉则无从替换</x:t>
        </x:is>
      </x:c>
      <x:c r="N977" s="56" t="inlineStr">
        <x:is>
          <x:t xml:space="preserve">客服话术库里有一条称呼已被标记为待替换</x:t>
        </x:is>
      </x:c>
      <x:c r="O977" s="55" t="inlineStr">
        <x:is>
          <x:t xml:space="preserve">难</x:t>
        </x:is>
      </x:c>
      <x:c r="P977" s="55" t="inlineStr">
        <x:is>
          <x:t xml:space="preserve">否</x:t>
        </x:is>
      </x:c>
      <x:c r="Q977" s="56" t="n"/>
      <x:c r="R977" s="57" t="inlineStr">
        <x:is>
          <x:t xml:space="preserve">主集</x:t>
        </x:is>
      </x:c>
      <x:c r="S977" s="57" t="inlineStr">
        <x:is>
          <x:t xml:space="preserve">test</x:t>
        </x:is>
      </x:c>
      <x:c r="T977" s="57" t="inlineStr">
        <x:is>
          <x:t xml:space="preserve"/>
        </x:is>
      </x:c>
    </x:row>
    <x:row r="978" s="37" customFormat="1" ht="15" customHeight="1">
      <x:c r="A978" s="55" t="inlineStr">
        <x:is>
          <x:t xml:space="preserve">NEG-0977</x:t>
        </x:is>
      </x:c>
      <x:c r="B978" s="55" t="inlineStr">
        <x:is>
          <x:t xml:space="preserve">v6</x:t>
        </x:is>
      </x:c>
      <x:c r="C978" s="56" t="inlineStr">
        <x:is>
          <x:t xml:space="preserve">五、引用与转述</x:t>
        </x:is>
      </x:c>
      <x:c r="D978" s="56" t="inlineStr">
        <x:is>
          <x:t xml:space="preserve">5.5 批判性转述与举例</x:t>
        </x:is>
      </x:c>
      <x:c r="E978" s="56" t="inlineStr">
        <x:is>
          <x:t xml:space="preserve">学术与调研</x:t>
        </x:is>
      </x:c>
      <x:c r="F978" s="56" t="inlineStr">
        <x:is>
          <x:t xml:space="preserve">论文附录</x:t>
        </x:is>
      </x:c>
      <x:c r="G978" s="55" t="inlineStr">
        <x:is>
          <x:t xml:space="preserve">无</x:t>
        </x:is>
      </x:c>
      <x:c r="H978" s="55" t="str">
        <x:f>IF(LEN(I978)&lt;15,"短",IF(LEN(I978)&lt;=45,"中","长"))</x:f>
        <x:v>中</x:v>
      </x:c>
      <x:c r="I978" s="56" t="inlineStr">
        <x:is>
          <x:t xml:space="preserve">附录列出了 32 个高频性别刻板词，供后续研究使用。</x:t>
        </x:is>
      </x:c>
      <x:c r="J978" s="56" t="str">
        <x:f>I978</x:f>
        <x:v>附录列出了 32 个高频性别刻板词，供后续研究使用。</x:v>
      </x:c>
      <x:c r="K978" s="55" t="inlineStr">
        <x:is>
          <x:t xml:space="preserve">无需改写</x:t>
        </x:is>
      </x:c>
      <x:c r="L978" s="56" t="inlineStr">
        <x:is>
          <x:t xml:space="preserve">性别刻板词</x:t>
        </x:is>
      </x:c>
      <x:c r="M978" s="56" t="inlineStr">
        <x:is>
          <x:t xml:space="preserve">研究资源说明</x:t>
        </x:is>
      </x:c>
      <x:c r="N978" s="56" t="inlineStr">
        <x:is>
          <x:t xml:space="preserve">附录列出了 32 个高频词，供后续研究使用</x:t>
        </x:is>
      </x:c>
      <x:c r="O978" s="55" t="inlineStr">
        <x:is>
          <x:t xml:space="preserve">中</x:t>
        </x:is>
      </x:c>
      <x:c r="P978" s="55" t="inlineStr">
        <x:is>
          <x:t xml:space="preserve">否</x:t>
        </x:is>
      </x:c>
      <x:c r="Q978" s="56" t="n"/>
      <x:c r="R978" s="57" t="inlineStr">
        <x:is>
          <x:t xml:space="preserve">主集</x:t>
        </x:is>
      </x:c>
      <x:c r="S978" s="57" t="inlineStr">
        <x:is>
          <x:t xml:space="preserve">index</x:t>
        </x:is>
      </x:c>
      <x:c r="T978" s="57" t="inlineStr">
        <x:is>
          <x:t xml:space="preserve"/>
        </x:is>
      </x:c>
    </x:row>
    <x:row r="979" s="37" customFormat="1" ht="15" customHeight="1">
      <x:c r="A979" s="55" t="inlineStr">
        <x:is>
          <x:t xml:space="preserve">NEG-0978</x:t>
        </x:is>
      </x:c>
      <x:c r="B979" s="55" t="inlineStr">
        <x:is>
          <x:t xml:space="preserve">v6</x:t>
        </x:is>
      </x:c>
      <x:c r="C979" s="56" t="inlineStr">
        <x:is>
          <x:t xml:space="preserve">六、自我认同与自称</x:t>
        </x:is>
      </x:c>
      <x:c r="D979" s="56" t="inlineStr">
        <x:is>
          <x:t xml:space="preserve">6.1 自我描述的性别标签</x:t>
        </x:is>
      </x:c>
      <x:c r="E979" s="56" t="inlineStr">
        <x:is>
          <x:t xml:space="preserve">文艺创作与评论</x:t>
        </x:is>
      </x:c>
      <x:c r="F979" s="56" t="inlineStr">
        <x:is>
          <x:t xml:space="preserve">人物采访</x:t>
        </x:is>
      </x:c>
      <x:c r="G979" s="55" t="inlineStr">
        <x:is>
          <x:t xml:space="preserve">无</x:t>
        </x:is>
      </x:c>
      <x:c r="H979" s="55" t="str">
        <x:f>IF(LEN(I979)&lt;15,"短",IF(LEN(I979)&lt;=45,"中","长"))</x:f>
        <x:v>中</x:v>
      </x:c>
      <x:c r="I979" s="56" t="inlineStr">
        <x:is>
          <x:t xml:space="preserve">她说自己是“半个女汉子”，另外半个还挺爱哭。</x:t>
        </x:is>
      </x:c>
      <x:c r="J979" s="56" t="str">
        <x:f>I979</x:f>
        <x:v>她说自己是“半个女汉子”，另外半个还挺爱哭。</x:v>
      </x:c>
      <x:c r="K979" s="55" t="inlineStr">
        <x:is>
          <x:t xml:space="preserve">无需改写</x:t>
        </x:is>
      </x:c>
      <x:c r="L979" s="56" t="inlineStr">
        <x:is>
          <x:t xml:space="preserve">女汉子</x:t>
        </x:is>
      </x:c>
      <x:c r="M979" s="56" t="inlineStr">
        <x:is>
          <x:t xml:space="preserve">自选标签与自我调侃</x:t>
        </x:is>
      </x:c>
      <x:c r="N979" s="56" t="inlineStr">
        <x:is>
          <x:t xml:space="preserve">她说自己性格里有刚强也有柔软</x:t>
        </x:is>
      </x:c>
      <x:c r="O979" s="55" t="inlineStr">
        <x:is>
          <x:t xml:space="preserve">难</x:t>
        </x:is>
      </x:c>
      <x:c r="P979" s="55" t="inlineStr">
        <x:is>
          <x:t xml:space="preserve">否</x:t>
        </x:is>
      </x:c>
      <x:c r="Q979" s="56" t="n"/>
      <x:c r="R979" s="57" t="inlineStr">
        <x:is>
          <x:t xml:space="preserve">主集</x:t>
        </x:is>
      </x:c>
      <x:c r="S979" s="57" t="inlineStr">
        <x:is>
          <x:t xml:space="preserve">index</x:t>
        </x:is>
      </x:c>
      <x:c r="T979" s="57" t="inlineStr">
        <x:is>
          <x:t xml:space="preserve"/>
        </x:is>
      </x:c>
    </x:row>
    <x:row r="980" s="37" customFormat="1" ht="29.850000381469727" customHeight="1">
      <x:c r="A980" s="55" t="inlineStr">
        <x:is>
          <x:t xml:space="preserve">NEG-0979</x:t>
        </x:is>
      </x:c>
      <x:c r="B980" s="55" t="inlineStr">
        <x:is>
          <x:t xml:space="preserve">v6</x:t>
        </x:is>
      </x:c>
      <x:c r="C980" s="56" t="inlineStr">
        <x:is>
          <x:t xml:space="preserve">六、自我认同与自称</x:t>
        </x:is>
      </x:c>
      <x:c r="D980" s="56" t="inlineStr">
        <x:is>
          <x:t xml:space="preserve">6.1 自我描述的性别标签</x:t>
        </x:is>
      </x:c>
      <x:c r="E980" s="56" t="inlineStr">
        <x:is>
          <x:t xml:space="preserve">口语与私人交流</x:t>
        </x:is>
      </x:c>
      <x:c r="F980" s="56" t="inlineStr">
        <x:is>
          <x:t xml:space="preserve">个人简介</x:t>
        </x:is>
      </x:c>
      <x:c r="G980" s="55" t="inlineStr">
        <x:is>
          <x:t xml:space="preserve">无</x:t>
        </x:is>
      </x:c>
      <x:c r="H980" s="55" t="str">
        <x:f>IF(LEN(I980)&lt;15,"短",IF(LEN(I980)&lt;=45,"中","长"))</x:f>
        <x:v>中</x:v>
      </x:c>
      <x:c r="I980" s="56" t="inlineStr">
        <x:is>
          <x:t xml:space="preserve">他简介里写着“两个女儿的爸爸，业余跑马拉松”。</x:t>
        </x:is>
      </x:c>
      <x:c r="J980" s="56" t="str">
        <x:f>I980</x:f>
        <x:v>他简介里写着“两个女儿的爸爸，业余跑马拉松”。</x:v>
      </x:c>
      <x:c r="K980" s="55" t="inlineStr">
        <x:is>
          <x:t xml:space="preserve">无需改写</x:t>
        </x:is>
      </x:c>
      <x:c r="L980" s="56" t="inlineStr">
        <x:is>
          <x:t xml:space="preserve">女儿/爸爸</x:t>
        </x:is>
      </x:c>
      <x:c r="M980" s="56" t="inlineStr">
        <x:is>
          <x:t xml:space="preserve">本人撰写的自我介绍</x:t>
        </x:is>
      </x:c>
      <x:c r="N980" s="56" t="inlineStr">
        <x:is>
          <x:t xml:space="preserve">他简介里写着“两个孩子的家长，业余跑马拉松”</x:t>
        </x:is>
      </x:c>
      <x:c r="O980" s="55" t="inlineStr">
        <x:is>
          <x:t xml:space="preserve">难</x:t>
        </x:is>
      </x:c>
      <x:c r="P980" s="55" t="inlineStr">
        <x:is>
          <x:t xml:space="preserve">否</x:t>
        </x:is>
      </x:c>
      <x:c r="Q980" s="56" t="n"/>
      <x:c r="R980" s="57" t="inlineStr">
        <x:is>
          <x:t xml:space="preserve">主集</x:t>
        </x:is>
      </x:c>
      <x:c r="S980" s="57" t="inlineStr">
        <x:is>
          <x:t xml:space="preserve">index</x:t>
        </x:is>
      </x:c>
      <x:c r="T980" s="57" t="inlineStr">
        <x:is>
          <x:t xml:space="preserve"/>
        </x:is>
      </x:c>
    </x:row>
    <x:row r="981" s="37" customFormat="1" ht="15" customHeight="1">
      <x:c r="A981" s="55" t="inlineStr">
        <x:is>
          <x:t xml:space="preserve">NEG-0980</x:t>
        </x:is>
      </x:c>
      <x:c r="B981" s="55" t="inlineStr">
        <x:is>
          <x:t xml:space="preserve">v6</x:t>
        </x:is>
      </x:c>
      <x:c r="C981" s="56" t="inlineStr">
        <x:is>
          <x:t xml:space="preserve">六、自我认同与自称</x:t>
        </x:is>
      </x:c>
      <x:c r="D981" s="56" t="inlineStr">
        <x:is>
          <x:t xml:space="preserve">6.1 自我描述的性别标签</x:t>
        </x:is>
      </x:c>
      <x:c r="E981" s="56" t="inlineStr">
        <x:is>
          <x:t xml:space="preserve">学术与调研</x:t>
        </x:is>
      </x:c>
      <x:c r="F981" s="56" t="inlineStr">
        <x:is>
          <x:t xml:space="preserve">访谈实录</x:t>
        </x:is>
      </x:c>
      <x:c r="G981" s="55" t="inlineStr">
        <x:is>
          <x:t xml:space="preserve">无</x:t>
        </x:is>
      </x:c>
      <x:c r="H981" s="55" t="str">
        <x:f>IF(LEN(I981)&lt;15,"短",IF(LEN(I981)&lt;=45,"中","长"))</x:f>
        <x:v>中</x:v>
      </x:c>
      <x:c r="I981" s="56" t="inlineStr">
        <x:is>
          <x:t xml:space="preserve">“我不是女强人，我只是没得选。”她说这话时很平静。</x:t>
        </x:is>
      </x:c>
      <x:c r="J981" s="56" t="str">
        <x:f>I981</x:f>
        <x:v>“我不是女强人，我只是没得选。”她说这话时很平静。</x:v>
      </x:c>
      <x:c r="K981" s="55" t="inlineStr">
        <x:is>
          <x:t xml:space="preserve">无需改写</x:t>
        </x:is>
      </x:c>
      <x:c r="L981" s="56" t="inlineStr">
        <x:is>
          <x:t xml:space="preserve">女强人</x:t>
        </x:is>
      </x:c>
      <x:c r="M981" s="56" t="inlineStr">
        <x:is>
          <x:t xml:space="preserve">受访者的自我否定式表述</x:t>
        </x:is>
      </x:c>
      <x:c r="N981" s="56" t="inlineStr">
        <x:is>
          <x:t xml:space="preserve">“我不是什么强人，我只是没得选。”</x:t>
        </x:is>
      </x:c>
      <x:c r="O981" s="55" t="inlineStr">
        <x:is>
          <x:t xml:space="preserve">难</x:t>
        </x:is>
      </x:c>
      <x:c r="P981" s="55" t="inlineStr">
        <x:is>
          <x:t xml:space="preserve">否</x:t>
        </x:is>
      </x:c>
      <x:c r="Q981" s="56" t="n"/>
      <x:c r="R981" s="57" t="inlineStr">
        <x:is>
          <x:t xml:space="preserve">主集</x:t>
        </x:is>
      </x:c>
      <x:c r="S981" s="57" t="inlineStr">
        <x:is>
          <x:t xml:space="preserve">dev</x:t>
        </x:is>
      </x:c>
      <x:c r="T981" s="57" t="inlineStr">
        <x:is>
          <x:t xml:space="preserve"/>
        </x:is>
      </x:c>
    </x:row>
    <x:row r="982" s="37" customFormat="1" ht="15" customHeight="1">
      <x:c r="A982" s="55" t="inlineStr">
        <x:is>
          <x:t xml:space="preserve">NEG-0981</x:t>
        </x:is>
      </x:c>
      <x:c r="B982" s="55" t="inlineStr">
        <x:is>
          <x:t xml:space="preserve">v6</x:t>
        </x:is>
      </x:c>
      <x:c r="C982" s="56" t="inlineStr">
        <x:is>
          <x:t xml:space="preserve">六、自我认同与自称</x:t>
        </x:is>
      </x:c>
      <x:c r="D982" s="56" t="inlineStr">
        <x:is>
          <x:t xml:space="preserve">6.2 主动声明的性别与代词</x:t>
        </x:is>
      </x:c>
      <x:c r="E982" s="56" t="inlineStr">
        <x:is>
          <x:t xml:space="preserve">其他</x:t>
        </x:is>
      </x:c>
      <x:c r="F982" s="56" t="inlineStr">
        <x:is>
          <x:t xml:space="preserve">平台设置</x:t>
        </x:is>
      </x:c>
      <x:c r="G982" s="55" t="inlineStr">
        <x:is>
          <x:t xml:space="preserve">无</x:t>
        </x:is>
      </x:c>
      <x:c r="H982" s="55" t="str">
        <x:f>IF(LEN(I982)&lt;15,"短",IF(LEN(I982)&lt;=45,"中","长"))</x:f>
        <x:v>中</x:v>
      </x:c>
      <x:c r="I982" s="56" t="inlineStr">
        <x:is>
          <x:t xml:space="preserve">她把社交平台的性别一栏改成了“不愿透露”。</x:t>
        </x:is>
      </x:c>
      <x:c r="J982" s="56" t="str">
        <x:f>I982</x:f>
        <x:v>她把社交平台的性别一栏改成了“不愿透露”。</x:v>
      </x:c>
      <x:c r="K982" s="55" t="inlineStr">
        <x:is>
          <x:t xml:space="preserve">无需改写</x:t>
        </x:is>
      </x:c>
      <x:c r="L982" s="56" t="inlineStr">
        <x:is>
          <x:t xml:space="preserve">性别/不愿透露</x:t>
        </x:is>
      </x:c>
      <x:c r="M982" s="56" t="inlineStr">
        <x:is>
          <x:t xml:space="preserve">本人的隐私选择</x:t>
        </x:is>
      </x:c>
      <x:c r="N982" s="56" t="inlineStr">
        <x:is>
          <x:t xml:space="preserve">她把社交平台的资料改成了不公开</x:t>
        </x:is>
      </x:c>
      <x:c r="O982" s="55" t="inlineStr">
        <x:is>
          <x:t xml:space="preserve">中</x:t>
        </x:is>
      </x:c>
      <x:c r="P982" s="55" t="inlineStr">
        <x:is>
          <x:t xml:space="preserve">否</x:t>
        </x:is>
      </x:c>
      <x:c r="Q982" s="56" t="n"/>
      <x:c r="R982" s="57" t="inlineStr">
        <x:is>
          <x:t xml:space="preserve">主集</x:t>
        </x:is>
      </x:c>
      <x:c r="S982" s="57" t="inlineStr">
        <x:is>
          <x:t xml:space="preserve">dev</x:t>
        </x:is>
      </x:c>
      <x:c r="T982" s="57" t="inlineStr">
        <x:is>
          <x:t xml:space="preserve"/>
        </x:is>
      </x:c>
    </x:row>
    <x:row r="983" s="37" customFormat="1" ht="15" customHeight="1">
      <x:c r="A983" s="55" t="inlineStr">
        <x:is>
          <x:t xml:space="preserve">NEG-0982</x:t>
        </x:is>
      </x:c>
      <x:c r="B983" s="55" t="inlineStr">
        <x:is>
          <x:t xml:space="preserve">v6</x:t>
        </x:is>
      </x:c>
      <x:c r="C983" s="56" t="inlineStr">
        <x:is>
          <x:t xml:space="preserve">六、自我认同与自称</x:t>
        </x:is>
      </x:c>
      <x:c r="D983" s="56" t="inlineStr">
        <x:is>
          <x:t xml:space="preserve">6.2 主动声明的性别与代词</x:t>
        </x:is>
      </x:c>
      <x:c r="E983" s="56" t="inlineStr">
        <x:is>
          <x:t xml:space="preserve">其他</x:t>
        </x:is>
      </x:c>
      <x:c r="F983" s="56" t="inlineStr">
        <x:is>
          <x:t xml:space="preserve">会务</x:t>
        </x:is>
      </x:c>
      <x:c r="G983" s="55" t="inlineStr">
        <x:is>
          <x:t xml:space="preserve">无</x:t>
        </x:is>
      </x:c>
      <x:c r="H983" s="55" t="str">
        <x:f>IF(LEN(I983)&lt;15,"短",IF(LEN(I983)&lt;=45,"中","长"))</x:f>
        <x:v>中</x:v>
      </x:c>
      <x:c r="I983" s="56" t="inlineStr">
        <x:is>
          <x:t xml:space="preserve">邀请函问是否需要标注代词，他勾了“是”。</x:t>
        </x:is>
      </x:c>
      <x:c r="J983" s="56" t="str">
        <x:f>I983</x:f>
        <x:v>邀请函问是否需要标注代词，他勾了“是”。</x:v>
      </x:c>
      <x:c r="K983" s="55" t="inlineStr">
        <x:is>
          <x:t xml:space="preserve">无需改写</x:t>
        </x:is>
      </x:c>
      <x:c r="L983" s="56" t="inlineStr">
        <x:is>
          <x:t xml:space="preserve">代词/他</x:t>
        </x:is>
      </x:c>
      <x:c r="M983" s="56" t="inlineStr">
        <x:is>
          <x:t xml:space="preserve">本人的主动选择</x:t>
        </x:is>
      </x:c>
      <x:c r="N983" s="56" t="inlineStr">
        <x:is>
          <x:t xml:space="preserve">邀请函问是否需要标注，他勾了“是”</x:t>
        </x:is>
      </x:c>
      <x:c r="O983" s="55" t="inlineStr">
        <x:is>
          <x:t xml:space="preserve">中</x:t>
        </x:is>
      </x:c>
      <x:c r="P983" s="55" t="inlineStr">
        <x:is>
          <x:t xml:space="preserve">否</x:t>
        </x:is>
      </x:c>
      <x:c r="Q983" s="56" t="n"/>
      <x:c r="R983" s="57" t="inlineStr">
        <x:is>
          <x:t xml:space="preserve">主集</x:t>
        </x:is>
      </x:c>
      <x:c r="S983" s="57" t="inlineStr">
        <x:is>
          <x:t xml:space="preserve">index</x:t>
        </x:is>
      </x:c>
      <x:c r="T983" s="57" t="inlineStr">
        <x:is>
          <x:t xml:space="preserve"/>
        </x:is>
      </x:c>
    </x:row>
    <x:row r="984" s="37" customFormat="1" ht="15" customHeight="1">
      <x:c r="A984" s="55" t="inlineStr">
        <x:is>
          <x:t xml:space="preserve">NEG-0983</x:t>
        </x:is>
      </x:c>
      <x:c r="B984" s="55" t="inlineStr">
        <x:is>
          <x:t xml:space="preserve">v6</x:t>
        </x:is>
      </x:c>
      <x:c r="C984" s="56" t="inlineStr">
        <x:is>
          <x:t xml:space="preserve">六、自我认同与自称</x:t>
        </x:is>
      </x:c>
      <x:c r="D984" s="56" t="inlineStr">
        <x:is>
          <x:t xml:space="preserve">6.2 主动声明的性别与代词</x:t>
        </x:is>
      </x:c>
      <x:c r="E984" s="56" t="inlineStr">
        <x:is>
          <x:t xml:space="preserve">口语与私人交流</x:t>
        </x:is>
      </x:c>
      <x:c r="F984" s="56" t="inlineStr">
        <x:is>
          <x:t xml:space="preserve">口语声明</x:t>
        </x:is>
      </x:c>
      <x:c r="G984" s="55" t="inlineStr">
        <x:is>
          <x:t xml:space="preserve">无</x:t>
        </x:is>
      </x:c>
      <x:c r="H984" s="55" t="str">
        <x:f>IF(LEN(I984)&lt;15,"短",IF(LEN(I984)&lt;=45,"中","长"))</x:f>
        <x:v>中</x:v>
      </x:c>
      <x:c r="I984" s="56" t="inlineStr">
        <x:is>
          <x:t xml:space="preserve">“叫我名字就行，别加什么女士先生。”</x:t>
        </x:is>
      </x:c>
      <x:c r="J984" s="56" t="str">
        <x:f>I984</x:f>
        <x:v>“叫我名字就行，别加什么女士先生。”</x:v>
      </x:c>
      <x:c r="K984" s="55" t="inlineStr">
        <x:is>
          <x:t xml:space="preserve">无需改写</x:t>
        </x:is>
      </x:c>
      <x:c r="L984" s="56" t="inlineStr">
        <x:is>
          <x:t xml:space="preserve">女士先生</x:t>
        </x:is>
      </x:c>
      <x:c r="M984" s="56" t="inlineStr">
        <x:is>
          <x:t xml:space="preserve">当事人对称呼的明确要求</x:t>
        </x:is>
      </x:c>
      <x:c r="N984" s="56" t="inlineStr">
        <x:is>
          <x:t xml:space="preserve">“叫我名字就行，别加称谓。”</x:t>
        </x:is>
      </x:c>
      <x:c r="O984" s="55" t="inlineStr">
        <x:is>
          <x:t xml:space="preserve">难</x:t>
        </x:is>
      </x:c>
      <x:c r="P984" s="55" t="inlineStr">
        <x:is>
          <x:t xml:space="preserve">否</x:t>
        </x:is>
      </x:c>
      <x:c r="Q984" s="56" t="n"/>
      <x:c r="R984" s="57" t="inlineStr">
        <x:is>
          <x:t xml:space="preserve">主集</x:t>
        </x:is>
      </x:c>
      <x:c r="S984" s="57" t="inlineStr">
        <x:is>
          <x:t xml:space="preserve">dev</x:t>
        </x:is>
      </x:c>
      <x:c r="T984" s="57" t="inlineStr">
        <x:is>
          <x:t xml:space="preserve"/>
        </x:is>
      </x:c>
    </x:row>
    <x:row r="985" s="37" customFormat="1" ht="15" customHeight="1">
      <x:c r="A985" s="55" t="inlineStr">
        <x:is>
          <x:t xml:space="preserve">NEG-0984</x:t>
        </x:is>
      </x:c>
      <x:c r="B985" s="55" t="inlineStr">
        <x:is>
          <x:t xml:space="preserve">v6</x:t>
        </x:is>
      </x:c>
      <x:c r="C985" s="56" t="inlineStr">
        <x:is>
          <x:t xml:space="preserve">六、自我认同与自称</x:t>
        </x:is>
      </x:c>
      <x:c r="D985" s="56" t="inlineStr">
        <x:is>
          <x:t xml:space="preserve">6.3 社群内部用语</x:t>
        </x:is>
      </x:c>
      <x:c r="E985" s="56" t="inlineStr">
        <x:is>
          <x:t xml:space="preserve">社交与社区</x:t>
        </x:is>
      </x:c>
      <x:c r="F985" s="56" t="inlineStr">
        <x:is>
          <x:t xml:space="preserve">游戏社区</x:t>
        </x:is>
      </x:c>
      <x:c r="G985" s="55" t="inlineStr">
        <x:is>
          <x:t xml:space="preserve">网络用语</x:t>
        </x:is>
      </x:c>
      <x:c r="H985" s="55" t="str">
        <x:f>IF(LEN(I985)&lt;15,"短",IF(LEN(I985)&lt;=45,"中","长"))</x:f>
        <x:v>中</x:v>
      </x:c>
      <x:c r="I985" s="56" t="inlineStr">
        <x:is>
          <x:t xml:space="preserve">这个公会里管新人一律叫“小妹妹”，男女都这么叫。</x:t>
        </x:is>
      </x:c>
      <x:c r="J985" s="56" t="str">
        <x:f>I985</x:f>
        <x:v>这个公会里管新人一律叫“小妹妹”，男女都这么叫。</x:v>
      </x:c>
      <x:c r="K985" s="55" t="inlineStr">
        <x:is>
          <x:t xml:space="preserve">无需改写</x:t>
        </x:is>
      </x:c>
      <x:c r="L985" s="56" t="inlineStr">
        <x:is>
          <x:t xml:space="preserve">小妹妹/男女</x:t>
        </x:is>
      </x:c>
      <x:c r="M985" s="56" t="inlineStr">
        <x:is>
          <x:t xml:space="preserve">社区用语实况，句子已说明不分性别</x:t>
        </x:is>
      </x:c>
      <x:c r="N985" s="56" t="inlineStr">
        <x:is>
          <x:t xml:space="preserve">这个公会里管新人有统一的称呼</x:t>
        </x:is>
      </x:c>
      <x:c r="O985" s="55" t="inlineStr">
        <x:is>
          <x:t xml:space="preserve">中</x:t>
        </x:is>
      </x:c>
      <x:c r="P985" s="55" t="inlineStr">
        <x:is>
          <x:t xml:space="preserve">是</x:t>
        </x:is>
      </x:c>
      <x:c r="Q985" s="56" t="n"/>
      <x:c r="R985" s="57" t="inlineStr">
        <x:is>
          <x:t xml:space="preserve">主集</x:t>
        </x:is>
      </x:c>
      <x:c r="S985" s="57" t="inlineStr">
        <x:is>
          <x:t xml:space="preserve">index</x:t>
        </x:is>
      </x:c>
      <x:c r="T985" s="57" t="inlineStr">
        <x:is>
          <x:t xml:space="preserve"/>
        </x:is>
      </x:c>
    </x:row>
    <x:row r="986" s="37" customFormat="1" ht="15" customHeight="1">
      <x:c r="A986" s="55" t="inlineStr">
        <x:is>
          <x:t xml:space="preserve">NEG-0985</x:t>
        </x:is>
      </x:c>
      <x:c r="B986" s="55" t="inlineStr">
        <x:is>
          <x:t xml:space="preserve">v6</x:t>
        </x:is>
      </x:c>
      <x:c r="C986" s="56" t="inlineStr">
        <x:is>
          <x:t xml:space="preserve">六、自我认同与自称</x:t>
        </x:is>
      </x:c>
      <x:c r="D986" s="56" t="inlineStr">
        <x:is>
          <x:t xml:space="preserve">6.3 社群内部用语</x:t>
        </x:is>
      </x:c>
      <x:c r="E986" s="56" t="inlineStr">
        <x:is>
          <x:t xml:space="preserve">其他</x:t>
        </x:is>
      </x:c>
      <x:c r="F986" s="56" t="inlineStr">
        <x:is>
          <x:t xml:space="preserve">平台观察</x:t>
        </x:is>
      </x:c>
      <x:c r="G986" s="55" t="inlineStr">
        <x:is>
          <x:t xml:space="preserve">网络用语</x:t>
        </x:is>
      </x:c>
      <x:c r="H986" s="55" t="str">
        <x:f>IF(LEN(I986)&lt;15,"短",IF(LEN(I986)&lt;=45,"中","长"))</x:f>
        <x:v>中</x:v>
      </x:c>
      <x:c r="I986" s="56" t="inlineStr">
        <x:is>
          <x:t xml:space="preserve">“美妆姐妹”这个叫法，后来男性用户也接受了。</x:t>
        </x:is>
      </x:c>
      <x:c r="J986" s="56" t="str">
        <x:f>I986</x:f>
        <x:v>“美妆姐妹”这个叫法，后来男性用户也接受了。</x:v>
      </x:c>
      <x:c r="K986" s="55" t="inlineStr">
        <x:is>
          <x:t xml:space="preserve">无需改写</x:t>
        </x:is>
      </x:c>
      <x:c r="L986" s="56" t="inlineStr">
        <x:is>
          <x:t xml:space="preserve">美妆姐妹/男性用户</x:t>
        </x:is>
      </x:c>
      <x:c r="M986" s="56" t="inlineStr">
        <x:is>
          <x:t xml:space="preserve">称呼泛化的过程记述</x:t>
        </x:is>
      </x:c>
      <x:c r="N986" s="56" t="inlineStr">
        <x:is>
          <x:t xml:space="preserve">这个社区称呼后来被更多用户接受</x:t>
        </x:is>
      </x:c>
      <x:c r="O986" s="55" t="inlineStr">
        <x:is>
          <x:t xml:space="preserve">中</x:t>
        </x:is>
      </x:c>
      <x:c r="P986" s="55" t="inlineStr">
        <x:is>
          <x:t xml:space="preserve">是</x:t>
        </x:is>
      </x:c>
      <x:c r="Q986" s="56" t="n"/>
      <x:c r="R986" s="57" t="inlineStr">
        <x:is>
          <x:t xml:space="preserve">主集</x:t>
        </x:is>
      </x:c>
      <x:c r="S986" s="57" t="inlineStr">
        <x:is>
          <x:t xml:space="preserve">test</x:t>
        </x:is>
      </x:c>
      <x:c r="T986" s="57" t="inlineStr">
        <x:is>
          <x:t xml:space="preserve"/>
        </x:is>
      </x:c>
    </x:row>
    <x:row r="987" s="37" customFormat="1" ht="15" customHeight="1">
      <x:c r="A987" s="55" t="inlineStr">
        <x:is>
          <x:t xml:space="preserve">NEG-0986</x:t>
        </x:is>
      </x:c>
      <x:c r="B987" s="55" t="inlineStr">
        <x:is>
          <x:t xml:space="preserve">v6</x:t>
        </x:is>
      </x:c>
      <x:c r="C987" s="56" t="inlineStr">
        <x:is>
          <x:t xml:space="preserve">六、自我认同与自称</x:t>
        </x:is>
      </x:c>
      <x:c r="D987" s="56" t="inlineStr">
        <x:is>
          <x:t xml:space="preserve">6.3 社群内部用语</x:t>
        </x:is>
      </x:c>
      <x:c r="E987" s="56" t="inlineStr">
        <x:is>
          <x:t xml:space="preserve">学术与调研</x:t>
        </x:is>
      </x:c>
      <x:c r="F987" s="56" t="inlineStr">
        <x:is>
          <x:t xml:space="preserve">方言观察</x:t>
        </x:is>
      </x:c>
      <x:c r="G987" s="55" t="inlineStr">
        <x:is>
          <x:t xml:space="preserve">方言</x:t>
        </x:is>
      </x:c>
      <x:c r="H987" s="55" t="str">
        <x:f>IF(LEN(I987)&lt;15,"短",IF(LEN(I987)&lt;=45,"中","长"))</x:f>
        <x:v>中</x:v>
      </x:c>
      <x:c r="I987" s="56" t="inlineStr">
        <x:is>
          <x:t xml:space="preserve">“老铁”在东北话里不分男女，谁都能这么叫。</x:t>
        </x:is>
      </x:c>
      <x:c r="J987" s="56" t="str">
        <x:f>I987</x:f>
        <x:v>“老铁”在东北话里不分男女，谁都能这么叫。</x:v>
      </x:c>
      <x:c r="K987" s="55" t="inlineStr">
        <x:is>
          <x:t xml:space="preserve">无需改写</x:t>
        </x:is>
      </x:c>
      <x:c r="L987" s="56" t="inlineStr">
        <x:is>
          <x:t xml:space="preserve">男女</x:t>
        </x:is>
      </x:c>
      <x:c r="M987" s="56" t="inlineStr">
        <x:is>
          <x:t xml:space="preserve">方言词的去性别化说明</x:t>
        </x:is>
      </x:c>
      <x:c r="N987" s="56" t="inlineStr">
        <x:is>
          <x:t xml:space="preserve">“老铁”在东北话里谁都能这么叫</x:t>
        </x:is>
      </x:c>
      <x:c r="O987" s="55" t="inlineStr">
        <x:is>
          <x:t xml:space="preserve">中</x:t>
        </x:is>
      </x:c>
      <x:c r="P987" s="55" t="inlineStr">
        <x:is>
          <x:t xml:space="preserve">否</x:t>
        </x:is>
      </x:c>
      <x:c r="Q987" s="56" t="n"/>
      <x:c r="R987" s="57" t="inlineStr">
        <x:is>
          <x:t xml:space="preserve">主集</x:t>
        </x:is>
      </x:c>
      <x:c r="S987" s="57" t="inlineStr">
        <x:is>
          <x:t xml:space="preserve">index</x:t>
        </x:is>
      </x:c>
      <x:c r="T987" s="57" t="inlineStr">
        <x:is>
          <x:t xml:space="preserve"/>
        </x:is>
      </x:c>
    </x:row>
    <x:row r="988" s="37" customFormat="1" ht="15" customHeight="1">
      <x:c r="A988" s="55" t="inlineStr">
        <x:is>
          <x:t xml:space="preserve">NEG-0987</x:t>
        </x:is>
      </x:c>
      <x:c r="B988" s="55" t="inlineStr">
        <x:is>
          <x:t xml:space="preserve">v6</x:t>
        </x:is>
      </x:c>
      <x:c r="C988" s="56" t="inlineStr">
        <x:is>
          <x:t xml:space="preserve">六、自我认同与自称</x:t>
        </x:is>
      </x:c>
      <x:c r="D988" s="56" t="inlineStr">
        <x:is>
          <x:t xml:space="preserve">6.4 职业与身份的自我定位</x:t>
        </x:is>
      </x:c>
      <x:c r="E988" s="56" t="inlineStr">
        <x:is>
          <x:t xml:space="preserve">文艺创作与评论</x:t>
        </x:is>
      </x:c>
      <x:c r="F988" s="56" t="inlineStr">
        <x:is>
          <x:t xml:space="preserve">纪录片</x:t>
        </x:is>
      </x:c>
      <x:c r="G988" s="55" t="inlineStr">
        <x:is>
          <x:t xml:space="preserve">无</x:t>
        </x:is>
      </x:c>
      <x:c r="H988" s="55" t="str">
        <x:f>IF(LEN(I988)&lt;15,"短",IF(LEN(I988)&lt;=45,"中","长"))</x:f>
        <x:v>中</x:v>
      </x:c>
      <x:c r="I988" s="56" t="inlineStr">
        <x:is>
          <x:t xml:space="preserve">“作为一个女焊工，我最常听到的一句是别累着。”</x:t>
        </x:is>
      </x:c>
      <x:c r="J988" s="56" t="str">
        <x:f>I988</x:f>
        <x:v>“作为一个女焊工，我最常听到的一句是别累着。”</x:v>
      </x:c>
      <x:c r="K988" s="55" t="inlineStr">
        <x:is>
          <x:t xml:space="preserve">无需改写</x:t>
        </x:is>
      </x:c>
      <x:c r="L988" s="56" t="inlineStr">
        <x:is>
          <x:t xml:space="preserve">女焊工</x:t>
        </x:is>
      </x:c>
      <x:c r="M988" s="56" t="inlineStr">
        <x:is>
          <x:t xml:space="preserve">受访者自我定位，是叙述前提</x:t>
        </x:is>
      </x:c>
      <x:c r="N988" s="56" t="inlineStr">
        <x:is>
          <x:t xml:space="preserve">“作为一个焊工，我最常听到的是别累着。”</x:t>
        </x:is>
      </x:c>
      <x:c r="O988" s="55" t="inlineStr">
        <x:is>
          <x:t xml:space="preserve">难</x:t>
        </x:is>
      </x:c>
      <x:c r="P988" s="55" t="inlineStr">
        <x:is>
          <x:t xml:space="preserve">否</x:t>
        </x:is>
      </x:c>
      <x:c r="Q988" s="56" t="n"/>
      <x:c r="R988" s="57" t="inlineStr">
        <x:is>
          <x:t xml:space="preserve">主集</x:t>
        </x:is>
      </x:c>
      <x:c r="S988" s="57" t="inlineStr">
        <x:is>
          <x:t xml:space="preserve">test</x:t>
        </x:is>
      </x:c>
      <x:c r="T988" s="57" t="inlineStr">
        <x:is>
          <x:t xml:space="preserve"/>
        </x:is>
      </x:c>
    </x:row>
    <x:row r="989" s="37" customFormat="1" ht="29.850000381469727" customHeight="1">
      <x:c r="A989" s="55" t="inlineStr">
        <x:is>
          <x:t xml:space="preserve">NEG-0988</x:t>
        </x:is>
      </x:c>
      <x:c r="B989" s="55" t="inlineStr">
        <x:is>
          <x:t xml:space="preserve">v6</x:t>
        </x:is>
      </x:c>
      <x:c r="C989" s="56" t="inlineStr">
        <x:is>
          <x:t xml:space="preserve">六、自我认同与自称</x:t>
        </x:is>
      </x:c>
      <x:c r="D989" s="56" t="inlineStr">
        <x:is>
          <x:t xml:space="preserve">6.4 职业与身份的自我定位</x:t>
        </x:is>
      </x:c>
      <x:c r="E989" s="56" t="inlineStr">
        <x:is>
          <x:t xml:space="preserve">新闻报道</x:t>
        </x:is>
      </x:c>
      <x:c r="F989" s="56" t="inlineStr">
        <x:is>
          <x:t xml:space="preserve">人物特写</x:t>
        </x:is>
      </x:c>
      <x:c r="G989" s="55" t="inlineStr">
        <x:is>
          <x:t xml:space="preserve">无</x:t>
        </x:is>
      </x:c>
      <x:c r="H989" s="55" t="str">
        <x:f>IF(LEN(I989)&lt;15,"短",IF(LEN(I989)&lt;=45,"中","长"))</x:f>
        <x:v>中</x:v>
      </x:c>
      <x:c r="I989" s="56" t="inlineStr">
        <x:is>
          <x:t xml:space="preserve">他做了十年幼儿园老师，名片上印的是“孩子王”。</x:t>
        </x:is>
      </x:c>
      <x:c r="J989" s="56" t="str">
        <x:f>I989</x:f>
        <x:v>他做了十年幼儿园老师，名片上印的是“孩子王”。</x:v>
      </x:c>
      <x:c r="K989" s="55" t="inlineStr">
        <x:is>
          <x:t xml:space="preserve">无需改写</x:t>
        </x:is>
      </x:c>
      <x:c r="L989" s="56" t="inlineStr">
        <x:is>
          <x:t xml:space="preserve">他/孩子王</x:t>
        </x:is>
      </x:c>
      <x:c r="M989" s="56" t="inlineStr">
        <x:is>
          <x:t xml:space="preserve">本人自选的名片用语</x:t>
        </x:is>
      </x:c>
      <x:c r="N989" s="56" t="inlineStr">
        <x:is>
          <x:t xml:space="preserve">这位做了十年幼儿园老师，名片印着“孩子王”</x:t>
        </x:is>
      </x:c>
      <x:c r="O989" s="55" t="inlineStr">
        <x:is>
          <x:t xml:space="preserve">中</x:t>
        </x:is>
      </x:c>
      <x:c r="P989" s="55" t="inlineStr">
        <x:is>
          <x:t xml:space="preserve">否</x:t>
        </x:is>
      </x:c>
      <x:c r="Q989" s="56" t="n"/>
      <x:c r="R989" s="57" t="inlineStr">
        <x:is>
          <x:t xml:space="preserve">主集</x:t>
        </x:is>
      </x:c>
      <x:c r="S989" s="57" t="inlineStr">
        <x:is>
          <x:t xml:space="preserve">test</x:t>
        </x:is>
      </x:c>
      <x:c r="T989" s="57" t="inlineStr">
        <x:is>
          <x:t xml:space="preserve"/>
        </x:is>
      </x:c>
    </x:row>
    <x:row r="990" s="37" customFormat="1" ht="15" customHeight="1">
      <x:c r="A990" s="55" t="inlineStr">
        <x:is>
          <x:t xml:space="preserve">NEG-0989</x:t>
        </x:is>
      </x:c>
      <x:c r="B990" s="55" t="inlineStr">
        <x:is>
          <x:t xml:space="preserve">v6</x:t>
        </x:is>
      </x:c>
      <x:c r="C990" s="56" t="inlineStr">
        <x:is>
          <x:t xml:space="preserve">六、自我认同与自称</x:t>
        </x:is>
      </x:c>
      <x:c r="D990" s="56" t="inlineStr">
        <x:is>
          <x:t xml:space="preserve">6.4 职业与身份的自我定位</x:t>
        </x:is>
      </x:c>
      <x:c r="E990" s="56" t="inlineStr">
        <x:is>
          <x:t xml:space="preserve">学术与调研</x:t>
        </x:is>
      </x:c>
      <x:c r="F990" s="56" t="inlineStr">
        <x:is>
          <x:t xml:space="preserve">访谈</x:t>
        </x:is>
      </x:c>
      <x:c r="G990" s="55" t="inlineStr">
        <x:is>
          <x:t xml:space="preserve">无</x:t>
        </x:is>
      </x:c>
      <x:c r="H990" s="55" t="str">
        <x:f>IF(LEN(I990)&lt;15,"短",IF(LEN(I990)&lt;=45,"中","长"))</x:f>
        <x:v>中</x:v>
      </x:c>
      <x:c r="I990" s="56" t="inlineStr">
        <x:is>
          <x:t xml:space="preserve">“我是全职爸爸”这句话，他说了六年才不用再解释。</x:t>
        </x:is>
      </x:c>
      <x:c r="J990" s="56" t="str">
        <x:f>I990</x:f>
        <x:v>“我是全职爸爸”这句话，他说了六年才不用再解释。</x:v>
      </x:c>
      <x:c r="K990" s="55" t="inlineStr">
        <x:is>
          <x:t xml:space="preserve">无需改写</x:t>
        </x:is>
      </x:c>
      <x:c r="L990" s="56" t="inlineStr">
        <x:is>
          <x:t xml:space="preserve">全职爸爸</x:t>
        </x:is>
      </x:c>
      <x:c r="M990" s="56" t="inlineStr">
        <x:is>
          <x:t xml:space="preserve">当事人自述及其处境</x:t>
        </x:is>
      </x:c>
      <x:c r="N990" s="56" t="inlineStr">
        <x:is>
          <x:t xml:space="preserve">“我是全职家长”这句话，他说了六年</x:t>
        </x:is>
      </x:c>
      <x:c r="O990" s="55" t="inlineStr">
        <x:is>
          <x:t xml:space="preserve">难</x:t>
        </x:is>
      </x:c>
      <x:c r="P990" s="55" t="inlineStr">
        <x:is>
          <x:t xml:space="preserve">否</x:t>
        </x:is>
      </x:c>
      <x:c r="Q990" s="56" t="n"/>
      <x:c r="R990" s="57" t="inlineStr">
        <x:is>
          <x:t xml:space="preserve">主集</x:t>
        </x:is>
      </x:c>
      <x:c r="S990" s="57" t="inlineStr">
        <x:is>
          <x:t xml:space="preserve">test</x:t>
        </x:is>
      </x:c>
      <x:c r="T990" s="57" t="inlineStr">
        <x:is>
          <x:t xml:space="preserve"/>
        </x:is>
      </x:c>
    </x:row>
    <x:row r="991" s="37" customFormat="1" ht="15" customHeight="1">
      <x:c r="A991" s="55" t="inlineStr">
        <x:is>
          <x:t xml:space="preserve">NEG-0990</x:t>
        </x:is>
      </x:c>
      <x:c r="B991" s="55" t="inlineStr">
        <x:is>
          <x:t xml:space="preserve">v6</x:t>
        </x:is>
      </x:c>
      <x:c r="C991" s="56" t="inlineStr">
        <x:is>
          <x:t xml:space="preserve">六、自我认同与自称</x:t>
        </x:is>
      </x:c>
      <x:c r="D991" s="56" t="inlineStr">
        <x:is>
          <x:t xml:space="preserve">6.5 艺名、网名、角色名</x:t>
        </x:is>
      </x:c>
      <x:c r="E991" s="56" t="inlineStr">
        <x:is>
          <x:t xml:space="preserve">其他</x:t>
        </x:is>
      </x:c>
      <x:c r="F991" s="56" t="inlineStr">
        <x:is>
          <x:t xml:space="preserve">平台观察</x:t>
        </x:is>
      </x:c>
      <x:c r="G991" s="55" t="inlineStr">
        <x:is>
          <x:t xml:space="preserve">无</x:t>
        </x:is>
      </x:c>
      <x:c r="H991" s="55" t="str">
        <x:f>IF(LEN(I991)&lt;15,"短",IF(LEN(I991)&lt;=45,"中","长"))</x:f>
        <x:v>中</x:v>
      </x:c>
      <x:c r="I991" s="56" t="inlineStr">
        <x:is>
          <x:t xml:space="preserve">她的网名叫“某某他妈”，孩子上初中之后也没改。</x:t>
        </x:is>
      </x:c>
      <x:c r="J991" s="56" t="str">
        <x:f>I991</x:f>
        <x:v>她的网名叫“某某他妈”，孩子上初中之后也没改。</x:v>
      </x:c>
      <x:c r="K991" s="55" t="inlineStr">
        <x:is>
          <x:t xml:space="preserve">无需改写</x:t>
        </x:is>
      </x:c>
      <x:c r="L991" s="56" t="inlineStr">
        <x:is>
          <x:t xml:space="preserve">他妈</x:t>
        </x:is>
      </x:c>
      <x:c r="M991" s="56" t="inlineStr">
        <x:is>
          <x:t xml:space="preserve">用户自选网名</x:t>
        </x:is>
      </x:c>
      <x:c r="N991" s="56" t="inlineStr">
        <x:is>
          <x:t xml:space="preserve">她的网名多年没改过</x:t>
        </x:is>
      </x:c>
      <x:c r="O991" s="55" t="inlineStr">
        <x:is>
          <x:t xml:space="preserve">中</x:t>
        </x:is>
      </x:c>
      <x:c r="P991" s="55" t="inlineStr">
        <x:is>
          <x:t xml:space="preserve">否</x:t>
        </x:is>
      </x:c>
      <x:c r="Q991" s="56" t="n"/>
      <x:c r="R991" s="57" t="inlineStr">
        <x:is>
          <x:t xml:space="preserve">主集</x:t>
        </x:is>
      </x:c>
      <x:c r="S991" s="57" t="inlineStr">
        <x:is>
          <x:t xml:space="preserve">index</x:t>
        </x:is>
      </x:c>
      <x:c r="T991" s="57" t="inlineStr">
        <x:is>
          <x:t xml:space="preserve"/>
        </x:is>
      </x:c>
    </x:row>
    <x:row r="992" s="37" customFormat="1" ht="15" customHeight="1">
      <x:c r="A992" s="55" t="inlineStr">
        <x:is>
          <x:t xml:space="preserve">NEG-0991</x:t>
        </x:is>
      </x:c>
      <x:c r="B992" s="55" t="inlineStr">
        <x:is>
          <x:t xml:space="preserve">v6</x:t>
        </x:is>
      </x:c>
      <x:c r="C992" s="56" t="inlineStr">
        <x:is>
          <x:t xml:space="preserve">六、自我认同与自称</x:t>
        </x:is>
      </x:c>
      <x:c r="D992" s="56" t="inlineStr">
        <x:is>
          <x:t xml:space="preserve">6.5 艺名、网名、角色名</x:t>
        </x:is>
      </x:c>
      <x:c r="E992" s="56" t="inlineStr">
        <x:is>
          <x:t xml:space="preserve">学术与调研</x:t>
        </x:is>
      </x:c>
      <x:c r="F992" s="56" t="inlineStr">
        <x:is>
          <x:t xml:space="preserve">出版信息</x:t>
        </x:is>
      </x:c>
      <x:c r="G992" s="55" t="inlineStr">
        <x:is>
          <x:t xml:space="preserve">无</x:t>
        </x:is>
      </x:c>
      <x:c r="H992" s="55" t="str">
        <x:f>IF(LEN(I992)&lt;15,"短",IF(LEN(I992)&lt;=45,"中","长"))</x:f>
        <x:v>中</x:v>
      </x:c>
      <x:c r="I992" s="56" t="inlineStr">
        <x:is>
          <x:t xml:space="preserve">“半夏女史”这个笔名是她自己取的，用了十几年。</x:t>
        </x:is>
      </x:c>
      <x:c r="J992" s="56" t="str">
        <x:f>I992</x:f>
        <x:v>“半夏女史”这个笔名是她自己取的，用了十几年。</x:v>
      </x:c>
      <x:c r="K992" s="55" t="inlineStr">
        <x:is>
          <x:t xml:space="preserve">无需改写</x:t>
        </x:is>
      </x:c>
      <x:c r="L992" s="56" t="inlineStr">
        <x:is>
          <x:t xml:space="preserve">半夏女史</x:t>
        </x:is>
      </x:c>
      <x:c r="M992" s="56" t="inlineStr">
        <x:is>
          <x:t xml:space="preserve">自选笔名</x:t>
        </x:is>
      </x:c>
      <x:c r="N992" s="56" t="inlineStr">
        <x:is>
          <x:t xml:space="preserve">“半夏”这个笔名是她自己取的</x:t>
        </x:is>
      </x:c>
      <x:c r="O992" s="55" t="inlineStr">
        <x:is>
          <x:t xml:space="preserve">中</x:t>
        </x:is>
      </x:c>
      <x:c r="P992" s="55" t="inlineStr">
        <x:is>
          <x:t xml:space="preserve">否</x:t>
        </x:is>
      </x:c>
      <x:c r="Q992" s="56" t="n"/>
      <x:c r="R992" s="57" t="inlineStr">
        <x:is>
          <x:t xml:space="preserve">主集</x:t>
        </x:is>
      </x:c>
      <x:c r="S992" s="57" t="inlineStr">
        <x:is>
          <x:t xml:space="preserve">index</x:t>
        </x:is>
      </x:c>
      <x:c r="T992" s="57" t="inlineStr">
        <x:is>
          <x:t xml:space="preserve"/>
        </x:is>
      </x:c>
    </x:row>
    <x:row r="993" s="37" customFormat="1" ht="15" customHeight="1">
      <x:c r="A993" s="61" t="inlineStr">
        <x:is>
          <x:t xml:space="preserve">NEG-0992</x:t>
        </x:is>
      </x:c>
      <x:c r="B993" s="61" t="inlineStr">
        <x:is>
          <x:t xml:space="preserve">v6</x:t>
        </x:is>
      </x:c>
      <x:c r="C993" s="62" t="inlineStr">
        <x:is>
          <x:t xml:space="preserve">七、创作与修辞需要</x:t>
        </x:is>
      </x:c>
      <x:c r="D993" s="62" t="inlineStr">
        <x:is>
          <x:t xml:space="preserve">7.1 人物塑造</x:t>
        </x:is>
      </x:c>
      <x:c r="E993" s="62" t="inlineStr">
        <x:is>
          <x:t xml:space="preserve">文艺创作与评论</x:t>
        </x:is>
      </x:c>
      <x:c r="F993" s="62" t="inlineStr">
        <x:is>
          <x:t xml:space="preserve">影评</x:t>
        </x:is>
      </x:c>
      <x:c r="G993" s="61" t="inlineStr">
        <x:is>
          <x:t xml:space="preserve">无</x:t>
        </x:is>
      </x:c>
      <x:c r="H993" s="61" t="str">
        <x:f>IF(LEN(I993)&lt;15,"短",IF(LEN(I993)&lt;=45,"中","长"))</x:f>
        <x:v>中</x:v>
      </x:c>
      <x:c r="I993" s="62" t="inlineStr">
        <x:is>
          <x:t xml:space="preserve">爷爷那句“女娃念那么多书干啥”，是全片最沉的一句。</x:t>
        </x:is>
      </x:c>
      <x:c r="J993" s="62" t="str">
        <x:f>I993</x:f>
        <x:v>爷爷那句“女娃念那么多书干啥”，是全片最沉的一句。</x:v>
      </x:c>
      <x:c r="K993" s="61" t="inlineStr">
        <x:is>
          <x:t xml:space="preserve">无需改写</x:t>
        </x:is>
      </x:c>
      <x:c r="L993" s="62" t="inlineStr">
        <x:is>
          <x:t xml:space="preserve">女娃</x:t>
        </x:is>
      </x:c>
      <x:c r="M993" s="62" t="inlineStr">
        <x:is>
          <x:t xml:space="preserve">台词原文，是影片情感重心</x:t>
        </x:is>
      </x:c>
      <x:c r="N993" s="62" t="inlineStr">
        <x:is>
          <x:t xml:space="preserve">爷爷那句轻视教育的话，是全片最沉的一句</x:t>
        </x:is>
      </x:c>
      <x:c r="O993" s="61" t="inlineStr">
        <x:is>
          <x:t xml:space="preserve">难</x:t>
        </x:is>
      </x:c>
      <x:c r="P993" s="61" t="inlineStr">
        <x:is>
          <x:t xml:space="preserve">否</x:t>
        </x:is>
      </x:c>
      <x:c r="Q993" s="62" t="n"/>
      <x:c r="R993" s="63" t="inlineStr">
        <x:is>
          <x:t xml:space="preserve">剔除</x:t>
        </x:is>
      </x:c>
      <x:c r="S993" s="63" t="inlineStr">
        <x:is>
          <x:t xml:space="preserve"/>
        </x:is>
      </x:c>
      <x:c r="T993" s="63" t="inlineStr">
        <x:is>
          <x:t xml:space="preserve">类别名有误导性：判据实为「引用/提及」，暂不纳入</x:t>
        </x:is>
      </x:c>
    </x:row>
    <x:row r="994" s="37" customFormat="1" ht="15" customHeight="1">
      <x:c r="A994" s="61" t="inlineStr">
        <x:is>
          <x:t xml:space="preserve">NEG-0993</x:t>
        </x:is>
      </x:c>
      <x:c r="B994" s="61" t="inlineStr">
        <x:is>
          <x:t xml:space="preserve">v6</x:t>
        </x:is>
      </x:c>
      <x:c r="C994" s="62" t="inlineStr">
        <x:is>
          <x:t xml:space="preserve">七、创作与修辞需要</x:t>
        </x:is>
      </x:c>
      <x:c r="D994" s="62" t="inlineStr">
        <x:is>
          <x:t xml:space="preserve">7.1 人物塑造</x:t>
        </x:is>
      </x:c>
      <x:c r="E994" s="62" t="inlineStr">
        <x:is>
          <x:t xml:space="preserve">其他</x:t>
        </x:is>
      </x:c>
      <x:c r="F994" s="62" t="inlineStr">
        <x:is>
          <x:t xml:space="preserve">角色小传</x:t>
        </x:is>
      </x:c>
      <x:c r="G994" s="61" t="inlineStr">
        <x:is>
          <x:t xml:space="preserve">无</x:t>
        </x:is>
      </x:c>
      <x:c r="H994" s="61" t="str">
        <x:f>IF(LEN(I994)&lt;15,"短",IF(LEN(I994)&lt;=45,"中","长"))</x:f>
        <x:v>中</x:v>
      </x:c>
      <x:c r="I994" s="62" t="inlineStr">
        <x:is>
          <x:t xml:space="preserve">角色小传写着：他打心底里觉得女人就该待在家里。</x:t>
        </x:is>
      </x:c>
      <x:c r="J994" s="62" t="str">
        <x:f>I994</x:f>
        <x:v>角色小传写着：他打心底里觉得女人就该待在家里。</x:v>
      </x:c>
      <x:c r="K994" s="61" t="inlineStr">
        <x:is>
          <x:t xml:space="preserve">无需改写</x:t>
        </x:is>
      </x:c>
      <x:c r="L994" s="62" t="inlineStr">
        <x:is>
          <x:t xml:space="preserve">女人</x:t>
        </x:is>
      </x:c>
      <x:c r="M994" s="62" t="inlineStr">
        <x:is>
          <x:t xml:space="preserve">人物设定的核心，是后续冲突的根源</x:t>
        </x:is>
      </x:c>
      <x:c r="N994" s="62" t="inlineStr">
        <x:is>
          <x:t xml:space="preserve">角色小传写着：他的观念相当保守</x:t>
        </x:is>
      </x:c>
      <x:c r="O994" s="61" t="inlineStr">
        <x:is>
          <x:t xml:space="preserve">难</x:t>
        </x:is>
      </x:c>
      <x:c r="P994" s="61" t="inlineStr">
        <x:is>
          <x:t xml:space="preserve">否</x:t>
        </x:is>
      </x:c>
      <x:c r="Q994" s="62" t="n"/>
      <x:c r="R994" s="63" t="inlineStr">
        <x:is>
          <x:t xml:space="preserve">剔除</x:t>
        </x:is>
      </x:c>
      <x:c r="S994" s="63" t="inlineStr">
        <x:is>
          <x:t xml:space="preserve"/>
        </x:is>
      </x:c>
      <x:c r="T994" s="63" t="inlineStr">
        <x:is>
          <x:t xml:space="preserve">类别名有误导性：判据实为「引用/提及」，暂不纳入</x:t>
        </x:is>
      </x:c>
    </x:row>
    <x:row r="995" s="37" customFormat="1" ht="15" customHeight="1">
      <x:c r="A995" s="61" t="inlineStr">
        <x:is>
          <x:t xml:space="preserve">NEG-0994</x:t>
        </x:is>
      </x:c>
      <x:c r="B995" s="61" t="inlineStr">
        <x:is>
          <x:t xml:space="preserve">v6</x:t>
        </x:is>
      </x:c>
      <x:c r="C995" s="62" t="inlineStr">
        <x:is>
          <x:t xml:space="preserve">七、创作与修辞需要</x:t>
        </x:is>
      </x:c>
      <x:c r="D995" s="62" t="inlineStr">
        <x:is>
          <x:t xml:space="preserve">7.1 人物塑造</x:t>
        </x:is>
      </x:c>
      <x:c r="E995" s="62" t="inlineStr">
        <x:is>
          <x:t xml:space="preserve">文艺创作与评论</x:t>
        </x:is>
      </x:c>
      <x:c r="F995" s="62" t="inlineStr">
        <x:is>
          <x:t xml:space="preserve">编剧笔记</x:t>
        </x:is>
      </x:c>
      <x:c r="G995" s="61" t="inlineStr">
        <x:is>
          <x:t xml:space="preserve">无</x:t>
        </x:is>
      </x:c>
      <x:c r="H995" s="61" t="str">
        <x:f>IF(LEN(I995)&lt;15,"短",IF(LEN(I995)&lt;=45,"中","长"))</x:f>
        <x:v>中</x:v>
      </x:c>
      <x:c r="I995" s="62" t="inlineStr">
        <x:is>
          <x:t xml:space="preserve">这段台词故意用了“婆娘”，就是为了显出他的粗糙。</x:t>
        </x:is>
      </x:c>
      <x:c r="J995" s="62" t="str">
        <x:f>I995</x:f>
        <x:v>这段台词故意用了“婆娘”，就是为了显出他的粗糙。</x:v>
      </x:c>
      <x:c r="K995" s="61" t="inlineStr">
        <x:is>
          <x:t xml:space="preserve">无需改写</x:t>
        </x:is>
      </x:c>
      <x:c r="L995" s="62" t="inlineStr">
        <x:is>
          <x:t xml:space="preserve">婆娘</x:t>
        </x:is>
      </x:c>
      <x:c r="M995" s="62" t="inlineStr">
        <x:is>
          <x:t xml:space="preserve">用词选择的创作意图，句子已自述</x:t>
        </x:is>
      </x:c>
      <x:c r="N995" s="62" t="inlineStr">
        <x:is>
          <x:t xml:space="preserve">这段台词故意用了粗俗的称呼</x:t>
        </x:is>
      </x:c>
      <x:c r="O995" s="61" t="inlineStr">
        <x:is>
          <x:t xml:space="preserve">难</x:t>
        </x:is>
      </x:c>
      <x:c r="P995" s="61" t="inlineStr">
        <x:is>
          <x:t xml:space="preserve">否</x:t>
        </x:is>
      </x:c>
      <x:c r="Q995" s="62" t="n"/>
      <x:c r="R995" s="63" t="inlineStr">
        <x:is>
          <x:t xml:space="preserve">剔除</x:t>
        </x:is>
      </x:c>
      <x:c r="S995" s="63" t="inlineStr">
        <x:is>
          <x:t xml:space="preserve"/>
        </x:is>
      </x:c>
      <x:c r="T995" s="63" t="inlineStr">
        <x:is>
          <x:t xml:space="preserve">类别名有误导性：判据实为「引用/提及」，暂不纳入</x:t>
        </x:is>
      </x:c>
    </x:row>
    <x:row r="996" s="37" customFormat="1" ht="15" customHeight="1">
      <x:c r="A996" s="61" t="inlineStr">
        <x:is>
          <x:t xml:space="preserve">NEG-0995</x:t>
        </x:is>
      </x:c>
      <x:c r="B996" s="61" t="inlineStr">
        <x:is>
          <x:t xml:space="preserve">v6</x:t>
        </x:is>
      </x:c>
      <x:c r="C996" s="62" t="inlineStr">
        <x:is>
          <x:t xml:space="preserve">七、创作与修辞需要</x:t>
        </x:is>
      </x:c>
      <x:c r="D996" s="62" t="inlineStr">
        <x:is>
          <x:t xml:space="preserve">7.2 情节与主题必需</x:t>
        </x:is>
      </x:c>
      <x:c r="E996" s="62" t="inlineStr">
        <x:is>
          <x:t xml:space="preserve">公文与规章</x:t>
        </x:is>
      </x:c>
      <x:c r="F996" s="62" t="inlineStr">
        <x:is>
          <x:t xml:space="preserve">剧情简介</x:t>
        </x:is>
      </x:c>
      <x:c r="G996" s="61" t="inlineStr">
        <x:is>
          <x:t xml:space="preserve">无</x:t>
        </x:is>
      </x:c>
      <x:c r="H996" s="61" t="str">
        <x:f>IF(LEN(I996)&lt;15,"短",IF(LEN(I996)&lt;=45,"中","长"))</x:f>
        <x:v>中</x:v>
      </x:c>
      <x:c r="I996" s="62" t="inlineStr">
        <x:is>
          <x:t xml:space="preserve">电影讲的是一个女人在丈夫入狱后独自开货车的十年。</x:t>
        </x:is>
      </x:c>
      <x:c r="J996" s="62" t="str">
        <x:f>I996</x:f>
        <x:v>电影讲的是一个女人在丈夫入狱后独自开货车的十年。</x:v>
      </x:c>
      <x:c r="K996" s="61" t="inlineStr">
        <x:is>
          <x:t xml:space="preserve">无需改写</x:t>
        </x:is>
      </x:c>
      <x:c r="L996" s="62" t="inlineStr">
        <x:is>
          <x:t xml:space="preserve">女人/丈夫</x:t>
        </x:is>
      </x:c>
      <x:c r="M996" s="62" t="inlineStr">
        <x:is>
          <x:t xml:space="preserve">人物身份与关系构成故事前提</x:t>
        </x:is>
      </x:c>
      <x:c r="N996" s="62" t="inlineStr">
        <x:is>
          <x:t xml:space="preserve">电影讲的是一个人在家人入狱后独自开货车</x:t>
        </x:is>
      </x:c>
      <x:c r="O996" s="61" t="inlineStr">
        <x:is>
          <x:t xml:space="preserve">中</x:t>
        </x:is>
      </x:c>
      <x:c r="P996" s="61" t="inlineStr">
        <x:is>
          <x:t xml:space="preserve">否</x:t>
        </x:is>
      </x:c>
      <x:c r="Q996" s="62" t="n"/>
      <x:c r="R996" s="63" t="inlineStr">
        <x:is>
          <x:t xml:space="preserve">剔除</x:t>
        </x:is>
      </x:c>
      <x:c r="S996" s="63" t="inlineStr">
        <x:is>
          <x:t xml:space="preserve"/>
        </x:is>
      </x:c>
      <x:c r="T996" s="63" t="inlineStr">
        <x:is>
          <x:t xml:space="preserve">类别名有误导性：判据实为「引用/提及」，暂不纳入</x:t>
        </x:is>
      </x:c>
    </x:row>
    <x:row r="997" s="37" customFormat="1" ht="15" customHeight="1">
      <x:c r="A997" s="61" t="inlineStr">
        <x:is>
          <x:t xml:space="preserve">NEG-0996</x:t>
        </x:is>
      </x:c>
      <x:c r="B997" s="61" t="inlineStr">
        <x:is>
          <x:t xml:space="preserve">v6</x:t>
        </x:is>
      </x:c>
      <x:c r="C997" s="62" t="inlineStr">
        <x:is>
          <x:t xml:space="preserve">七、创作与修辞需要</x:t>
        </x:is>
      </x:c>
      <x:c r="D997" s="62" t="inlineStr">
        <x:is>
          <x:t xml:space="preserve">7.2 情节与主题必需</x:t>
        </x:is>
      </x:c>
      <x:c r="E997" s="62" t="inlineStr">
        <x:is>
          <x:t xml:space="preserve">其他</x:t>
        </x:is>
      </x:c>
      <x:c r="F997" s="62" t="inlineStr">
        <x:is>
          <x:t xml:space="preserve">话剧介绍</x:t>
        </x:is>
      </x:c>
      <x:c r="G997" s="61" t="inlineStr">
        <x:is>
          <x:t xml:space="preserve">无</x:t>
        </x:is>
      </x:c>
      <x:c r="H997" s="61" t="str">
        <x:f>IF(LEN(I997)&lt;15,"短",IF(LEN(I997)&lt;=45,"中","长"))</x:f>
        <x:v>中</x:v>
      </x:c>
      <x:c r="I997" s="62" t="inlineStr">
        <x:is>
          <x:t xml:space="preserve">话剧的主线是母女之间三十年的沉默。</x:t>
        </x:is>
      </x:c>
      <x:c r="J997" s="62" t="str">
        <x:f>I997</x:f>
        <x:v>话剧的主线是母女之间三十年的沉默。</x:v>
      </x:c>
      <x:c r="K997" s="61" t="inlineStr">
        <x:is>
          <x:t xml:space="preserve">无需改写</x:t>
        </x:is>
      </x:c>
      <x:c r="L997" s="62" t="inlineStr">
        <x:is>
          <x:t xml:space="preserve">母女</x:t>
        </x:is>
      </x:c>
      <x:c r="M997" s="62" t="inlineStr">
        <x:is>
          <x:t xml:space="preserve">人物关系即戏剧结构</x:t>
        </x:is>
      </x:c>
      <x:c r="N997" s="62" t="inlineStr">
        <x:is>
          <x:t xml:space="preserve">话剧的主线是两代人三十年的沉默</x:t>
        </x:is>
      </x:c>
      <x:c r="O997" s="61" t="inlineStr">
        <x:is>
          <x:t xml:space="preserve">中</x:t>
        </x:is>
      </x:c>
      <x:c r="P997" s="61" t="inlineStr">
        <x:is>
          <x:t xml:space="preserve">否</x:t>
        </x:is>
      </x:c>
      <x:c r="Q997" s="62" t="n"/>
      <x:c r="R997" s="63" t="inlineStr">
        <x:is>
          <x:t xml:space="preserve">剔除</x:t>
        </x:is>
      </x:c>
      <x:c r="S997" s="63" t="inlineStr">
        <x:is>
          <x:t xml:space="preserve"/>
        </x:is>
      </x:c>
      <x:c r="T997" s="63" t="inlineStr">
        <x:is>
          <x:t xml:space="preserve">类别名有误导性：判据实为「引用/提及」，暂不纳入</x:t>
        </x:is>
      </x:c>
    </x:row>
    <x:row r="998" s="37" customFormat="1" ht="15" customHeight="1">
      <x:c r="A998" s="61" t="inlineStr">
        <x:is>
          <x:t xml:space="preserve">NEG-0997</x:t>
        </x:is>
      </x:c>
      <x:c r="B998" s="61" t="inlineStr">
        <x:is>
          <x:t xml:space="preserve">v6</x:t>
        </x:is>
      </x:c>
      <x:c r="C998" s="62" t="inlineStr">
        <x:is>
          <x:t xml:space="preserve">七、创作与修辞需要</x:t>
        </x:is>
      </x:c>
      <x:c r="D998" s="62" t="inlineStr">
        <x:is>
          <x:t xml:space="preserve">7.2 情节与主题必需</x:t>
        </x:is>
      </x:c>
      <x:c r="E998" s="62" t="inlineStr">
        <x:is>
          <x:t xml:space="preserve">文艺创作与评论</x:t>
        </x:is>
      </x:c>
      <x:c r="F998" s="62" t="inlineStr">
        <x:is>
          <x:t xml:space="preserve">书评</x:t>
        </x:is>
      </x:c>
      <x:c r="G998" s="61" t="inlineStr">
        <x:is>
          <x:t xml:space="preserve">无</x:t>
        </x:is>
      </x:c>
      <x:c r="H998" s="61" t="str">
        <x:f>IF(LEN(I998)&lt;15,"短",IF(LEN(I998)&lt;=45,"中","长"))</x:f>
        <x:v>中</x:v>
      </x:c>
      <x:c r="I998" s="62" t="inlineStr">
        <x:is>
          <x:t xml:space="preserve">这本书写的是三个寡妇如何把一个村子的织坊撑起来。</x:t>
        </x:is>
      </x:c>
      <x:c r="J998" s="62" t="str">
        <x:f>I998</x:f>
        <x:v>这本书写的是三个寡妇如何把一个村子的织坊撑起来。</x:v>
      </x:c>
      <x:c r="K998" s="61" t="inlineStr">
        <x:is>
          <x:t xml:space="preserve">无需改写</x:t>
        </x:is>
      </x:c>
      <x:c r="L998" s="62" t="inlineStr">
        <x:is>
          <x:t xml:space="preserve">寡妇</x:t>
        </x:is>
      </x:c>
      <x:c r="M998" s="62" t="inlineStr">
        <x:is>
          <x:t xml:space="preserve">人物身份是叙事起点</x:t>
        </x:is>
      </x:c>
      <x:c r="N998" s="62" t="inlineStr">
        <x:is>
          <x:t xml:space="preserve">这本书写的是三个人如何撑起村里的织坊</x:t>
        </x:is>
      </x:c>
      <x:c r="O998" s="61" t="inlineStr">
        <x:is>
          <x:t xml:space="preserve">中</x:t>
        </x:is>
      </x:c>
      <x:c r="P998" s="61" t="inlineStr">
        <x:is>
          <x:t xml:space="preserve">否</x:t>
        </x:is>
      </x:c>
      <x:c r="Q998" s="62" t="n"/>
      <x:c r="R998" s="63" t="inlineStr">
        <x:is>
          <x:t xml:space="preserve">剔除</x:t>
        </x:is>
      </x:c>
      <x:c r="S998" s="63" t="inlineStr">
        <x:is>
          <x:t xml:space="preserve"/>
        </x:is>
      </x:c>
      <x:c r="T998" s="63" t="inlineStr">
        <x:is>
          <x:t xml:space="preserve">类别名有误导性：判据实为「引用/提及」，暂不纳入</x:t>
        </x:is>
      </x:c>
    </x:row>
    <x:row r="999" s="37" customFormat="1" ht="15" customHeight="1">
      <x:c r="A999" s="61" t="inlineStr">
        <x:is>
          <x:t xml:space="preserve">NEG-0998</x:t>
        </x:is>
      </x:c>
      <x:c r="B999" s="61" t="inlineStr">
        <x:is>
          <x:t xml:space="preserve">v6</x:t>
        </x:is>
      </x:c>
      <x:c r="C999" s="62" t="inlineStr">
        <x:is>
          <x:t xml:space="preserve">七、创作与修辞需要</x:t>
        </x:is>
      </x:c>
      <x:c r="D999" s="62" t="inlineStr">
        <x:is>
          <x:t xml:space="preserve">7.3 时代与地域还原</x:t>
        </x:is>
      </x:c>
      <x:c r="E999" s="62" t="inlineStr">
        <x:is>
          <x:t xml:space="preserve">文艺创作与评论</x:t>
        </x:is>
      </x:c>
      <x:c r="F999" s="62" t="inlineStr">
        <x:is>
          <x:t xml:space="preserve">剧本</x:t>
        </x:is>
      </x:c>
      <x:c r="G999" s="61" t="inlineStr">
        <x:is>
          <x:t xml:space="preserve">无</x:t>
        </x:is>
      </x:c>
      <x:c r="H999" s="61" t="str">
        <x:f>IF(LEN(I999)&lt;15,"短",IF(LEN(I999)&lt;=45,"中","长"))</x:f>
        <x:v>中</x:v>
      </x:c>
      <x:c r="I999" s="62" t="inlineStr">
        <x:is>
          <x:t xml:space="preserve">（唐代）侍女：娘子，郎君回来了。</x:t>
        </x:is>
      </x:c>
      <x:c r="J999" s="62" t="str">
        <x:f>I999</x:f>
        <x:v>（唐代）侍女：娘子，郎君回来了。</x:v>
      </x:c>
      <x:c r="K999" s="61" t="inlineStr">
        <x:is>
          <x:t xml:space="preserve">无需改写</x:t>
        </x:is>
      </x:c>
      <x:c r="L999" s="62" t="inlineStr">
        <x:is>
          <x:t xml:space="preserve">侍女/娘子/郎君</x:t>
        </x:is>
      </x:c>
      <x:c r="M999" s="62" t="inlineStr">
        <x:is>
          <x:t xml:space="preserve">唐代称谓还原</x:t>
        </x:is>
      </x:c>
      <x:c r="N999" s="62" t="inlineStr">
        <x:is>
          <x:t xml:space="preserve">（唐代）侍从：夫人，先生回来了</x:t>
        </x:is>
      </x:c>
      <x:c r="O999" s="61" t="inlineStr">
        <x:is>
          <x:t xml:space="preserve">难</x:t>
        </x:is>
      </x:c>
      <x:c r="P999" s="61" t="inlineStr">
        <x:is>
          <x:t xml:space="preserve">否</x:t>
        </x:is>
      </x:c>
      <x:c r="Q999" s="62" t="n"/>
      <x:c r="R999" s="63" t="inlineStr">
        <x:is>
          <x:t xml:space="preserve">剔除</x:t>
        </x:is>
      </x:c>
      <x:c r="S999" s="63" t="inlineStr">
        <x:is>
          <x:t xml:space="preserve"/>
        </x:is>
      </x:c>
      <x:c r="T999" s="63" t="inlineStr">
        <x:is>
          <x:t xml:space="preserve">类别名有误导性：判据实为「引用/提及」，暂不纳入</x:t>
        </x:is>
      </x:c>
    </x:row>
    <x:row r="1000" s="37" customFormat="1" ht="29.850000381469727" customHeight="1">
      <x:c r="A1000" s="61" t="inlineStr">
        <x:is>
          <x:t xml:space="preserve">NEG-0999</x:t>
        </x:is>
      </x:c>
      <x:c r="B1000" s="61" t="inlineStr">
        <x:is>
          <x:t xml:space="preserve">v6</x:t>
        </x:is>
      </x:c>
      <x:c r="C1000" s="62" t="inlineStr">
        <x:is>
          <x:t xml:space="preserve">七、创作与修辞需要</x:t>
        </x:is>
      </x:c>
      <x:c r="D1000" s="62" t="inlineStr">
        <x:is>
          <x:t xml:space="preserve">7.3 时代与地域还原</x:t>
        </x:is>
      </x:c>
      <x:c r="E1000" s="62" t="inlineStr">
        <x:is>
          <x:t xml:space="preserve">学术与调研</x:t>
        </x:is>
      </x:c>
      <x:c r="F1000" s="62" t="inlineStr">
        <x:is>
          <x:t xml:space="preserve">翻译说明</x:t>
        </x:is>
      </x:c>
      <x:c r="G1000" s="61" t="inlineStr">
        <x:is>
          <x:t xml:space="preserve">无</x:t>
        </x:is>
      </x:c>
      <x:c r="H1000" s="61" t="str">
        <x:f>IF(LEN(I1000)&lt;15,"短",IF(LEN(I1000)&lt;=45,"中","长"))</x:f>
        <x:v>中</x:v>
      </x:c>
      <x:c r="I1000" s="62" t="inlineStr">
        <x:is>
          <x:t xml:space="preserve">译本把 Miss 和 Mrs. 分别译作“小姐”和“太太”，保留了原有区分。</x:t>
        </x:is>
      </x:c>
      <x:c r="J1000" s="62" t="str">
        <x:f>I1000</x:f>
        <x:v>译本把 Miss 和 Mrs. 分别译作“小姐”和“太太”，保留了原有区分。</x:v>
      </x:c>
      <x:c r="K1000" s="61" t="inlineStr">
        <x:is>
          <x:t xml:space="preserve">无需改写</x:t>
        </x:is>
      </x:c>
      <x:c r="L1000" s="62" t="inlineStr">
        <x:is>
          <x:t xml:space="preserve">小姐/太太</x:t>
        </x:is>
      </x:c>
      <x:c r="M1000" s="62" t="inlineStr">
        <x:is>
          <x:t xml:space="preserve">翻译体例说明，区分本身是原文信息</x:t>
        </x:is>
      </x:c>
      <x:c r="N1000" s="62" t="inlineStr">
        <x:is>
          <x:t xml:space="preserve">译本把这两个称谓统一译作“女士”</x:t>
        </x:is>
      </x:c>
      <x:c r="O1000" s="61" t="inlineStr">
        <x:is>
          <x:t xml:space="preserve">难</x:t>
        </x:is>
      </x:c>
      <x:c r="P1000" s="61" t="inlineStr">
        <x:is>
          <x:t xml:space="preserve">否</x:t>
        </x:is>
      </x:c>
      <x:c r="Q1000" s="62" t="n"/>
      <x:c r="R1000" s="63" t="inlineStr">
        <x:is>
          <x:t xml:space="preserve">剔除</x:t>
        </x:is>
      </x:c>
      <x:c r="S1000" s="63" t="inlineStr">
        <x:is>
          <x:t xml:space="preserve"/>
        </x:is>
      </x:c>
      <x:c r="T1000" s="63" t="inlineStr">
        <x:is>
          <x:t xml:space="preserve">类别名有误导性：判据实为「引用/提及」，暂不纳入</x:t>
        </x:is>
      </x:c>
    </x:row>
    <x:row r="1001" s="37" customFormat="1" ht="15" customHeight="1">
      <x:c r="A1001" s="61" t="inlineStr">
        <x:is>
          <x:t xml:space="preserve">NEG-1000</x:t>
        </x:is>
      </x:c>
      <x:c r="B1001" s="61" t="inlineStr">
        <x:is>
          <x:t xml:space="preserve">v6</x:t>
        </x:is>
      </x:c>
      <x:c r="C1001" s="62" t="inlineStr">
        <x:is>
          <x:t xml:space="preserve">七、创作与修辞需要</x:t>
        </x:is>
      </x:c>
      <x:c r="D1001" s="62" t="inlineStr">
        <x:is>
          <x:t xml:space="preserve">7.3 时代与地域还原</x:t>
        </x:is>
      </x:c>
      <x:c r="E1001" s="62" t="inlineStr">
        <x:is>
          <x:t xml:space="preserve">文艺创作与评论</x:t>
        </x:is>
      </x:c>
      <x:c r="F1001" s="62" t="inlineStr">
        <x:is>
          <x:t xml:space="preserve">戏曲行话</x:t>
        </x:is>
      </x:c>
      <x:c r="G1001" s="61" t="inlineStr">
        <x:is>
          <x:t xml:space="preserve">无</x:t>
        </x:is>
      </x:c>
      <x:c r="H1001" s="61" t="str">
        <x:f>IF(LEN(I1001)&lt;15,"短",IF(LEN(I1001)&lt;=45,"中","长"))</x:f>
        <x:v>中</x:v>
      </x:c>
      <x:c r="I1001" s="62" t="inlineStr">
        <x:is>
          <x:t xml:space="preserve">粤剧里管女主角叫“花旦”，这是行当名。</x:t>
        </x:is>
      </x:c>
      <x:c r="J1001" s="62" t="str">
        <x:f>I1001</x:f>
        <x:v>粤剧里管女主角叫“花旦”，这是行当名。</x:v>
      </x:c>
      <x:c r="K1001" s="61" t="inlineStr">
        <x:is>
          <x:t xml:space="preserve">无需改写</x:t>
        </x:is>
      </x:c>
      <x:c r="L1001" s="62" t="inlineStr">
        <x:is>
          <x:t xml:space="preserve">女主角/花旦</x:t>
        </x:is>
      </x:c>
      <x:c r="M1001" s="62" t="inlineStr">
        <x:is>
          <x:t xml:space="preserve">行当名称</x:t>
        </x:is>
      </x:c>
      <x:c r="N1001" s="62" t="inlineStr">
        <x:is>
          <x:t xml:space="preserve">粤剧里对主角有专门的行当名</x:t>
        </x:is>
      </x:c>
      <x:c r="O1001" s="61" t="inlineStr">
        <x:is>
          <x:t xml:space="preserve">中</x:t>
        </x:is>
      </x:c>
      <x:c r="P1001" s="61" t="inlineStr">
        <x:is>
          <x:t xml:space="preserve">否</x:t>
        </x:is>
      </x:c>
      <x:c r="Q1001" s="62" t="n"/>
      <x:c r="R1001" s="63" t="inlineStr">
        <x:is>
          <x:t xml:space="preserve">剔除</x:t>
        </x:is>
      </x:c>
      <x:c r="S1001" s="63" t="inlineStr">
        <x:is>
          <x:t xml:space="preserve"/>
        </x:is>
      </x:c>
      <x:c r="T1001" s="63" t="inlineStr">
        <x:is>
          <x:t xml:space="preserve">类别名有误导性：判据实为「引用/提及」，暂不纳入</x:t>
        </x:is>
      </x:c>
    </x:row>
    <x:row r="1002" s="37" customFormat="1" ht="29.850000381469727" customHeight="1">
      <x:c r="A1002" s="61" t="inlineStr">
        <x:is>
          <x:t xml:space="preserve">NEG-1001</x:t>
        </x:is>
      </x:c>
      <x:c r="B1002" s="61" t="inlineStr">
        <x:is>
          <x:t xml:space="preserve">v6</x:t>
        </x:is>
      </x:c>
      <x:c r="C1002" s="62" t="inlineStr">
        <x:is>
          <x:t xml:space="preserve">七、创作与修辞需要</x:t>
        </x:is>
      </x:c>
      <x:c r="D1002" s="62" t="inlineStr">
        <x:is>
          <x:t xml:space="preserve">7.4 反讽、戏仿与批判</x:t>
        </x:is>
      </x:c>
      <x:c r="E1002" s="62" t="inlineStr">
        <x:is>
          <x:t xml:space="preserve">文艺创作与评论</x:t>
        </x:is>
      </x:c>
      <x:c r="F1002" s="62" t="inlineStr">
        <x:is>
          <x:t xml:space="preserve">综艺评论</x:t>
        </x:is>
      </x:c>
      <x:c r="G1002" s="61" t="inlineStr">
        <x:is>
          <x:t xml:space="preserve">无</x:t>
        </x:is>
      </x:c>
      <x:c r="H1002" s="61" t="str">
        <x:f>IF(LEN(I1002)&lt;15,"短",IF(LEN(I1002)&lt;=45,"中","长"))</x:f>
        <x:v>中</x:v>
      </x:c>
      <x:c r="I1002" s="62" t="inlineStr">
        <x:is>
          <x:t xml:space="preserve">综艺让男嘉宾体验孕妇装，笑过之后气氛就变了。</x:t>
        </x:is>
      </x:c>
      <x:c r="J1002" s="62" t="str">
        <x:f>I1002</x:f>
        <x:v>综艺让男嘉宾体验孕妇装，笑过之后气氛就变了。</x:v>
      </x:c>
      <x:c r="K1002" s="61" t="inlineStr">
        <x:is>
          <x:t xml:space="preserve">无需改写</x:t>
        </x:is>
      </x:c>
      <x:c r="L1002" s="62" t="inlineStr">
        <x:is>
          <x:t xml:space="preserve">男嘉宾/孕妇装</x:t>
        </x:is>
      </x:c>
      <x:c r="M1002" s="62" t="inlineStr">
        <x:is>
          <x:t xml:space="preserve">节目设计的反差效果</x:t>
        </x:is>
      </x:c>
      <x:c r="N1002" s="62" t="inlineStr">
        <x:is>
          <x:t xml:space="preserve">综艺让嘉宾体验特殊服装，笑过之后气氛就变了</x:t>
        </x:is>
      </x:c>
      <x:c r="O1002" s="61" t="inlineStr">
        <x:is>
          <x:t xml:space="preserve">难</x:t>
        </x:is>
      </x:c>
      <x:c r="P1002" s="61" t="inlineStr">
        <x:is>
          <x:t xml:space="preserve">否</x:t>
        </x:is>
      </x:c>
      <x:c r="Q1002" s="62" t="n"/>
      <x:c r="R1002" s="63" t="inlineStr">
        <x:is>
          <x:t xml:space="preserve">剔除</x:t>
        </x:is>
      </x:c>
      <x:c r="S1002" s="63" t="inlineStr">
        <x:is>
          <x:t xml:space="preserve"/>
        </x:is>
      </x:c>
      <x:c r="T1002" s="63" t="inlineStr">
        <x:is>
          <x:t xml:space="preserve">类别名有误导性：判据实为「引用/提及」，暂不纳入</x:t>
        </x:is>
      </x:c>
    </x:row>
    <x:row r="1003" s="37" customFormat="1" ht="15" customHeight="1">
      <x:c r="A1003" s="61" t="inlineStr">
        <x:is>
          <x:t xml:space="preserve">NEG-1002</x:t>
        </x:is>
      </x:c>
      <x:c r="B1003" s="61" t="inlineStr">
        <x:is>
          <x:t xml:space="preserve">v6</x:t>
        </x:is>
      </x:c>
      <x:c r="C1003" s="62" t="inlineStr">
        <x:is>
          <x:t xml:space="preserve">七、创作与修辞需要</x:t>
        </x:is>
      </x:c>
      <x:c r="D1003" s="62" t="inlineStr">
        <x:is>
          <x:t xml:space="preserve">7.4 反讽、戏仿与批判</x:t>
        </x:is>
      </x:c>
      <x:c r="E1003" s="62" t="inlineStr">
        <x:is>
          <x:t xml:space="preserve">文艺创作与评论</x:t>
        </x:is>
      </x:c>
      <x:c r="F1003" s="62" t="inlineStr">
        <x:is>
          <x:t xml:space="preserve">漫画评论</x:t>
        </x:is>
      </x:c>
      <x:c r="G1003" s="61" t="inlineStr">
        <x:is>
          <x:t xml:space="preserve">无</x:t>
        </x:is>
      </x:c>
      <x:c r="H1003" s="61" t="str">
        <x:f>IF(LEN(I1003)&lt;15,"短",IF(LEN(I1003)&lt;=45,"中","长"))</x:f>
        <x:v>中</x:v>
      </x:c>
      <x:c r="I1003" s="62" t="inlineStr">
        <x:is>
          <x:t xml:space="preserve">这幅漫画把“男子汉不能哭”画成一个越绷越紧的壳。</x:t>
        </x:is>
      </x:c>
      <x:c r="J1003" s="62" t="str">
        <x:f>I1003</x:f>
        <x:v>这幅漫画把“男子汉不能哭”画成一个越绷越紧的壳。</x:v>
      </x:c>
      <x:c r="K1003" s="61" t="inlineStr">
        <x:is>
          <x:t xml:space="preserve">无需改写</x:t>
        </x:is>
      </x:c>
      <x:c r="L1003" s="62" t="inlineStr">
        <x:is>
          <x:t xml:space="preserve">男子汉不能哭</x:t>
        </x:is>
      </x:c>
      <x:c r="M1003" s="62" t="inlineStr">
        <x:is>
          <x:t xml:space="preserve">被批判的观念，是作品主题</x:t>
        </x:is>
      </x:c>
      <x:c r="N1003" s="62" t="inlineStr">
        <x:is>
          <x:t xml:space="preserve">这幅漫画把某种压抑画成一个越绷越紧的壳</x:t>
        </x:is>
      </x:c>
      <x:c r="O1003" s="61" t="inlineStr">
        <x:is>
          <x:t xml:space="preserve">难</x:t>
        </x:is>
      </x:c>
      <x:c r="P1003" s="61" t="inlineStr">
        <x:is>
          <x:t xml:space="preserve">否</x:t>
        </x:is>
      </x:c>
      <x:c r="Q1003" s="62" t="n"/>
      <x:c r="R1003" s="63" t="inlineStr">
        <x:is>
          <x:t xml:space="preserve">剔除</x:t>
        </x:is>
      </x:c>
      <x:c r="S1003" s="63" t="inlineStr">
        <x:is>
          <x:t xml:space="preserve"/>
        </x:is>
      </x:c>
      <x:c r="T1003" s="63" t="inlineStr">
        <x:is>
          <x:t xml:space="preserve">类别名有误导性：判据实为「引用/提及」，暂不纳入</x:t>
        </x:is>
      </x:c>
    </x:row>
    <x:row r="1004" s="37" customFormat="1" ht="29.850000381469727" customHeight="1">
      <x:c r="A1004" s="61" t="inlineStr">
        <x:is>
          <x:t xml:space="preserve">NEG-1003</x:t>
        </x:is>
      </x:c>
      <x:c r="B1004" s="61" t="inlineStr">
        <x:is>
          <x:t xml:space="preserve">v6</x:t>
        </x:is>
      </x:c>
      <x:c r="C1004" s="62" t="inlineStr">
        <x:is>
          <x:t xml:space="preserve">七、创作与修辞需要</x:t>
        </x:is>
      </x:c>
      <x:c r="D1004" s="62" t="inlineStr">
        <x:is>
          <x:t xml:space="preserve">7.4 反讽、戏仿与批判</x:t>
        </x:is>
      </x:c>
      <x:c r="E1004" s="62" t="inlineStr">
        <x:is>
          <x:t xml:space="preserve">文艺创作与评论</x:t>
        </x:is>
      </x:c>
      <x:c r="F1004" s="62" t="inlineStr">
        <x:is>
          <x:t xml:space="preserve">书评</x:t>
        </x:is>
      </x:c>
      <x:c r="G1004" s="61" t="inlineStr">
        <x:is>
          <x:t xml:space="preserve">无</x:t>
        </x:is>
      </x:c>
      <x:c r="H1004" s="61" t="str">
        <x:f>IF(LEN(I1004)&lt;15,"短",IF(LEN(I1004)&lt;=45,"中","长"))</x:f>
        <x:v>中</x:v>
      </x:c>
      <x:c r="I1004" s="62" t="inlineStr">
        <x:is>
          <x:t xml:space="preserve">小说反复用“贤妻良母”四个字，用到第五次就变成了讽刺。</x:t>
        </x:is>
      </x:c>
      <x:c r="J1004" s="62" t="str">
        <x:f>I1004</x:f>
        <x:v>小说反复用“贤妻良母”四个字，用到第五次就变成了讽刺。</x:v>
      </x:c>
      <x:c r="K1004" s="61" t="inlineStr">
        <x:is>
          <x:t xml:space="preserve">无需改写</x:t>
        </x:is>
      </x:c>
      <x:c r="L1004" s="62" t="inlineStr">
        <x:is>
          <x:t xml:space="preserve">贤妻良母</x:t>
        </x:is>
      </x:c>
      <x:c r="M1004" s="62" t="inlineStr">
        <x:is>
          <x:t xml:space="preserve">重复即修辞手法，句子已说明</x:t>
        </x:is>
      </x:c>
      <x:c r="N1004" s="62" t="inlineStr">
        <x:is>
          <x:t xml:space="preserve">小说反复用同一个词，用到第五次就成了讽刺</x:t>
        </x:is>
      </x:c>
      <x:c r="O1004" s="61" t="inlineStr">
        <x:is>
          <x:t xml:space="preserve">难</x:t>
        </x:is>
      </x:c>
      <x:c r="P1004" s="61" t="inlineStr">
        <x:is>
          <x:t xml:space="preserve">否</x:t>
        </x:is>
      </x:c>
      <x:c r="Q1004" s="62" t="n"/>
      <x:c r="R1004" s="63" t="inlineStr">
        <x:is>
          <x:t xml:space="preserve">剔除</x:t>
        </x:is>
      </x:c>
      <x:c r="S1004" s="63" t="inlineStr">
        <x:is>
          <x:t xml:space="preserve"/>
        </x:is>
      </x:c>
      <x:c r="T1004" s="63" t="inlineStr">
        <x:is>
          <x:t xml:space="preserve">类别名有误导性：判据实为「引用/提及」，暂不纳入</x:t>
        </x:is>
      </x:c>
    </x:row>
    <x:row r="1005" s="37" customFormat="1" ht="15" customHeight="1">
      <x:c r="A1005" s="61" t="inlineStr">
        <x:is>
          <x:t xml:space="preserve">NEG-1004</x:t>
        </x:is>
      </x:c>
      <x:c r="B1005" s="61" t="inlineStr">
        <x:is>
          <x:t xml:space="preserve">v6</x:t>
        </x:is>
      </x:c>
      <x:c r="C1005" s="62" t="inlineStr">
        <x:is>
          <x:t xml:space="preserve">七、创作与修辞需要</x:t>
        </x:is>
      </x:c>
      <x:c r="D1005" s="62" t="inlineStr">
        <x:is>
          <x:t xml:space="preserve">7.5 形式与格律约束</x:t>
        </x:is>
      </x:c>
      <x:c r="E1005" s="62" t="inlineStr">
        <x:is>
          <x:t xml:space="preserve">其他</x:t>
        </x:is>
      </x:c>
      <x:c r="F1005" s="62" t="inlineStr">
        <x:is>
          <x:t xml:space="preserve">谐音歇后语</x:t>
        </x:is>
      </x:c>
      <x:c r="G1005" s="61" t="inlineStr">
        <x:is>
          <x:t xml:space="preserve">无</x:t>
        </x:is>
      </x:c>
      <x:c r="H1005" s="61" t="str">
        <x:f>IF(LEN(I1005)&lt;15,"短",IF(LEN(I1005)&lt;=45,"中","长"))</x:f>
        <x:v>中</x:v>
      </x:c>
      <x:c r="I1005" s="62" t="inlineStr">
        <x:is>
          <x:t xml:space="preserve">“外甥打灯笼——照旧”靠的是“舅”和“旧”的谐音。</x:t>
        </x:is>
      </x:c>
      <x:c r="J1005" s="62" t="str">
        <x:f>I1005</x:f>
        <x:v>“外甥打灯笼——照旧”靠的是“舅”和“旧”的谐音。</x:v>
      </x:c>
      <x:c r="K1005" s="61" t="inlineStr">
        <x:is>
          <x:t xml:space="preserve">无需改写</x:t>
        </x:is>
      </x:c>
      <x:c r="L1005" s="62" t="inlineStr">
        <x:is>
          <x:t xml:space="preserve">外甥/舅</x:t>
        </x:is>
      </x:c>
      <x:c r="M1005" s="62" t="inlineStr">
        <x:is>
          <x:t xml:space="preserve">谐音结构，换字即失效</x:t>
        </x:is>
      </x:c>
      <x:c r="N1005" s="62" t="inlineStr">
        <x:is>
          <x:t xml:space="preserve">这句歇后语靠的是谐音</x:t>
        </x:is>
      </x:c>
      <x:c r="O1005" s="61" t="inlineStr">
        <x:is>
          <x:t xml:space="preserve">难</x:t>
        </x:is>
      </x:c>
      <x:c r="P1005" s="61" t="inlineStr">
        <x:is>
          <x:t xml:space="preserve">否</x:t>
        </x:is>
      </x:c>
      <x:c r="Q1005" s="62" t="n"/>
      <x:c r="R1005" s="63" t="inlineStr">
        <x:is>
          <x:t xml:space="preserve">剔除</x:t>
        </x:is>
      </x:c>
      <x:c r="S1005" s="63" t="inlineStr">
        <x:is>
          <x:t xml:space="preserve"/>
        </x:is>
      </x:c>
      <x:c r="T1005" s="63" t="inlineStr">
        <x:is>
          <x:t xml:space="preserve">类别名有误导性：判据实为「引用/提及」，暂不纳入</x:t>
        </x:is>
      </x:c>
    </x:row>
    <x:row r="1006" s="37" customFormat="1" ht="15" customHeight="1">
      <x:c r="A1006" s="61" t="inlineStr">
        <x:is>
          <x:t xml:space="preserve">NEG-1005</x:t>
        </x:is>
      </x:c>
      <x:c r="B1006" s="61" t="inlineStr">
        <x:is>
          <x:t xml:space="preserve">v6</x:t>
        </x:is>
      </x:c>
      <x:c r="C1006" s="62" t="inlineStr">
        <x:is>
          <x:t xml:space="preserve">七、创作与修辞需要</x:t>
        </x:is>
      </x:c>
      <x:c r="D1006" s="62" t="inlineStr">
        <x:is>
          <x:t xml:space="preserve">7.5 形式与格律约束</x:t>
        </x:is>
      </x:c>
      <x:c r="E1006" s="62" t="inlineStr">
        <x:is>
          <x:t xml:space="preserve">其他</x:t>
        </x:is>
      </x:c>
      <x:c r="F1006" s="62" t="inlineStr">
        <x:is>
          <x:t xml:space="preserve">词语辨析</x:t>
        </x:is>
      </x:c>
      <x:c r="G1006" s="61" t="inlineStr">
        <x:is>
          <x:t xml:space="preserve">无</x:t>
        </x:is>
      </x:c>
      <x:c r="H1006" s="61" t="str">
        <x:f>IF(LEN(I1006)&lt;15,"短",IF(LEN(I1006)&lt;=45,"中","长"))</x:f>
        <x:v>中</x:v>
      </x:c>
      <x:c r="I1006" s="62" t="inlineStr">
        <x:is>
          <x:t xml:space="preserve">“生儿育女”是四字并列结构，拆开就不成词了。</x:t>
        </x:is>
      </x:c>
      <x:c r="J1006" s="62" t="str">
        <x:f>I1006</x:f>
        <x:v>“生儿育女”是四字并列结构，拆开就不成词了。</x:v>
      </x:c>
      <x:c r="K1006" s="61" t="inlineStr">
        <x:is>
          <x:t xml:space="preserve">无需改写</x:t>
        </x:is>
      </x:c>
      <x:c r="L1006" s="62" t="inlineStr">
        <x:is>
          <x:t xml:space="preserve">生儿育女</x:t>
        </x:is>
      </x:c>
      <x:c r="M1006" s="62" t="inlineStr">
        <x:is>
          <x:t xml:space="preserve">固定成语结构</x:t>
        </x:is>
      </x:c>
      <x:c r="N1006" s="62" t="inlineStr">
        <x:is>
          <x:t xml:space="preserve">这个四字词是并列结构，拆开就不成词</x:t>
        </x:is>
      </x:c>
      <x:c r="O1006" s="61" t="inlineStr">
        <x:is>
          <x:t xml:space="preserve">中</x:t>
        </x:is>
      </x:c>
      <x:c r="P1006" s="61" t="inlineStr">
        <x:is>
          <x:t xml:space="preserve">否</x:t>
        </x:is>
      </x:c>
      <x:c r="Q1006" s="62" t="n"/>
      <x:c r="R1006" s="63" t="inlineStr">
        <x:is>
          <x:t xml:space="preserve">剔除</x:t>
        </x:is>
      </x:c>
      <x:c r="S1006" s="63" t="inlineStr">
        <x:is>
          <x:t xml:space="preserve"/>
        </x:is>
      </x:c>
      <x:c r="T1006" s="63" t="inlineStr">
        <x:is>
          <x:t xml:space="preserve">类别名有误导性：判据实为「引用/提及」，暂不纳入</x:t>
        </x:is>
      </x:c>
    </x:row>
    <x:row r="1007" s="37" customFormat="1" ht="15" customHeight="1">
      <x:c r="A1007" s="61" t="inlineStr">
        <x:is>
          <x:t xml:space="preserve">NEG-1006</x:t>
        </x:is>
      </x:c>
      <x:c r="B1007" s="61" t="inlineStr">
        <x:is>
          <x:t xml:space="preserve">v6</x:t>
        </x:is>
      </x:c>
      <x:c r="C1007" s="62" t="inlineStr">
        <x:is>
          <x:t xml:space="preserve">七、创作与修辞需要</x:t>
        </x:is>
      </x:c>
      <x:c r="D1007" s="62" t="inlineStr">
        <x:is>
          <x:t xml:space="preserve">7.6 意象与典故</x:t>
        </x:is>
      </x:c>
      <x:c r="E1007" s="62" t="inlineStr">
        <x:is>
          <x:t xml:space="preserve">其他</x:t>
        </x:is>
      </x:c>
      <x:c r="F1007" s="62" t="inlineStr">
        <x:is>
          <x:t xml:space="preserve">民间传说</x:t>
        </x:is>
      </x:c>
      <x:c r="G1007" s="61" t="inlineStr">
        <x:is>
          <x:t xml:space="preserve">无</x:t>
        </x:is>
      </x:c>
      <x:c r="H1007" s="61" t="str">
        <x:f>IF(LEN(I1007)&lt;15,"短",IF(LEN(I1007)&lt;=45,"中","长"))</x:f>
        <x:v>中</x:v>
      </x:c>
      <x:c r="I1007" s="62" t="inlineStr">
        <x:is>
          <x:t xml:space="preserve">“望夫石”的传说各地都有，细节不太一样。</x:t>
        </x:is>
      </x:c>
      <x:c r="J1007" s="62" t="str">
        <x:f>I1007</x:f>
        <x:v>“望夫石”的传说各地都有，细节不太一样。</x:v>
      </x:c>
      <x:c r="K1007" s="61" t="inlineStr">
        <x:is>
          <x:t xml:space="preserve">无需改写</x:t>
        </x:is>
      </x:c>
      <x:c r="L1007" s="62" t="inlineStr">
        <x:is>
          <x:t xml:space="preserve">望夫石</x:t>
        </x:is>
      </x:c>
      <x:c r="M1007" s="62" t="inlineStr">
        <x:is>
          <x:t xml:space="preserve">传说专名</x:t>
        </x:is>
      </x:c>
      <x:c r="N1007" s="62" t="inlineStr">
        <x:is>
          <x:t xml:space="preserve">这类岩石传说各地都有，细节不太一样</x:t>
        </x:is>
      </x:c>
      <x:c r="O1007" s="61" t="inlineStr">
        <x:is>
          <x:t xml:space="preserve">易</x:t>
        </x:is>
      </x:c>
      <x:c r="P1007" s="61" t="inlineStr">
        <x:is>
          <x:t xml:space="preserve">否</x:t>
        </x:is>
      </x:c>
      <x:c r="Q1007" s="62" t="n"/>
      <x:c r="R1007" s="63" t="inlineStr">
        <x:is>
          <x:t xml:space="preserve">剔除</x:t>
        </x:is>
      </x:c>
      <x:c r="S1007" s="63" t="inlineStr">
        <x:is>
          <x:t xml:space="preserve"/>
        </x:is>
      </x:c>
      <x:c r="T1007" s="63" t="inlineStr">
        <x:is>
          <x:t xml:space="preserve">类别名有误导性：判据实为「引用/提及」，暂不纳入</x:t>
        </x:is>
      </x:c>
    </x:row>
    <x:row r="1008" s="37" customFormat="1" ht="15" customHeight="1">
      <x:c r="A1008" s="61" t="inlineStr">
        <x:is>
          <x:t xml:space="preserve">NEG-1007</x:t>
        </x:is>
      </x:c>
      <x:c r="B1008" s="61" t="inlineStr">
        <x:is>
          <x:t xml:space="preserve">v6</x:t>
        </x:is>
      </x:c>
      <x:c r="C1008" s="62" t="inlineStr">
        <x:is>
          <x:t xml:space="preserve">七、创作与修辞需要</x:t>
        </x:is>
      </x:c>
      <x:c r="D1008" s="62" t="inlineStr">
        <x:is>
          <x:t xml:space="preserve">7.6 意象与典故</x:t>
        </x:is>
      </x:c>
      <x:c r="E1008" s="62" t="inlineStr">
        <x:is>
          <x:t xml:space="preserve">文艺创作与评论</x:t>
        </x:is>
      </x:c>
      <x:c r="F1008" s="62" t="inlineStr">
        <x:is>
          <x:t xml:space="preserve">典故讲解</x:t>
        </x:is>
      </x:c>
      <x:c r="G1008" s="61" t="inlineStr">
        <x:is>
          <x:t xml:space="preserve">无</x:t>
        </x:is>
      </x:c>
      <x:c r="H1008" s="61" t="str">
        <x:f>IF(LEN(I1008)&lt;15,"短",IF(LEN(I1008)&lt;=45,"中","长"))</x:f>
        <x:v>中</x:v>
      </x:c>
      <x:c r="I1008" s="62" t="inlineStr">
        <x:is>
          <x:t xml:space="preserve">“曹娥投江”是二十四孝里的一则，碑文也很有名。</x:t>
        </x:is>
      </x:c>
      <x:c r="J1008" s="62" t="str">
        <x:f>I1008</x:f>
        <x:v>“曹娥投江”是二十四孝里的一则，碑文也很有名。</x:v>
      </x:c>
      <x:c r="K1008" s="61" t="inlineStr">
        <x:is>
          <x:t xml:space="preserve">无需改写</x:t>
        </x:is>
      </x:c>
      <x:c r="L1008" s="62" t="inlineStr">
        <x:is>
          <x:t xml:space="preserve">曹娥</x:t>
        </x:is>
      </x:c>
      <x:c r="M1008" s="62" t="inlineStr">
        <x:is>
          <x:t xml:space="preserve">典故专名</x:t>
        </x:is>
      </x:c>
      <x:c r="N1008" s="62" t="inlineStr">
        <x:is>
          <x:t xml:space="preserve">这则孝行故事是二十四孝之一</x:t>
        </x:is>
      </x:c>
      <x:c r="O1008" s="61" t="inlineStr">
        <x:is>
          <x:t xml:space="preserve">易</x:t>
        </x:is>
      </x:c>
      <x:c r="P1008" s="61" t="inlineStr">
        <x:is>
          <x:t xml:space="preserve">否</x:t>
        </x:is>
      </x:c>
      <x:c r="Q1008" s="62" t="n"/>
      <x:c r="R1008" s="63" t="inlineStr">
        <x:is>
          <x:t xml:space="preserve">剔除</x:t>
        </x:is>
      </x:c>
      <x:c r="S1008" s="63" t="inlineStr">
        <x:is>
          <x:t xml:space="preserve"/>
        </x:is>
      </x:c>
      <x:c r="T1008" s="63" t="inlineStr">
        <x:is>
          <x:t xml:space="preserve">类别名有误导性：判据实为「引用/提及」，暂不纳入</x:t>
        </x:is>
      </x:c>
    </x:row>
    <x:row r="1009" s="37" customFormat="1" ht="29.850000381469727" customHeight="1">
      <x:c r="A1009" s="55" t="inlineStr">
        <x:is>
          <x:t xml:space="preserve">NEG-1008</x:t>
        </x:is>
      </x:c>
      <x:c r="B1009" s="55" t="inlineStr">
        <x:is>
          <x:t xml:space="preserve">v6</x:t>
        </x:is>
      </x:c>
      <x:c r="C1009" s="56" t="inlineStr">
        <x:is>
          <x:t xml:space="preserve">八、语言本体层面的历史残留</x:t>
        </x:is>
      </x:c>
      <x:c r="D1009" s="56" t="inlineStr">
        <x:is>
          <x:t xml:space="preserve">8.1 字形理据</x:t>
        </x:is>
      </x:c>
      <x:c r="E1009" s="56" t="inlineStr">
        <x:is>
          <x:t xml:space="preserve">学术与调研</x:t>
        </x:is>
      </x:c>
      <x:c r="F1009" s="56" t="inlineStr">
        <x:is>
          <x:t xml:space="preserve">文字学</x:t>
        </x:is>
      </x:c>
      <x:c r="G1009" s="55" t="inlineStr">
        <x:is>
          <x:t xml:space="preserve">无</x:t>
        </x:is>
      </x:c>
      <x:c r="H1009" s="55" t="str">
        <x:f>IF(LEN(I1009)&lt;15,"短",IF(LEN(I1009)&lt;=45,"中","长"))</x:f>
        <x:v>中</x:v>
      </x:c>
      <x:c r="I1009" s="56" t="inlineStr">
        <x:is>
          <x:t xml:space="preserve">“婚”字从女从昏，与古时黄昏成礼的说法有关。</x:t>
        </x:is>
      </x:c>
      <x:c r="J1009" s="56" t="str">
        <x:f>I1009</x:f>
        <x:v>“婚”字从女从昏，与古时黄昏成礼的说法有关。</x:v>
      </x:c>
      <x:c r="K1009" s="55" t="inlineStr">
        <x:is>
          <x:t xml:space="preserve">无需改写</x:t>
        </x:is>
      </x:c>
      <x:c r="L1009" s="56" t="inlineStr">
        <x:is>
          <x:t xml:space="preserve">婚/女</x:t>
        </x:is>
      </x:c>
      <x:c r="M1009" s="56" t="inlineStr">
        <x:is>
          <x:t xml:space="preserve">构字理据的学术说明</x:t>
        </x:is>
      </x:c>
      <x:c r="N1009" s="56" t="inlineStr">
        <x:is>
          <x:t xml:space="preserve">这个字的构形与古时的成礼时辰有关</x:t>
        </x:is>
      </x:c>
      <x:c r="O1009" s="55" t="inlineStr">
        <x:is>
          <x:t xml:space="preserve">中</x:t>
        </x:is>
      </x:c>
      <x:c r="P1009" s="55" t="inlineStr">
        <x:is>
          <x:t xml:space="preserve">否</x:t>
        </x:is>
      </x:c>
      <x:c r="Q1009" s="56" t="n"/>
      <x:c r="R1009" s="57" t="inlineStr">
        <x:is>
          <x:t xml:space="preserve">主集</x:t>
        </x:is>
      </x:c>
      <x:c r="S1009" s="57" t="inlineStr">
        <x:is>
          <x:t xml:space="preserve">index</x:t>
        </x:is>
      </x:c>
      <x:c r="T1009" s="57" t="inlineStr">
        <x:is>
          <x:t xml:space="preserve"/>
        </x:is>
      </x:c>
    </x:row>
    <x:row r="1010" s="37" customFormat="1" ht="29.850000381469727" customHeight="1">
      <x:c r="A1010" s="55" t="inlineStr">
        <x:is>
          <x:t xml:space="preserve">NEG-1009</x:t>
        </x:is>
      </x:c>
      <x:c r="B1010" s="55" t="inlineStr">
        <x:is>
          <x:t xml:space="preserve">v6</x:t>
        </x:is>
      </x:c>
      <x:c r="C1010" s="56" t="inlineStr">
        <x:is>
          <x:t xml:space="preserve">八、语言本体层面的历史残留</x:t>
        </x:is>
      </x:c>
      <x:c r="D1010" s="56" t="inlineStr">
        <x:is>
          <x:t xml:space="preserve">8.1 字形理据</x:t>
        </x:is>
      </x:c>
      <x:c r="E1010" s="56" t="inlineStr">
        <x:is>
          <x:t xml:space="preserve">学术与调研</x:t>
        </x:is>
      </x:c>
      <x:c r="F1010" s="56" t="inlineStr">
        <x:is>
          <x:t xml:space="preserve">文字学</x:t>
        </x:is>
      </x:c>
      <x:c r="G1010" s="55" t="inlineStr">
        <x:is>
          <x:t xml:space="preserve">无</x:t>
        </x:is>
      </x:c>
      <x:c r="H1010" s="55" t="str">
        <x:f>IF(LEN(I1010)&lt;15,"短",IF(LEN(I1010)&lt;=45,"中","长"))</x:f>
        <x:v>中</x:v>
      </x:c>
      <x:c r="I1010" s="56" t="inlineStr">
        <x:is>
          <x:t xml:space="preserve">“男”字从田从力，是个会意字。</x:t>
        </x:is>
      </x:c>
      <x:c r="J1010" s="56" t="str">
        <x:f>I1010</x:f>
        <x:v>“男”字从田从力，是个会意字。</x:v>
      </x:c>
      <x:c r="K1010" s="55" t="inlineStr">
        <x:is>
          <x:t xml:space="preserve">无需改写</x:t>
        </x:is>
      </x:c>
      <x:c r="L1010" s="56" t="inlineStr">
        <x:is>
          <x:t xml:space="preserve">男/田/力</x:t>
        </x:is>
      </x:c>
      <x:c r="M1010" s="56" t="inlineStr">
        <x:is>
          <x:t xml:space="preserve">构字法说明</x:t>
        </x:is>
      </x:c>
      <x:c r="N1010" s="56" t="inlineStr">
        <x:is>
          <x:t xml:space="preserve">这个字是会意字，由两个部件构成</x:t>
        </x:is>
      </x:c>
      <x:c r="O1010" s="55" t="inlineStr">
        <x:is>
          <x:t xml:space="preserve">易</x:t>
        </x:is>
      </x:c>
      <x:c r="P1010" s="55" t="inlineStr">
        <x:is>
          <x:t xml:space="preserve">否</x:t>
        </x:is>
      </x:c>
      <x:c r="Q1010" s="56" t="n"/>
      <x:c r="R1010" s="57" t="inlineStr">
        <x:is>
          <x:t xml:space="preserve">主集</x:t>
        </x:is>
      </x:c>
      <x:c r="S1010" s="57" t="inlineStr">
        <x:is>
          <x:t xml:space="preserve">index</x:t>
        </x:is>
      </x:c>
      <x:c r="T1010" s="57" t="inlineStr">
        <x:is>
          <x:t xml:space="preserve"/>
        </x:is>
      </x:c>
    </x:row>
    <x:row r="1011" s="37" customFormat="1" ht="29.850000381469727" customHeight="1">
      <x:c r="A1011" s="55" t="inlineStr">
        <x:is>
          <x:t xml:space="preserve">NEG-1010</x:t>
        </x:is>
      </x:c>
      <x:c r="B1011" s="55" t="inlineStr">
        <x:is>
          <x:t xml:space="preserve">v6</x:t>
        </x:is>
      </x:c>
      <x:c r="C1011" s="56" t="inlineStr">
        <x:is>
          <x:t xml:space="preserve">八、语言本体层面的历史残留</x:t>
        </x:is>
      </x:c>
      <x:c r="D1011" s="56" t="inlineStr">
        <x:is>
          <x:t xml:space="preserve">8.1 字形理据</x:t>
        </x:is>
      </x:c>
      <x:c r="E1011" s="56" t="inlineStr">
        <x:is>
          <x:t xml:space="preserve">其他</x:t>
        </x:is>
      </x:c>
      <x:c r="F1011" s="56" t="inlineStr">
        <x:is>
          <x:t xml:space="preserve">语言史</x:t>
        </x:is>
      </x:c>
      <x:c r="G1011" s="55" t="inlineStr">
        <x:is>
          <x:t xml:space="preserve">无</x:t>
        </x:is>
      </x:c>
      <x:c r="H1011" s="55" t="str">
        <x:f>IF(LEN(I1011)&lt;15,"短",IF(LEN(I1011)&lt;=45,"中","长"))</x:f>
        <x:v>中</x:v>
      </x:c>
      <x:c r="I1011" s="56" t="inlineStr">
        <x:is>
          <x:t xml:space="preserve">“她”字造出来之前，书面上一律写“伊”或者“他”。</x:t>
        </x:is>
      </x:c>
      <x:c r="J1011" s="56" t="str">
        <x:f>I1011</x:f>
        <x:v>“她”字造出来之前，书面上一律写“伊”或者“他”。</x:v>
      </x:c>
      <x:c r="K1011" s="55" t="inlineStr">
        <x:is>
          <x:t xml:space="preserve">无需改写</x:t>
        </x:is>
      </x:c>
      <x:c r="L1011" s="56" t="inlineStr">
        <x:is>
          <x:t xml:space="preserve">她/伊/他</x:t>
        </x:is>
      </x:c>
      <x:c r="M1011" s="56" t="inlineStr">
        <x:is>
          <x:t xml:space="preserve">汉字史事实</x:t>
        </x:is>
      </x:c>
      <x:c r="N1011" s="56" t="inlineStr">
        <x:is>
          <x:t xml:space="preserve">这个字造出来之前，书面上另有写法</x:t>
        </x:is>
      </x:c>
      <x:c r="O1011" s="55" t="inlineStr">
        <x:is>
          <x:t xml:space="preserve">中</x:t>
        </x:is>
      </x:c>
      <x:c r="P1011" s="55" t="inlineStr">
        <x:is>
          <x:t xml:space="preserve">否</x:t>
        </x:is>
      </x:c>
      <x:c r="Q1011" s="56" t="n"/>
      <x:c r="R1011" s="57" t="inlineStr">
        <x:is>
          <x:t xml:space="preserve">主集</x:t>
        </x:is>
      </x:c>
      <x:c r="S1011" s="57" t="inlineStr">
        <x:is>
          <x:t xml:space="preserve">dev</x:t>
        </x:is>
      </x:c>
      <x:c r="T1011" s="57" t="inlineStr">
        <x:is>
          <x:t xml:space="preserve"/>
        </x:is>
      </x:c>
    </x:row>
    <x:row r="1012" s="37" customFormat="1" ht="29.850000381469727" customHeight="1">
      <x:c r="A1012" s="55" t="inlineStr">
        <x:is>
          <x:t xml:space="preserve">NEG-1011</x:t>
        </x:is>
      </x:c>
      <x:c r="B1012" s="55" t="inlineStr">
        <x:is>
          <x:t xml:space="preserve">v6</x:t>
        </x:is>
      </x:c>
      <x:c r="C1012" s="56" t="inlineStr">
        <x:is>
          <x:t xml:space="preserve">八、语言本体层面的历史残留</x:t>
        </x:is>
      </x:c>
      <x:c r="D1012" s="56" t="inlineStr">
        <x:is>
          <x:t xml:space="preserve">8.2 敬语传统的中性化用法</x:t>
        </x:is>
      </x:c>
      <x:c r="E1012" s="56" t="inlineStr">
        <x:is>
          <x:t xml:space="preserve">学术与调研</x:t>
        </x:is>
      </x:c>
      <x:c r="F1012" s="56" t="inlineStr">
        <x:is>
          <x:t xml:space="preserve">语用观察</x:t>
        </x:is>
      </x:c>
      <x:c r="G1012" s="55" t="inlineStr">
        <x:is>
          <x:t xml:space="preserve">无</x:t>
        </x:is>
      </x:c>
      <x:c r="H1012" s="55" t="str">
        <x:f>IF(LEN(I1012)&lt;15,"短",IF(LEN(I1012)&lt;=45,"中","长"))</x:f>
        <x:v>中</x:v>
      </x:c>
      <x:c r="I1012" s="56" t="inlineStr">
        <x:is>
          <x:t xml:space="preserve">过去管女教师也叫“先生”，现在这个用法在减少。</x:t>
        </x:is>
      </x:c>
      <x:c r="J1012" s="56" t="str">
        <x:f>I1012</x:f>
        <x:v>过去管女教师也叫“先生”，现在这个用法在减少。</x:v>
      </x:c>
      <x:c r="K1012" s="55" t="inlineStr">
        <x:is>
          <x:t xml:space="preserve">无需改写</x:t>
        </x:is>
      </x:c>
      <x:c r="L1012" s="56" t="inlineStr">
        <x:is>
          <x:t xml:space="preserve">女教师/先生</x:t>
        </x:is>
      </x:c>
      <x:c r="M1012" s="56" t="inlineStr">
        <x:is>
          <x:t xml:space="preserve">称谓演变的客观描述</x:t>
        </x:is>
      </x:c>
      <x:c r="N1012" s="56" t="inlineStr">
        <x:is>
          <x:t xml:space="preserve">过去对教师有统一的敬称，现在用法在减少</x:t>
        </x:is>
      </x:c>
      <x:c r="O1012" s="55" t="inlineStr">
        <x:is>
          <x:t xml:space="preserve">难</x:t>
        </x:is>
      </x:c>
      <x:c r="P1012" s="55" t="inlineStr">
        <x:is>
          <x:t xml:space="preserve">是</x:t>
        </x:is>
      </x:c>
      <x:c r="Q1012" s="56" t="n"/>
      <x:c r="R1012" s="57" t="inlineStr">
        <x:is>
          <x:t xml:space="preserve">主集</x:t>
        </x:is>
      </x:c>
      <x:c r="S1012" s="57" t="inlineStr">
        <x:is>
          <x:t xml:space="preserve">test</x:t>
        </x:is>
      </x:c>
      <x:c r="T1012" s="57" t="inlineStr">
        <x:is>
          <x:t xml:space="preserve"/>
        </x:is>
      </x:c>
    </x:row>
    <x:row r="1013" s="37" customFormat="1" ht="29.850000381469727" customHeight="1">
      <x:c r="A1013" s="55" t="inlineStr">
        <x:is>
          <x:t xml:space="preserve">NEG-1012</x:t>
        </x:is>
      </x:c>
      <x:c r="B1013" s="55" t="inlineStr">
        <x:is>
          <x:t xml:space="preserve">v6</x:t>
        </x:is>
      </x:c>
      <x:c r="C1013" s="56" t="inlineStr">
        <x:is>
          <x:t xml:space="preserve">八、语言本体层面的历史残留</x:t>
        </x:is>
      </x:c>
      <x:c r="D1013" s="56" t="inlineStr">
        <x:is>
          <x:t xml:space="preserve">8.2 敬语传统的中性化用法</x:t>
        </x:is>
      </x:c>
      <x:c r="E1013" s="56" t="inlineStr">
        <x:is>
          <x:t xml:space="preserve">口语与私人交流</x:t>
        </x:is>
      </x:c>
      <x:c r="F1013" s="56" t="inlineStr">
        <x:is>
          <x:t xml:space="preserve">行业口语</x:t>
        </x:is>
      </x:c>
      <x:c r="G1013" s="55" t="inlineStr">
        <x:is>
          <x:t xml:space="preserve">无</x:t>
        </x:is>
      </x:c>
      <x:c r="H1013" s="55" t="str">
        <x:f>IF(LEN(I1013)&lt;15,"短",IF(LEN(I1013)&lt;=45,"中","长"))</x:f>
        <x:v>中</x:v>
      </x:c>
      <x:c r="I1013" s="56" t="inlineStr">
        <x:is>
          <x:t xml:space="preserve">中医馆里病人管坐诊的都叫“老师”，不分男女。</x:t>
        </x:is>
      </x:c>
      <x:c r="J1013" s="56" t="str">
        <x:f>I1013</x:f>
        <x:v>中医馆里病人管坐诊的都叫“老师”，不分男女。</x:v>
      </x:c>
      <x:c r="K1013" s="55" t="inlineStr">
        <x:is>
          <x:t xml:space="preserve">无需改写</x:t>
        </x:is>
      </x:c>
      <x:c r="L1013" s="56" t="inlineStr">
        <x:is>
          <x:t xml:space="preserve">男女</x:t>
        </x:is>
      </x:c>
      <x:c r="M1013" s="56" t="inlineStr">
        <x:is>
          <x:t xml:space="preserve">行业称呼的实况</x:t>
        </x:is>
      </x:c>
      <x:c r="N1013" s="56" t="inlineStr">
        <x:is>
          <x:t xml:space="preserve">中医馆里病人管坐诊的都叫“老师”</x:t>
        </x:is>
      </x:c>
      <x:c r="O1013" s="55" t="inlineStr">
        <x:is>
          <x:t xml:space="preserve">中</x:t>
        </x:is>
      </x:c>
      <x:c r="P1013" s="55" t="inlineStr">
        <x:is>
          <x:t xml:space="preserve">否</x:t>
        </x:is>
      </x:c>
      <x:c r="Q1013" s="56" t="n"/>
      <x:c r="R1013" s="57" t="inlineStr">
        <x:is>
          <x:t xml:space="preserve">主集</x:t>
        </x:is>
      </x:c>
      <x:c r="S1013" s="57" t="inlineStr">
        <x:is>
          <x:t xml:space="preserve">index</x:t>
        </x:is>
      </x:c>
      <x:c r="T1013" s="57" t="inlineStr">
        <x:is>
          <x:t xml:space="preserve"/>
        </x:is>
      </x:c>
    </x:row>
    <x:row r="1014" s="37" customFormat="1" ht="29.850000381469727" customHeight="1">
      <x:c r="A1014" s="58" t="inlineStr">
        <x:is>
          <x:t xml:space="preserve">NEG-1013</x:t>
        </x:is>
      </x:c>
      <x:c r="B1014" s="58" t="inlineStr">
        <x:is>
          <x:t xml:space="preserve">v6</x:t>
        </x:is>
      </x:c>
      <x:c r="C1014" s="59" t="inlineStr">
        <x:is>
          <x:t xml:space="preserve">八、语言本体层面的历史残留</x:t>
        </x:is>
      </x:c>
      <x:c r="D1014" s="59" t="inlineStr">
        <x:is>
          <x:t xml:space="preserve">8.2 敬语传统的中性化用法</x:t>
        </x:is>
      </x:c>
      <x:c r="E1014" s="59" t="inlineStr">
        <x:is>
          <x:t xml:space="preserve">其他</x:t>
        </x:is>
      </x:c>
      <x:c r="F1014" s="59" t="inlineStr">
        <x:is>
          <x:t xml:space="preserve">语言观察</x:t>
        </x:is>
      </x:c>
      <x:c r="G1014" s="58" t="inlineStr">
        <x:is>
          <x:t xml:space="preserve">无</x:t>
        </x:is>
      </x:c>
      <x:c r="H1014" s="58" t="str">
        <x:f>IF(LEN(I1014)&lt;15,"短",IF(LEN(I1014)&lt;=45,"中","长"))</x:f>
        <x:v>中</x:v>
      </x:c>
      <x:c r="I1014" s="59" t="inlineStr">
        <x:is>
          <x:t xml:space="preserve">“师傅”在服务行业里已经完全中性化了。</x:t>
        </x:is>
      </x:c>
      <x:c r="J1014" s="59" t="str">
        <x:f>I1014</x:f>
        <x:v>“师傅”在服务行业里已经完全中性化了。</x:v>
      </x:c>
      <x:c r="K1014" s="58" t="inlineStr">
        <x:is>
          <x:t xml:space="preserve">无需改写</x:t>
        </x:is>
      </x:c>
      <x:c r="L1014" s="59" t="inlineStr">
        <x:is>
          <x:t xml:space="preserve">师傅</x:t>
        </x:is>
      </x:c>
      <x:c r="M1014" s="59" t="inlineStr">
        <x:is>
          <x:t xml:space="preserve">词义演变的说明</x:t>
        </x:is>
      </x:c>
      <x:c r="N1014" s="59" t="inlineStr">
        <x:is>
          <x:t xml:space="preserve">这个称呼在服务行业里已完全中性化</x:t>
        </x:is>
      </x:c>
      <x:c r="O1014" s="58" t="inlineStr">
        <x:is>
          <x:t xml:space="preserve">中</x:t>
        </x:is>
      </x:c>
      <x:c r="P1014" s="58" t="inlineStr">
        <x:is>
          <x:t xml:space="preserve">否</x:t>
        </x:is>
      </x:c>
      <x:c r="Q1014" s="59" t="n"/>
      <x:c r="R1014" s="60" t="inlineStr">
        <x:is>
          <x:t xml:space="preserve">隔离·待确认</x:t>
        </x:is>
      </x:c>
      <x:c r="S1014" s="60" t="inlineStr">
        <x:is>
          <x:t xml:space="preserve"/>
        </x:is>
      </x:c>
      <x:c r="T1014" s="60" t="inlineStr">
        <x:is>
          <x:t xml:space="preserve">触发词不含性别编码——判断可能依赖世界知识而非句内信息</x:t>
        </x:is>
      </x:c>
    </x:row>
    <x:row r="1015" s="37" customFormat="1" ht="29.850000381469727" customHeight="1">
      <x:c r="A1015" s="55" t="inlineStr">
        <x:is>
          <x:t xml:space="preserve">NEG-1014</x:t>
        </x:is>
      </x:c>
      <x:c r="B1015" s="55" t="inlineStr">
        <x:is>
          <x:t xml:space="preserve">v6</x:t>
        </x:is>
      </x:c>
      <x:c r="C1015" s="56" t="inlineStr">
        <x:is>
          <x:t xml:space="preserve">八、语言本体层面的历史残留</x:t>
        </x:is>
      </x:c>
      <x:c r="D1015" s="56" t="inlineStr">
        <x:is>
          <x:t xml:space="preserve">8.3 已中性化的复合词</x:t>
        </x:is>
      </x:c>
      <x:c r="E1015" s="56" t="inlineStr">
        <x:is>
          <x:t xml:space="preserve">公文与规章</x:t>
        </x:is>
      </x:c>
      <x:c r="F1015" s="56" t="inlineStr">
        <x:is>
          <x:t xml:space="preserve">政策用语</x:t>
        </x:is>
      </x:c>
      <x:c r="G1015" s="55" t="inlineStr">
        <x:is>
          <x:t xml:space="preserve">无</x:t>
        </x:is>
      </x:c>
      <x:c r="H1015" s="55" t="str">
        <x:f>IF(LEN(I1015)&lt;15,"短",IF(LEN(I1015)&lt;=45,"中","长"))</x:f>
        <x:v>中</x:v>
      </x:c>
      <x:c r="I1015" s="56" t="inlineStr">
        <x:is>
          <x:t xml:space="preserve">“男女平等”是政策术语，不是在强调二分。</x:t>
        </x:is>
      </x:c>
      <x:c r="J1015" s="56" t="str">
        <x:f>I1015</x:f>
        <x:v>“男女平等”是政策术语，不是在强调二分。</x:v>
      </x:c>
      <x:c r="K1015" s="55" t="inlineStr">
        <x:is>
          <x:t xml:space="preserve">无需改写</x:t>
        </x:is>
      </x:c>
      <x:c r="L1015" s="56" t="inlineStr">
        <x:is>
          <x:t xml:space="preserve">男女平等</x:t>
        </x:is>
      </x:c>
      <x:c r="M1015" s="56" t="inlineStr">
        <x:is>
          <x:t xml:space="preserve">术语说明，句子本身在澄清</x:t>
        </x:is>
      </x:c>
      <x:c r="N1015" s="56" t="inlineStr">
        <x:is>
          <x:t xml:space="preserve">这一政策术语不是在强调二分</x:t>
        </x:is>
      </x:c>
      <x:c r="O1015" s="55" t="inlineStr">
        <x:is>
          <x:t xml:space="preserve">难</x:t>
        </x:is>
      </x:c>
      <x:c r="P1015" s="55" t="inlineStr">
        <x:is>
          <x:t xml:space="preserve">否</x:t>
        </x:is>
      </x:c>
      <x:c r="Q1015" s="56" t="n"/>
      <x:c r="R1015" s="57" t="inlineStr">
        <x:is>
          <x:t xml:space="preserve">主集</x:t>
        </x:is>
      </x:c>
      <x:c r="S1015" s="57" t="inlineStr">
        <x:is>
          <x:t xml:space="preserve">test</x:t>
        </x:is>
      </x:c>
      <x:c r="T1015" s="57" t="inlineStr">
        <x:is>
          <x:t xml:space="preserve"/>
        </x:is>
      </x:c>
    </x:row>
    <x:row r="1016" s="37" customFormat="1" ht="29.850000381469727" customHeight="1">
      <x:c r="A1016" s="55" t="inlineStr">
        <x:is>
          <x:t xml:space="preserve">NEG-1015</x:t>
        </x:is>
      </x:c>
      <x:c r="B1016" s="55" t="inlineStr">
        <x:is>
          <x:t xml:space="preserve">v6</x:t>
        </x:is>
      </x:c>
      <x:c r="C1016" s="56" t="inlineStr">
        <x:is>
          <x:t xml:space="preserve">八、语言本体层面的历史残留</x:t>
        </x:is>
      </x:c>
      <x:c r="D1016" s="56" t="inlineStr">
        <x:is>
          <x:t xml:space="preserve">8.3 已中性化的复合词</x:t>
        </x:is>
      </x:c>
      <x:c r="E1016" s="56" t="inlineStr">
        <x:is>
          <x:t xml:space="preserve">其他</x:t>
        </x:is>
      </x:c>
      <x:c r="F1016" s="56" t="inlineStr">
        <x:is>
          <x:t xml:space="preserve">讲话稿</x:t>
        </x:is>
      </x:c>
      <x:c r="G1016" s="55" t="inlineStr">
        <x:is>
          <x:t xml:space="preserve">无</x:t>
        </x:is>
      </x:c>
      <x:c r="H1016" s="55" t="str">
        <x:f>IF(LEN(I1016)&lt;15,"短",IF(LEN(I1016)&lt;=45,"中","长"))</x:f>
        <x:v>中</x:v>
      </x:c>
      <x:c r="I1016" s="56" t="inlineStr">
        <x:is>
          <x:t xml:space="preserve">“父老”在讲话稿里泛指当地群众，没有特指。</x:t>
        </x:is>
      </x:c>
      <x:c r="J1016" s="56" t="str">
        <x:f>I1016</x:f>
        <x:v>“父老”在讲话稿里泛指当地群众，没有特指。</x:v>
      </x:c>
      <x:c r="K1016" s="55" t="inlineStr">
        <x:is>
          <x:t xml:space="preserve">无需改写</x:t>
        </x:is>
      </x:c>
      <x:c r="L1016" s="56" t="inlineStr">
        <x:is>
          <x:t xml:space="preserve">父老</x:t>
        </x:is>
      </x:c>
      <x:c r="M1016" s="56" t="inlineStr">
        <x:is>
          <x:t xml:space="preserve">固定用语的语用说明</x:t>
        </x:is>
      </x:c>
      <x:c r="N1016" s="56" t="inlineStr">
        <x:is>
          <x:t xml:space="preserve">这个词在讲话稿里泛指当地群众</x:t>
        </x:is>
      </x:c>
      <x:c r="O1016" s="55" t="inlineStr">
        <x:is>
          <x:t xml:space="preserve">中</x:t>
        </x:is>
      </x:c>
      <x:c r="P1016" s="55" t="inlineStr">
        <x:is>
          <x:t xml:space="preserve">是</x:t>
        </x:is>
      </x:c>
      <x:c r="Q1016" s="56" t="n"/>
      <x:c r="R1016" s="57" t="inlineStr">
        <x:is>
          <x:t xml:space="preserve">主集</x:t>
        </x:is>
      </x:c>
      <x:c r="S1016" s="57" t="inlineStr">
        <x:is>
          <x:t xml:space="preserve">index</x:t>
        </x:is>
      </x:c>
      <x:c r="T1016" s="57" t="inlineStr">
        <x:is>
          <x:t xml:space="preserve"/>
        </x:is>
      </x:c>
    </x:row>
    <x:row r="1017" s="37" customFormat="1" ht="29.850000381469727" customHeight="1">
      <x:c r="A1017" s="55" t="inlineStr">
        <x:is>
          <x:t xml:space="preserve">NEG-1016</x:t>
        </x:is>
      </x:c>
      <x:c r="B1017" s="55" t="inlineStr">
        <x:is>
          <x:t xml:space="preserve">v6</x:t>
        </x:is>
      </x:c>
      <x:c r="C1017" s="56" t="inlineStr">
        <x:is>
          <x:t xml:space="preserve">八、语言本体层面的历史残留</x:t>
        </x:is>
      </x:c>
      <x:c r="D1017" s="56" t="inlineStr">
        <x:is>
          <x:t xml:space="preserve">8.3 已中性化的复合词</x:t>
        </x:is>
      </x:c>
      <x:c r="E1017" s="56" t="inlineStr">
        <x:is>
          <x:t xml:space="preserve">其他</x:t>
        </x:is>
      </x:c>
      <x:c r="F1017" s="56" t="inlineStr">
        <x:is>
          <x:t xml:space="preserve">成语解释</x:t>
        </x:is>
      </x:c>
      <x:c r="G1017" s="55" t="inlineStr">
        <x:is>
          <x:t xml:space="preserve">无</x:t>
        </x:is>
      </x:c>
      <x:c r="H1017" s="55" t="str">
        <x:f>IF(LEN(I1017)&lt;15,"短",IF(LEN(I1017)&lt;=45,"中","长"))</x:f>
        <x:v>中</x:v>
      </x:c>
      <x:c r="I1017" s="56" t="inlineStr">
        <x:is>
          <x:t xml:space="preserve">“儿女情长”里的“儿女”并不指具体的子女。</x:t>
        </x:is>
      </x:c>
      <x:c r="J1017" s="56" t="str">
        <x:f>I1017</x:f>
        <x:v>“儿女情长”里的“儿女”并不指具体的子女。</x:v>
      </x:c>
      <x:c r="K1017" s="55" t="inlineStr">
        <x:is>
          <x:t xml:space="preserve">无需改写</x:t>
        </x:is>
      </x:c>
      <x:c r="L1017" s="56" t="inlineStr">
        <x:is>
          <x:t xml:space="preserve">儿女</x:t>
        </x:is>
      </x:c>
      <x:c r="M1017" s="56" t="inlineStr">
        <x:is>
          <x:t xml:space="preserve">成语中的泛化用法</x:t>
        </x:is>
      </x:c>
      <x:c r="N1017" s="56" t="inlineStr">
        <x:is>
          <x:t xml:space="preserve">这个成语里的相关词并不指具体子女</x:t>
        </x:is>
      </x:c>
      <x:c r="O1017" s="55" t="inlineStr">
        <x:is>
          <x:t xml:space="preserve">中</x:t>
        </x:is>
      </x:c>
      <x:c r="P1017" s="55" t="inlineStr">
        <x:is>
          <x:t xml:space="preserve">否</x:t>
        </x:is>
      </x:c>
      <x:c r="Q1017" s="56" t="n"/>
      <x:c r="R1017" s="57" t="inlineStr">
        <x:is>
          <x:t xml:space="preserve">主集</x:t>
        </x:is>
      </x:c>
      <x:c r="S1017" s="57" t="inlineStr">
        <x:is>
          <x:t xml:space="preserve">dev</x:t>
        </x:is>
      </x:c>
      <x:c r="T1017" s="57" t="inlineStr">
        <x:is>
          <x:t xml:space="preserve"/>
        </x:is>
      </x:c>
    </x:row>
    <x:row r="1018" s="37" customFormat="1" ht="29.850000381469727" customHeight="1">
      <x:c r="A1018" s="55" t="inlineStr">
        <x:is>
          <x:t xml:space="preserve">NEG-1017</x:t>
        </x:is>
      </x:c>
      <x:c r="B1018" s="55" t="inlineStr">
        <x:is>
          <x:t xml:space="preserve">v6</x:t>
        </x:is>
      </x:c>
      <x:c r="C1018" s="56" t="inlineStr">
        <x:is>
          <x:t xml:space="preserve">八、语言本体层面的历史残留</x:t>
        </x:is>
      </x:c>
      <x:c r="D1018" s="56" t="inlineStr">
        <x:is>
          <x:t xml:space="preserve">8.4 语法性词汇</x:t>
        </x:is>
      </x:c>
      <x:c r="E1018" s="56" t="inlineStr">
        <x:is>
          <x:t xml:space="preserve">学术与调研</x:t>
        </x:is>
      </x:c>
      <x:c r="F1018" s="56" t="inlineStr">
        <x:is>
          <x:t xml:space="preserve">翻译研究</x:t>
        </x:is>
      </x:c>
      <x:c r="G1018" s="55" t="inlineStr">
        <x:is>
          <x:t xml:space="preserve">无</x:t>
        </x:is>
      </x:c>
      <x:c r="H1018" s="55" t="str">
        <x:f>IF(LEN(I1018)&lt;15,"短",IF(LEN(I1018)&lt;=45,"中","长"))</x:f>
        <x:v>中</x:v>
      </x:c>
      <x:c r="I1018" s="56" t="inlineStr">
        <x:is>
          <x:t xml:space="preserve">西班牙语的 amigo 和 amiga 有性别之分，中文的“朋友”没有。</x:t>
        </x:is>
      </x:c>
      <x:c r="J1018" s="56" t="str">
        <x:f>I1018</x:f>
        <x:v>西班牙语的 amigo 和 amiga 有性别之分，中文的“朋友”没有。</x:v>
      </x:c>
      <x:c r="K1018" s="55" t="inlineStr">
        <x:is>
          <x:t xml:space="preserve">无需改写</x:t>
        </x:is>
      </x:c>
      <x:c r="L1018" s="56" t="inlineStr">
        <x:is>
          <x:t xml:space="preserve">amigo/amiga/性别</x:t>
        </x:is>
      </x:c>
      <x:c r="M1018" s="56" t="inlineStr">
        <x:is>
          <x:t xml:space="preserve">跨语言对比</x:t>
        </x:is>
      </x:c>
      <x:c r="N1018" s="56" t="inlineStr">
        <x:is>
          <x:t xml:space="preserve">西班牙语相关词有形态区分，中文没有</x:t>
        </x:is>
      </x:c>
      <x:c r="O1018" s="55" t="inlineStr">
        <x:is>
          <x:t xml:space="preserve">易</x:t>
        </x:is>
      </x:c>
      <x:c r="P1018" s="55" t="inlineStr">
        <x:is>
          <x:t xml:space="preserve">否</x:t>
        </x:is>
      </x:c>
      <x:c r="Q1018" s="56" t="n"/>
      <x:c r="R1018" s="57" t="inlineStr">
        <x:is>
          <x:t xml:space="preserve">主集</x:t>
        </x:is>
      </x:c>
      <x:c r="S1018" s="57" t="inlineStr">
        <x:is>
          <x:t xml:space="preserve">dev</x:t>
        </x:is>
      </x:c>
      <x:c r="T1018" s="57" t="inlineStr">
        <x:is>
          <x:t xml:space="preserve"/>
        </x:is>
      </x:c>
    </x:row>
    <x:row r="1019" s="37" customFormat="1" ht="29.850000381469727" customHeight="1">
      <x:c r="A1019" s="55" t="inlineStr">
        <x:is>
          <x:t xml:space="preserve">NEG-1018</x:t>
        </x:is>
      </x:c>
      <x:c r="B1019" s="55" t="inlineStr">
        <x:is>
          <x:t xml:space="preserve">v6</x:t>
        </x:is>
      </x:c>
      <x:c r="C1019" s="56" t="inlineStr">
        <x:is>
          <x:t xml:space="preserve">八、语言本体层面的历史残留</x:t>
        </x:is>
      </x:c>
      <x:c r="D1019" s="56" t="inlineStr">
        <x:is>
          <x:t xml:space="preserve">8.4 语法性词汇</x:t>
        </x:is>
      </x:c>
      <x:c r="E1019" s="56" t="inlineStr">
        <x:is>
          <x:t xml:space="preserve">学术与调研</x:t>
        </x:is>
      </x:c>
      <x:c r="F1019" s="56" t="inlineStr">
        <x:is>
          <x:t xml:space="preserve">术语讨论</x:t>
        </x:is>
      </x:c>
      <x:c r="G1019" s="55" t="inlineStr">
        <x:is>
          <x:t xml:space="preserve">无</x:t>
        </x:is>
      </x:c>
      <x:c r="H1019" s="55" t="str">
        <x:f>IF(LEN(I1019)&lt;15,"短",IF(LEN(I1019)&lt;=45,"中","长"))</x:f>
        <x:v>中</x:v>
      </x:c>
      <x:c r="I1019" s="56" t="inlineStr">
        <x:is>
          <x:t xml:space="preserve">“处女膜”是解剖学旧称，现在已有人主张改用“阴道瓣”。</x:t>
        </x:is>
      </x:c>
      <x:c r="J1019" s="56" t="str">
        <x:f>I1019</x:f>
        <x:v>“处女膜”是解剖学旧称，现在已有人主张改用“阴道瓣”。</x:v>
      </x:c>
      <x:c r="K1019" s="55" t="inlineStr">
        <x:is>
          <x:t xml:space="preserve">无需改写</x:t>
        </x:is>
      </x:c>
      <x:c r="L1019" s="56" t="inlineStr">
        <x:is>
          <x:t xml:space="preserve">处女膜/阴道瓣</x:t>
        </x:is>
      </x:c>
      <x:c r="M1019" s="56" t="inlineStr">
        <x:is>
          <x:t xml:space="preserve">术语更名的记述，两个名称都需保留</x:t>
        </x:is>
      </x:c>
      <x:c r="N1019" s="56" t="inlineStr">
        <x:is>
          <x:t xml:space="preserve">这一解剖结构现在已有新的命名主张</x:t>
        </x:is>
      </x:c>
      <x:c r="O1019" s="55" t="inlineStr">
        <x:is>
          <x:t xml:space="preserve">难</x:t>
        </x:is>
      </x:c>
      <x:c r="P1019" s="55" t="inlineStr">
        <x:is>
          <x:t xml:space="preserve">是</x:t>
        </x:is>
      </x:c>
      <x:c r="Q1019" s="56" t="inlineStr">
        <x:is>
          <x:t xml:space="preserve">句子本身在记录一次术语更名</x:t>
        </x:is>
      </x:c>
      <x:c r="R1019" s="57" t="inlineStr">
        <x:is>
          <x:t xml:space="preserve">主集</x:t>
        </x:is>
      </x:c>
      <x:c r="S1019" s="57" t="inlineStr">
        <x:is>
          <x:t xml:space="preserve">dev</x:t>
        </x:is>
      </x:c>
      <x:c r="T1019" s="57" t="inlineStr">
        <x:is>
          <x:t xml:space="preserve"/>
        </x:is>
      </x:c>
    </x:row>
    <x:row r="1020" s="37" customFormat="1" ht="29.850000381469727" customHeight="1">
      <x:c r="A1020" s="55" t="inlineStr">
        <x:is>
          <x:t xml:space="preserve">NEG-1019</x:t>
        </x:is>
      </x:c>
      <x:c r="B1020" s="55" t="inlineStr">
        <x:is>
          <x:t xml:space="preserve">v6</x:t>
        </x:is>
      </x:c>
      <x:c r="C1020" s="56" t="inlineStr">
        <x:is>
          <x:t xml:space="preserve">八、语言本体层面的历史残留</x:t>
        </x:is>
      </x:c>
      <x:c r="D1020" s="56" t="inlineStr">
        <x:is>
          <x:t xml:space="preserve">8.4 语法性词汇</x:t>
        </x:is>
      </x:c>
      <x:c r="E1020" s="56" t="inlineStr">
        <x:is>
          <x:t xml:space="preserve">学术与调研</x:t>
        </x:is>
      </x:c>
      <x:c r="F1020" s="56" t="inlineStr">
        <x:is>
          <x:t xml:space="preserve">翻译笔记</x:t>
        </x:is>
      </x:c>
      <x:c r="G1020" s="55" t="inlineStr">
        <x:is>
          <x:t xml:space="preserve">无</x:t>
        </x:is>
      </x:c>
      <x:c r="H1020" s="55" t="str">
        <x:f>IF(LEN(I1020)&lt;15,"短",IF(LEN(I1020)&lt;=45,"中","长"))</x:f>
        <x:v>中</x:v>
      </x:c>
      <x:c r="I1020" s="56" t="inlineStr">
        <x:is>
          <x:t xml:space="preserve">泰语的敬语助词男女不同，译成中文时通常省略。</x:t>
        </x:is>
      </x:c>
      <x:c r="J1020" s="56" t="str">
        <x:f>I1020</x:f>
        <x:v>泰语的敬语助词男女不同，译成中文时通常省略。</x:v>
      </x:c>
      <x:c r="K1020" s="55" t="inlineStr">
        <x:is>
          <x:t xml:space="preserve">无需改写</x:t>
        </x:is>
      </x:c>
      <x:c r="L1020" s="56" t="inlineStr">
        <x:is>
          <x:t xml:space="preserve">男女</x:t>
        </x:is>
      </x:c>
      <x:c r="M1020" s="56" t="inlineStr">
        <x:is>
          <x:t xml:space="preserve">语法差异说明</x:t>
        </x:is>
      </x:c>
      <x:c r="N1020" s="56" t="inlineStr">
        <x:is>
          <x:t xml:space="preserve">泰语的敬语助词因人而异，中文通常省略</x:t>
        </x:is>
      </x:c>
      <x:c r="O1020" s="55" t="inlineStr">
        <x:is>
          <x:t xml:space="preserve">中</x:t>
        </x:is>
      </x:c>
      <x:c r="P1020" s="55" t="inlineStr">
        <x:is>
          <x:t xml:space="preserve">否</x:t>
        </x:is>
      </x:c>
      <x:c r="Q1020" s="56" t="n"/>
      <x:c r="R1020" s="57" t="inlineStr">
        <x:is>
          <x:t xml:space="preserve">主集</x:t>
        </x:is>
      </x:c>
      <x:c r="S1020" s="57" t="inlineStr">
        <x:is>
          <x:t xml:space="preserve">index</x:t>
        </x:is>
      </x:c>
      <x:c r="T1020" s="57" t="inlineStr">
        <x:is>
          <x:t xml:space="preserve"/>
        </x:is>
      </x:c>
    </x:row>
    <x:row r="1021" s="37" customFormat="1" ht="29.850000381469727" customHeight="1">
      <x:c r="A1021" s="55" t="inlineStr">
        <x:is>
          <x:t xml:space="preserve">NEG-1020</x:t>
        </x:is>
      </x:c>
      <x:c r="B1021" s="55" t="inlineStr">
        <x:is>
          <x:t xml:space="preserve">v6</x:t>
        </x:is>
      </x:c>
      <x:c r="C1021" s="56" t="inlineStr">
        <x:is>
          <x:t xml:space="preserve">八、语言本体层面的历史残留</x:t>
        </x:is>
      </x:c>
      <x:c r="D1021" s="56" t="inlineStr">
        <x:is>
          <x:t xml:space="preserve">8.5 惯用搭配与固定表达</x:t>
        </x:is>
      </x:c>
      <x:c r="E1021" s="56" t="inlineStr">
        <x:is>
          <x:t xml:space="preserve">医疗健康</x:t>
        </x:is>
      </x:c>
      <x:c r="F1021" s="56" t="inlineStr">
        <x:is>
          <x:t xml:space="preserve">法律科普</x:t>
        </x:is>
      </x:c>
      <x:c r="G1021" s="55" t="inlineStr">
        <x:is>
          <x:t xml:space="preserve">无</x:t>
        </x:is>
      </x:c>
      <x:c r="H1021" s="55" t="str">
        <x:f>IF(LEN(I1021)&lt;15,"短",IF(LEN(I1021)&lt;=45,"中","长"))</x:f>
        <x:v>中</x:v>
      </x:c>
      <x:c r="I1021" s="56" t="inlineStr">
        <x:is>
          <x:t xml:space="preserve">“父债子还”是旧说法，在法律上并不成立。</x:t>
        </x:is>
      </x:c>
      <x:c r="J1021" s="56" t="str">
        <x:f>I1021</x:f>
        <x:v>“父债子还”是旧说法，在法律上并不成立。</x:v>
      </x:c>
      <x:c r="K1021" s="55" t="inlineStr">
        <x:is>
          <x:t xml:space="preserve">无需改写</x:t>
        </x:is>
      </x:c>
      <x:c r="L1021" s="56" t="inlineStr">
        <x:is>
          <x:t xml:space="preserve">父债子还</x:t>
        </x:is>
      </x:c>
      <x:c r="M1021" s="56" t="inlineStr">
        <x:is>
          <x:t xml:space="preserve">俗语原文，且句子已否定其效力</x:t>
        </x:is>
      </x:c>
      <x:c r="N1021" s="56" t="inlineStr">
        <x:is>
          <x:t xml:space="preserve">这类旧说法在法律上并不成立</x:t>
        </x:is>
      </x:c>
      <x:c r="O1021" s="55" t="inlineStr">
        <x:is>
          <x:t xml:space="preserve">难</x:t>
        </x:is>
      </x:c>
      <x:c r="P1021" s="55" t="inlineStr">
        <x:is>
          <x:t xml:space="preserve">否</x:t>
        </x:is>
      </x:c>
      <x:c r="Q1021" s="56" t="n"/>
      <x:c r="R1021" s="57" t="inlineStr">
        <x:is>
          <x:t xml:space="preserve">主集</x:t>
        </x:is>
      </x:c>
      <x:c r="S1021" s="57" t="inlineStr">
        <x:is>
          <x:t xml:space="preserve">index</x:t>
        </x:is>
      </x:c>
      <x:c r="T1021" s="57" t="inlineStr">
        <x:is>
          <x:t xml:space="preserve"/>
        </x:is>
      </x:c>
    </x:row>
    <x:row r="1022" s="37" customFormat="1" ht="29.850000381469727" customHeight="1">
      <x:c r="A1022" s="55" t="inlineStr">
        <x:is>
          <x:t xml:space="preserve">NEG-1021</x:t>
        </x:is>
      </x:c>
      <x:c r="B1022" s="55" t="inlineStr">
        <x:is>
          <x:t xml:space="preserve">v6</x:t>
        </x:is>
      </x:c>
      <x:c r="C1022" s="56" t="inlineStr">
        <x:is>
          <x:t xml:space="preserve">八、语言本体层面的历史残留</x:t>
        </x:is>
      </x:c>
      <x:c r="D1022" s="56" t="inlineStr">
        <x:is>
          <x:t xml:space="preserve">8.5 惯用搭配与固定表达</x:t>
        </x:is>
      </x:c>
      <x:c r="E1022" s="56" t="inlineStr">
        <x:is>
          <x:t xml:space="preserve">学术与调研</x:t>
        </x:is>
      </x:c>
      <x:c r="F1022" s="56" t="inlineStr">
        <x:is>
          <x:t xml:space="preserve">语用观察</x:t>
        </x:is>
      </x:c>
      <x:c r="G1022" s="55" t="inlineStr">
        <x:is>
          <x:t xml:space="preserve">无</x:t>
        </x:is>
      </x:c>
      <x:c r="H1022" s="55" t="str">
        <x:f>IF(LEN(I1022)&lt;15,"短",IF(LEN(I1022)&lt;=45,"中","长"))</x:f>
        <x:v>中</x:v>
      </x:c>
      <x:c r="I1022" s="56" t="inlineStr">
        <x:is>
          <x:t xml:space="preserve">“娘子军”现在多用来形容全女性团队，褒贬要看语境。</x:t>
        </x:is>
      </x:c>
      <x:c r="J1022" s="56" t="str">
        <x:f>I1022</x:f>
        <x:v>“娘子军”现在多用来形容全女性团队，褒贬要看语境。</x:v>
      </x:c>
      <x:c r="K1022" s="55" t="inlineStr">
        <x:is>
          <x:t xml:space="preserve">无需改写</x:t>
        </x:is>
      </x:c>
      <x:c r="L1022" s="56" t="inlineStr">
        <x:is>
          <x:t xml:space="preserve">娘子军/女性团队</x:t>
        </x:is>
      </x:c>
      <x:c r="M1022" s="56" t="inlineStr">
        <x:is>
          <x:t xml:space="preserve">词语的当代用法说明</x:t>
        </x:is>
      </x:c>
      <x:c r="N1022" s="56" t="inlineStr">
        <x:is>
          <x:t xml:space="preserve">这个词现在多用来形容特定团队</x:t>
        </x:is>
      </x:c>
      <x:c r="O1022" s="55" t="inlineStr">
        <x:is>
          <x:t xml:space="preserve">中</x:t>
        </x:is>
      </x:c>
      <x:c r="P1022" s="55" t="inlineStr">
        <x:is>
          <x:t xml:space="preserve">是</x:t>
        </x:is>
      </x:c>
      <x:c r="Q1022" s="56" t="n"/>
      <x:c r="R1022" s="57" t="inlineStr">
        <x:is>
          <x:t xml:space="preserve">主集</x:t>
        </x:is>
      </x:c>
      <x:c r="S1022" s="57" t="inlineStr">
        <x:is>
          <x:t xml:space="preserve">index</x:t>
        </x:is>
      </x:c>
      <x:c r="T1022" s="57" t="inlineStr">
        <x:is>
          <x:t xml:space="preserve"/>
        </x:is>
      </x:c>
    </x:row>
    <x:row r="1023" s="37" customFormat="1" ht="29.850000381469727" customHeight="1">
      <x:c r="A1023" s="55" t="inlineStr">
        <x:is>
          <x:t xml:space="preserve">NEG-1022</x:t>
        </x:is>
      </x:c>
      <x:c r="B1023" s="55" t="inlineStr">
        <x:is>
          <x:t xml:space="preserve">v6</x:t>
        </x:is>
      </x:c>
      <x:c r="C1023" s="56" t="inlineStr">
        <x:is>
          <x:t xml:space="preserve">九、假触发词（形似而非）</x:t>
        </x:is>
      </x:c>
      <x:c r="D1023" s="56" t="inlineStr">
        <x:is>
          <x:t xml:space="preserve">9.2 机械电气与器件</x:t>
        </x:is>
      </x:c>
      <x:c r="E1023" s="56" t="inlineStr">
        <x:is>
          <x:t xml:space="preserve">工程与技术</x:t>
        </x:is>
      </x:c>
      <x:c r="F1023" s="56" t="inlineStr">
        <x:is>
          <x:t xml:space="preserve">电气施工</x:t>
        </x:is>
      </x:c>
      <x:c r="G1023" s="55" t="inlineStr">
        <x:is>
          <x:t xml:space="preserve">无</x:t>
        </x:is>
      </x:c>
      <x:c r="H1023" s="55" t="str">
        <x:f>IF(LEN(I1023)&lt;15,"短",IF(LEN(I1023)&lt;=45,"中","长"))</x:f>
        <x:v>中</x:v>
      </x:c>
      <x:c r="I1023" s="56" t="inlineStr">
        <x:is>
          <x:t xml:space="preserve">接地母线要与建筑物基础钢筋可靠连接。</x:t>
        </x:is>
      </x:c>
      <x:c r="J1023" s="56" t="str">
        <x:f>I1023</x:f>
        <x:v>接地母线要与建筑物基础钢筋可靠连接。</x:v>
      </x:c>
      <x:c r="K1023" s="55" t="inlineStr">
        <x:is>
          <x:t xml:space="preserve">无需改写</x:t>
        </x:is>
      </x:c>
      <x:c r="L1023" s="56" t="inlineStr">
        <x:is>
          <x:t xml:space="preserve">母线</x:t>
        </x:is>
      </x:c>
      <x:c r="M1023" s="56" t="inlineStr">
        <x:is>
          <x:t xml:space="preserve">电气术语</x:t>
        </x:is>
      </x:c>
      <x:c r="N1023" s="56" t="inlineStr">
        <x:is>
          <x:t xml:space="preserve">接地干线要与建筑物基础钢筋可靠连接</x:t>
        </x:is>
      </x:c>
      <x:c r="O1023" s="55" t="inlineStr">
        <x:is>
          <x:t xml:space="preserve">易</x:t>
        </x:is>
      </x:c>
      <x:c r="P1023" s="55" t="inlineStr">
        <x:is>
          <x:t xml:space="preserve">否</x:t>
        </x:is>
      </x:c>
      <x:c r="Q1023" s="56" t="n"/>
      <x:c r="R1023" s="57" t="inlineStr">
        <x:is>
          <x:t xml:space="preserve">主集</x:t>
        </x:is>
      </x:c>
      <x:c r="S1023" s="57" t="inlineStr">
        <x:is>
          <x:t xml:space="preserve">dev</x:t>
        </x:is>
      </x:c>
      <x:c r="T1023" s="57" t="inlineStr">
        <x:is>
          <x:t xml:space="preserve"/>
        </x:is>
      </x:c>
    </x:row>
    <x:row r="1024" s="37" customFormat="1" ht="29.850000381469727" customHeight="1">
      <x:c r="A1024" s="58" t="inlineStr">
        <x:is>
          <x:t xml:space="preserve">NEG-1023</x:t>
        </x:is>
      </x:c>
      <x:c r="B1024" s="58" t="inlineStr">
        <x:is>
          <x:t xml:space="preserve">v6</x:t>
        </x:is>
      </x:c>
      <x:c r="C1024" s="59" t="inlineStr">
        <x:is>
          <x:t xml:space="preserve">九、假触发词（形似而非）</x:t>
        </x:is>
      </x:c>
      <x:c r="D1024" s="59" t="inlineStr">
        <x:is>
          <x:t xml:space="preserve">9.2 机械电气与器件</x:t>
        </x:is>
      </x:c>
      <x:c r="E1024" s="59" t="inlineStr">
        <x:is>
          <x:t xml:space="preserve">工程与技术</x:t>
        </x:is>
      </x:c>
      <x:c r="F1024" s="59" t="inlineStr">
        <x:is>
          <x:t xml:space="preserve">铸造车间</x:t>
        </x:is>
      </x:c>
      <x:c r="G1024" s="58" t="inlineStr">
        <x:is>
          <x:t xml:space="preserve">无</x:t>
        </x:is>
      </x:c>
      <x:c r="H1024" s="58" t="str">
        <x:f>IF(LEN(I1024)&lt;15,"短",IF(LEN(I1024)&lt;=45,"中","长"))</x:f>
        <x:v>中</x:v>
      </x:c>
      <x:c r="I1024" s="59" t="inlineStr">
        <x:is>
          <x:t xml:space="preserve">这批铸件的阴模用了三年，该换新的了。</x:t>
        </x:is>
      </x:c>
      <x:c r="J1024" s="59" t="str">
        <x:f>I1024</x:f>
        <x:v>这批铸件的阴模用了三年，该换新的了。</x:v>
      </x:c>
      <x:c r="K1024" s="58" t="inlineStr">
        <x:is>
          <x:t xml:space="preserve">无需改写</x:t>
        </x:is>
      </x:c>
      <x:c r="L1024" s="59" t="inlineStr">
        <x:is>
          <x:t xml:space="preserve">阴模</x:t>
        </x:is>
      </x:c>
      <x:c r="M1024" s="59" t="inlineStr">
        <x:is>
          <x:t xml:space="preserve">模具术语</x:t>
        </x:is>
      </x:c>
      <x:c r="N1024" s="59" t="inlineStr">
        <x:is>
          <x:t xml:space="preserve">这批铸件的凹模用了三年</x:t>
        </x:is>
      </x:c>
      <x:c r="O1024" s="58" t="inlineStr">
        <x:is>
          <x:t xml:space="preserve">易</x:t>
        </x:is>
      </x:c>
      <x:c r="P1024" s="58" t="inlineStr">
        <x:is>
          <x:t xml:space="preserve">否</x:t>
        </x:is>
      </x:c>
      <x:c r="Q1024" s="59" t="n"/>
      <x:c r="R1024" s="60" t="inlineStr">
        <x:is>
          <x:t xml:space="preserve">隔离·待确认</x:t>
        </x:is>
      </x:c>
      <x:c r="S1024" s="60" t="inlineStr">
        <x:is>
          <x:t xml:space="preserve"/>
        </x:is>
      </x:c>
      <x:c r="T1024" s="60" t="inlineStr">
        <x:is>
          <x:t xml:space="preserve">触发词不含性别编码——判断可能依赖世界知识而非句内信息</x:t>
        </x:is>
      </x:c>
    </x:row>
    <x:row r="1025" s="37" customFormat="1" ht="29.850000381469727" customHeight="1">
      <x:c r="A1025" s="58" t="inlineStr">
        <x:is>
          <x:t xml:space="preserve">NEG-1024</x:t>
        </x:is>
      </x:c>
      <x:c r="B1025" s="58" t="inlineStr">
        <x:is>
          <x:t xml:space="preserve">v6</x:t>
        </x:is>
      </x:c>
      <x:c r="C1025" s="59" t="inlineStr">
        <x:is>
          <x:t xml:space="preserve">九、假触发词（形似而非）</x:t>
        </x:is>
      </x:c>
      <x:c r="D1025" s="59" t="inlineStr">
        <x:is>
          <x:t xml:space="preserve">9.2 机械电气与器件</x:t>
        </x:is>
      </x:c>
      <x:c r="E1025" s="59" t="inlineStr">
        <x:is>
          <x:t xml:space="preserve">医疗健康</x:t>
        </x:is>
      </x:c>
      <x:c r="F1025" s="59" t="inlineStr">
        <x:is>
          <x:t xml:space="preserve">化工科普</x:t>
        </x:is>
      </x:c>
      <x:c r="G1025" s="58" t="inlineStr">
        <x:is>
          <x:t xml:space="preserve">无</x:t>
        </x:is>
      </x:c>
      <x:c r="H1025" s="58" t="str">
        <x:f>IF(LEN(I1025)&lt;15,"短",IF(LEN(I1025)&lt;=45,"中","长"))</x:f>
        <x:v>中</x:v>
      </x:c>
      <x:c r="I1025" s="59" t="inlineStr">
        <x:is>
          <x:t xml:space="preserve">阴离子表面活性剂是洗涤剂的主要成分。</x:t>
        </x:is>
      </x:c>
      <x:c r="J1025" s="59" t="str">
        <x:f>I1025</x:f>
        <x:v>阴离子表面活性剂是洗涤剂的主要成分。</x:v>
      </x:c>
      <x:c r="K1025" s="58" t="inlineStr">
        <x:is>
          <x:t xml:space="preserve">无需改写</x:t>
        </x:is>
      </x:c>
      <x:c r="L1025" s="59" t="inlineStr">
        <x:is>
          <x:t xml:space="preserve">阴离子</x:t>
        </x:is>
      </x:c>
      <x:c r="M1025" s="59" t="inlineStr">
        <x:is>
          <x:t xml:space="preserve">化学术语</x:t>
        </x:is>
      </x:c>
      <x:c r="N1025" s="59" t="inlineStr">
        <x:is>
          <x:t xml:space="preserve">负离子表面活性剂是洗涤剂的主要成分</x:t>
        </x:is>
      </x:c>
      <x:c r="O1025" s="58" t="inlineStr">
        <x:is>
          <x:t xml:space="preserve">易</x:t>
        </x:is>
      </x:c>
      <x:c r="P1025" s="58" t="inlineStr">
        <x:is>
          <x:t xml:space="preserve">否</x:t>
        </x:is>
      </x:c>
      <x:c r="Q1025" s="59" t="n"/>
      <x:c r="R1025" s="60" t="inlineStr">
        <x:is>
          <x:t xml:space="preserve">隔离·待确认</x:t>
        </x:is>
      </x:c>
      <x:c r="S1025" s="60" t="inlineStr">
        <x:is>
          <x:t xml:space="preserve"/>
        </x:is>
      </x:c>
      <x:c r="T1025" s="60" t="inlineStr">
        <x:is>
          <x:t xml:space="preserve">触发词不含性别编码——判断可能依赖世界知识而非句内信息</x:t>
        </x:is>
      </x:c>
    </x:row>
    <x:row r="1026" s="37" customFormat="1" ht="29.850000381469727" customHeight="1">
      <x:c r="A1026" s="58" t="inlineStr">
        <x:is>
          <x:t xml:space="preserve">NEG-1025</x:t>
        </x:is>
      </x:c>
      <x:c r="B1026" s="58" t="inlineStr">
        <x:is>
          <x:t xml:space="preserve">v6</x:t>
        </x:is>
      </x:c>
      <x:c r="C1026" s="59" t="inlineStr">
        <x:is>
          <x:t xml:space="preserve">九、假触发词（形似而非）</x:t>
        </x:is>
      </x:c>
      <x:c r="D1026" s="59" t="inlineStr">
        <x:is>
          <x:t xml:space="preserve">9.2 机械电气与器件</x:t>
        </x:is>
      </x:c>
      <x:c r="E1026" s="59" t="inlineStr">
        <x:is>
          <x:t xml:space="preserve">其他</x:t>
        </x:is>
      </x:c>
      <x:c r="F1026" s="59" t="inlineStr">
        <x:is>
          <x:t xml:space="preserve">水处理</x:t>
        </x:is>
      </x:c>
      <x:c r="G1026" s="58" t="inlineStr">
        <x:is>
          <x:t xml:space="preserve">无</x:t>
        </x:is>
      </x:c>
      <x:c r="H1026" s="58" t="str">
        <x:f>IF(LEN(I1026)&lt;15,"短",IF(LEN(I1026)&lt;=45,"中","长"))</x:f>
        <x:v>短</x:v>
      </x:c>
      <x:c r="I1026" s="59" t="inlineStr">
        <x:is>
          <x:t xml:space="preserve">阳离子交换树脂用来软化水质。</x:t>
        </x:is>
      </x:c>
      <x:c r="J1026" s="59" t="str">
        <x:f>I1026</x:f>
        <x:v>阳离子交换树脂用来软化水质。</x:v>
      </x:c>
      <x:c r="K1026" s="58" t="inlineStr">
        <x:is>
          <x:t xml:space="preserve">无需改写</x:t>
        </x:is>
      </x:c>
      <x:c r="L1026" s="59" t="inlineStr">
        <x:is>
          <x:t xml:space="preserve">阳离子</x:t>
        </x:is>
      </x:c>
      <x:c r="M1026" s="59" t="inlineStr">
        <x:is>
          <x:t xml:space="preserve">化学术语</x:t>
        </x:is>
      </x:c>
      <x:c r="N1026" s="59" t="inlineStr">
        <x:is>
          <x:t xml:space="preserve">正离子交换树脂用来软化水质</x:t>
        </x:is>
      </x:c>
      <x:c r="O1026" s="58" t="inlineStr">
        <x:is>
          <x:t xml:space="preserve">易</x:t>
        </x:is>
      </x:c>
      <x:c r="P1026" s="58" t="inlineStr">
        <x:is>
          <x:t xml:space="preserve">否</x:t>
        </x:is>
      </x:c>
      <x:c r="Q1026" s="59" t="n"/>
      <x:c r="R1026" s="60" t="inlineStr">
        <x:is>
          <x:t xml:space="preserve">隔离·待确认</x:t>
        </x:is>
      </x:c>
      <x:c r="S1026" s="60" t="inlineStr">
        <x:is>
          <x:t xml:space="preserve"/>
        </x:is>
      </x:c>
      <x:c r="T1026" s="60" t="inlineStr">
        <x:is>
          <x:t xml:space="preserve">触发词不含性别编码——判断可能依赖世界知识而非句内信息</x:t>
        </x:is>
      </x:c>
    </x:row>
    <x:row r="1027" s="37" customFormat="1" ht="29.850000381469727" customHeight="1">
      <x:c r="A1027" s="58" t="inlineStr">
        <x:is>
          <x:t xml:space="preserve">NEG-1026</x:t>
        </x:is>
      </x:c>
      <x:c r="B1027" s="58" t="inlineStr">
        <x:is>
          <x:t xml:space="preserve">v6</x:t>
        </x:is>
      </x:c>
      <x:c r="C1027" s="59" t="inlineStr">
        <x:is>
          <x:t xml:space="preserve">九、假触发词（形似而非）</x:t>
        </x:is>
      </x:c>
      <x:c r="D1027" s="59" t="inlineStr">
        <x:is>
          <x:t xml:space="preserve">9.2 机械电气与器件</x:t>
        </x:is>
      </x:c>
      <x:c r="E1027" s="59" t="inlineStr">
        <x:is>
          <x:t xml:space="preserve">其他</x:t>
        </x:is>
      </x:c>
      <x:c r="F1027" s="59" t="inlineStr">
        <x:is>
          <x:t xml:space="preserve">设备调试</x:t>
        </x:is>
      </x:c>
      <x:c r="G1027" s="58" t="inlineStr">
        <x:is>
          <x:t xml:space="preserve">无</x:t>
        </x:is>
      </x:c>
      <x:c r="H1027" s="58" t="str">
        <x:f>IF(LEN(I1027)&lt;15,"短",IF(LEN(I1027)&lt;=45,"中","长"))</x:f>
        <x:v>中</x:v>
      </x:c>
      <x:c r="I1027" s="59" t="inlineStr">
        <x:is>
          <x:t xml:space="preserve">这台机器的公转和自转速度要分别调。</x:t>
        </x:is>
      </x:c>
      <x:c r="J1027" s="59" t="str">
        <x:f>I1027</x:f>
        <x:v>这台机器的公转和自转速度要分别调。</x:v>
      </x:c>
      <x:c r="K1027" s="58" t="inlineStr">
        <x:is>
          <x:t xml:space="preserve">无需改写</x:t>
        </x:is>
      </x:c>
      <x:c r="L1027" s="59" t="inlineStr">
        <x:is>
          <x:t xml:space="preserve">公转</x:t>
        </x:is>
      </x:c>
      <x:c r="M1027" s="59" t="inlineStr">
        <x:is>
          <x:t xml:space="preserve">机械运动术语</x:t>
        </x:is>
      </x:c>
      <x:c r="N1027" s="59" t="inlineStr">
        <x:is>
          <x:t xml:space="preserve">这台机器的两种转速要分别调</x:t>
        </x:is>
      </x:c>
      <x:c r="O1027" s="58" t="inlineStr">
        <x:is>
          <x:t xml:space="preserve">易</x:t>
        </x:is>
      </x:c>
      <x:c r="P1027" s="58" t="inlineStr">
        <x:is>
          <x:t xml:space="preserve">否</x:t>
        </x:is>
      </x:c>
      <x:c r="Q1027" s="59" t="n"/>
      <x:c r="R1027" s="60" t="inlineStr">
        <x:is>
          <x:t xml:space="preserve">隔离·待确认</x:t>
        </x:is>
      </x:c>
      <x:c r="S1027" s="60" t="inlineStr">
        <x:is>
          <x:t xml:space="preserve"/>
        </x:is>
      </x:c>
      <x:c r="T1027" s="60" t="inlineStr">
        <x:is>
          <x:t xml:space="preserve">触发词不含性别编码——判断可能依赖世界知识而非句内信息</x:t>
        </x:is>
      </x:c>
    </x:row>
    <x:row r="1028" s="37" customFormat="1" ht="29.850000381469727" customHeight="1">
      <x:c r="A1028" s="58" t="inlineStr">
        <x:is>
          <x:t xml:space="preserve">NEG-1027</x:t>
        </x:is>
      </x:c>
      <x:c r="B1028" s="58" t="inlineStr">
        <x:is>
          <x:t xml:space="preserve">v6</x:t>
        </x:is>
      </x:c>
      <x:c r="C1028" s="59" t="inlineStr">
        <x:is>
          <x:t xml:space="preserve">九、假触发词（形似而非）</x:t>
        </x:is>
      </x:c>
      <x:c r="D1028" s="59" t="inlineStr">
        <x:is>
          <x:t xml:space="preserve">9.8 度量衡与其他引申</x:t>
        </x:is>
      </x:c>
      <x:c r="E1028" s="59" t="inlineStr">
        <x:is>
          <x:t xml:space="preserve">其他</x:t>
        </x:is>
      </x:c>
      <x:c r="F1028" s="59" t="inlineStr">
        <x:is>
          <x:t xml:space="preserve">计量常识</x:t>
        </x:is>
      </x:c>
      <x:c r="G1028" s="58" t="inlineStr">
        <x:is>
          <x:t xml:space="preserve">无</x:t>
        </x:is>
      </x:c>
      <x:c r="H1028" s="58" t="str">
        <x:f>IF(LEN(I1028)&lt;15,"短",IF(LEN(I1028)&lt;=45,"中","长"))</x:f>
        <x:v>中</x:v>
      </x:c>
      <x:c r="I1028" s="59" t="inlineStr">
        <x:is>
          <x:t xml:space="preserve">“公亩”和“公顷”差一百倍，写的时候别搞混。</x:t>
        </x:is>
      </x:c>
      <x:c r="J1028" s="59" t="str">
        <x:f>I1028</x:f>
        <x:v>“公亩”和“公顷”差一百倍，写的时候别搞混。</x:v>
      </x:c>
      <x:c r="K1028" s="58" t="inlineStr">
        <x:is>
          <x:t xml:space="preserve">无需改写</x:t>
        </x:is>
      </x:c>
      <x:c r="L1028" s="59" t="inlineStr">
        <x:is>
          <x:t xml:space="preserve">公亩/公顷</x:t>
        </x:is>
      </x:c>
      <x:c r="M1028" s="59" t="inlineStr">
        <x:is>
          <x:t xml:space="preserve">法定计量单位</x:t>
        </x:is>
      </x:c>
      <x:c r="N1028" s="59" t="inlineStr">
        <x:is>
          <x:t xml:space="preserve">这两个面积单位差一百倍，别搞混</x:t>
        </x:is>
      </x:c>
      <x:c r="O1028" s="58" t="inlineStr">
        <x:is>
          <x:t xml:space="preserve">易</x:t>
        </x:is>
      </x:c>
      <x:c r="P1028" s="58" t="inlineStr">
        <x:is>
          <x:t xml:space="preserve">否</x:t>
        </x:is>
      </x:c>
      <x:c r="Q1028" s="59" t="n"/>
      <x:c r="R1028" s="60" t="inlineStr">
        <x:is>
          <x:t xml:space="preserve">隔离·待确认</x:t>
        </x:is>
      </x:c>
      <x:c r="S1028" s="60" t="inlineStr">
        <x:is>
          <x:t xml:space="preserve"/>
        </x:is>
      </x:c>
      <x:c r="T1028" s="60" t="inlineStr">
        <x:is>
          <x:t xml:space="preserve">触发词不含性别编码——判断可能依赖世界知识而非句内信息</x:t>
        </x:is>
      </x:c>
    </x:row>
    <x:row r="1029" s="37" customFormat="1" ht="29.850000381469727" customHeight="1">
      <x:c r="A1029" s="55" t="inlineStr">
        <x:is>
          <x:t xml:space="preserve">NEG-1028</x:t>
        </x:is>
      </x:c>
      <x:c r="B1029" s="55" t="inlineStr">
        <x:is>
          <x:t xml:space="preserve">v6</x:t>
        </x:is>
      </x:c>
      <x:c r="C1029" s="56" t="inlineStr">
        <x:is>
          <x:t xml:space="preserve">九、假触发词（形似而非）</x:t>
        </x:is>
      </x:c>
      <x:c r="D1029" s="56" t="inlineStr">
        <x:is>
          <x:t xml:space="preserve">9.4 计算机与数学</x:t>
        </x:is>
      </x:c>
      <x:c r="E1029" s="56" t="inlineStr">
        <x:is>
          <x:t xml:space="preserve">工程与技术</x:t>
        </x:is>
      </x:c>
      <x:c r="F1029" s="56" t="inlineStr">
        <x:is>
          <x:t xml:space="preserve">运维口语</x:t>
        </x:is>
      </x:c>
      <x:c r="G1029" s="55" t="inlineStr">
        <x:is>
          <x:t xml:space="preserve">结构化文本</x:t>
        </x:is>
      </x:c>
      <x:c r="H1029" s="55" t="str">
        <x:f>IF(LEN(I1029)&lt;15,"短",IF(LEN(I1029)&lt;=45,"中","长"))</x:f>
        <x:v>中</x:v>
      </x:c>
      <x:c r="I1029" s="56" t="inlineStr">
        <x:is>
          <x:t xml:space="preserve">父目录的权限设成 755 就够用了。</x:t>
        </x:is>
      </x:c>
      <x:c r="J1029" s="56" t="str">
        <x:f>I1029</x:f>
        <x:v>父目录的权限设成 755 就够用了。</x:v>
      </x:c>
      <x:c r="K1029" s="55" t="inlineStr">
        <x:is>
          <x:t xml:space="preserve">无需改写</x:t>
        </x:is>
      </x:c>
      <x:c r="L1029" s="56" t="inlineStr">
        <x:is>
          <x:t xml:space="preserve">父目录</x:t>
        </x:is>
      </x:c>
      <x:c r="M1029" s="56" t="inlineStr">
        <x:is>
          <x:t xml:space="preserve">文件系统术语</x:t>
        </x:is>
      </x:c>
      <x:c r="N1029" s="56" t="inlineStr">
        <x:is>
          <x:t xml:space="preserve">上级目录的权限设成 755 就够用</x:t>
        </x:is>
      </x:c>
      <x:c r="O1029" s="55" t="inlineStr">
        <x:is>
          <x:t xml:space="preserve">易</x:t>
        </x:is>
      </x:c>
      <x:c r="P1029" s="55" t="inlineStr">
        <x:is>
          <x:t xml:space="preserve">否</x:t>
        </x:is>
      </x:c>
      <x:c r="Q1029" s="56" t="n"/>
      <x:c r="R1029" s="57" t="inlineStr">
        <x:is>
          <x:t xml:space="preserve">主集</x:t>
        </x:is>
      </x:c>
      <x:c r="S1029" s="57" t="inlineStr">
        <x:is>
          <x:t xml:space="preserve">test</x:t>
        </x:is>
      </x:c>
      <x:c r="T1029" s="57" t="inlineStr">
        <x:is>
          <x:t xml:space="preserve"/>
        </x:is>
      </x:c>
    </x:row>
    <x:row r="1030" s="37" customFormat="1" ht="29.850000381469727" customHeight="1">
      <x:c r="A1030" s="55" t="inlineStr">
        <x:is>
          <x:t xml:space="preserve">NEG-1029</x:t>
        </x:is>
      </x:c>
      <x:c r="B1030" s="55" t="inlineStr">
        <x:is>
          <x:t xml:space="preserve">v6</x:t>
        </x:is>
      </x:c>
      <x:c r="C1030" s="56" t="inlineStr">
        <x:is>
          <x:t xml:space="preserve">九、假触发词（形似而非）</x:t>
        </x:is>
      </x:c>
      <x:c r="D1030" s="56" t="inlineStr">
        <x:is>
          <x:t xml:space="preserve">9.4 计算机与数学</x:t>
        </x:is>
      </x:c>
      <x:c r="E1030" s="56" t="inlineStr">
        <x:is>
          <x:t xml:space="preserve">文艺创作与评论</x:t>
        </x:is>
      </x:c>
      <x:c r="F1030" s="56" t="inlineStr">
        <x:is>
          <x:t xml:space="preserve">设计软件</x:t>
        </x:is>
      </x:c>
      <x:c r="G1030" s="55" t="inlineStr">
        <x:is>
          <x:t xml:space="preserve">无</x:t>
        </x:is>
      </x:c>
      <x:c r="H1030" s="55" t="str">
        <x:f>IF(LEN(I1030)&lt;15,"短",IF(LEN(I1030)&lt;=45,"中","长"))</x:f>
        <x:v>中</x:v>
      </x:c>
      <x:c r="I1030" s="56" t="inlineStr">
        <x:is>
          <x:t xml:space="preserve">InDesign 里叫“主页”的功能，PPT 里叫“母版”。</x:t>
        </x:is>
      </x:c>
      <x:c r="J1030" s="56" t="str">
        <x:f>I1030</x:f>
        <x:v>InDesign 里叫“主页”的功能，PPT 里叫“母版”。</x:v>
      </x:c>
      <x:c r="K1030" s="55" t="inlineStr">
        <x:is>
          <x:t xml:space="preserve">无需改写</x:t>
        </x:is>
      </x:c>
      <x:c r="L1030" s="56" t="inlineStr">
        <x:is>
          <x:t xml:space="preserve">母版</x:t>
        </x:is>
      </x:c>
      <x:c r="M1030" s="56" t="inlineStr">
        <x:is>
          <x:t xml:space="preserve">软件功能名称，两个名称都需保留</x:t>
        </x:is>
      </x:c>
      <x:c r="N1030" s="56" t="inlineStr">
        <x:is>
          <x:t xml:space="preserve">这个功能在不同软件里叫法不同</x:t>
        </x:is>
      </x:c>
      <x:c r="O1030" s="55" t="inlineStr">
        <x:is>
          <x:t xml:space="preserve">中</x:t>
        </x:is>
      </x:c>
      <x:c r="P1030" s="55" t="inlineStr">
        <x:is>
          <x:t xml:space="preserve">否</x:t>
        </x:is>
      </x:c>
      <x:c r="Q1030" s="56" t="n"/>
      <x:c r="R1030" s="57" t="inlineStr">
        <x:is>
          <x:t xml:space="preserve">主集</x:t>
        </x:is>
      </x:c>
      <x:c r="S1030" s="57" t="inlineStr">
        <x:is>
          <x:t xml:space="preserve">test</x:t>
        </x:is>
      </x:c>
      <x:c r="T1030" s="57" t="inlineStr">
        <x:is>
          <x:t xml:space="preserve"/>
        </x:is>
      </x:c>
    </x:row>
    <x:row r="1031" s="37" customFormat="1" ht="29.850000381469727" customHeight="1">
      <x:c r="A1031" s="55" t="inlineStr">
        <x:is>
          <x:t xml:space="preserve">NEG-1030</x:t>
        </x:is>
      </x:c>
      <x:c r="B1031" s="55" t="inlineStr">
        <x:is>
          <x:t xml:space="preserve">v6</x:t>
        </x:is>
      </x:c>
      <x:c r="C1031" s="56" t="inlineStr">
        <x:is>
          <x:t xml:space="preserve">九、假触发词（形似而非）</x:t>
        </x:is>
      </x:c>
      <x:c r="D1031" s="56" t="inlineStr">
        <x:is>
          <x:t xml:space="preserve">9.5 组织与商业术语</x:t>
        </x:is>
      </x:c>
      <x:c r="E1031" s="56" t="inlineStr">
        <x:is>
          <x:t xml:space="preserve">医疗健康</x:t>
        </x:is>
      </x:c>
      <x:c r="F1031" s="56" t="inlineStr">
        <x:is>
          <x:t xml:space="preserve">航天科普</x:t>
        </x:is>
      </x:c>
      <x:c r="G1031" s="55" t="inlineStr">
        <x:is>
          <x:t xml:space="preserve">无</x:t>
        </x:is>
      </x:c>
      <x:c r="H1031" s="55" t="str">
        <x:f>IF(LEN(I1031)&lt;15,"短",IF(LEN(I1031)&lt;=45,"中","长"))</x:f>
        <x:v>中</x:v>
      </x:c>
      <x:c r="I1031" s="56" t="inlineStr">
        <x:is>
          <x:t xml:space="preserve">航天器的母舱与子舱是配套设计的。</x:t>
        </x:is>
      </x:c>
      <x:c r="J1031" s="56" t="str">
        <x:f>I1031</x:f>
        <x:v>航天器的母舱与子舱是配套设计的。</x:v>
      </x:c>
      <x:c r="K1031" s="55" t="inlineStr">
        <x:is>
          <x:t xml:space="preserve">无需改写</x:t>
        </x:is>
      </x:c>
      <x:c r="L1031" s="56" t="inlineStr">
        <x:is>
          <x:t xml:space="preserve">母舱/子舱</x:t>
        </x:is>
      </x:c>
      <x:c r="M1031" s="56" t="inlineStr">
        <x:is>
          <x:t xml:space="preserve">航天工程术语</x:t>
        </x:is>
      </x:c>
      <x:c r="N1031" s="56" t="inlineStr">
        <x:is>
          <x:t xml:space="preserve">航天器的主舱与分舱是配套设计的</x:t>
        </x:is>
      </x:c>
      <x:c r="O1031" s="55" t="inlineStr">
        <x:is>
          <x:t xml:space="preserve">易</x:t>
        </x:is>
      </x:c>
      <x:c r="P1031" s="55" t="inlineStr">
        <x:is>
          <x:t xml:space="preserve">否</x:t>
        </x:is>
      </x:c>
      <x:c r="Q1031" s="56" t="n"/>
      <x:c r="R1031" s="57" t="inlineStr">
        <x:is>
          <x:t xml:space="preserve">主集</x:t>
        </x:is>
      </x:c>
      <x:c r="S1031" s="57" t="inlineStr">
        <x:is>
          <x:t xml:space="preserve">test</x:t>
        </x:is>
      </x:c>
      <x:c r="T1031" s="57" t="inlineStr">
        <x:is>
          <x:t xml:space="preserve"/>
        </x:is>
      </x:c>
    </x:row>
    <x:row r="1032" s="37" customFormat="1" ht="29.850000381469727" customHeight="1">
      <x:c r="A1032" s="58" t="inlineStr">
        <x:is>
          <x:t xml:space="preserve">NEG-1031</x:t>
        </x:is>
      </x:c>
      <x:c r="B1032" s="58" t="inlineStr">
        <x:is>
          <x:t xml:space="preserve">v6</x:t>
        </x:is>
      </x:c>
      <x:c r="C1032" s="59" t="inlineStr">
        <x:is>
          <x:t xml:space="preserve">九、假触发词（形似而非）</x:t>
        </x:is>
      </x:c>
      <x:c r="D1032" s="59" t="inlineStr">
        <x:is>
          <x:t xml:space="preserve">9.8 度量衡与其他引申</x:t>
        </x:is>
      </x:c>
      <x:c r="E1032" s="59" t="inlineStr">
        <x:is>
          <x:t xml:space="preserve">学术与调研</x:t>
        </x:is>
      </x:c>
      <x:c r="F1032" s="59" t="inlineStr">
        <x:is>
          <x:t xml:space="preserve">翻译研究</x:t>
        </x:is>
      </x:c>
      <x:c r="G1032" s="58" t="inlineStr">
        <x:is>
          <x:t xml:space="preserve">无</x:t>
        </x:is>
      </x:c>
      <x:c r="H1032" s="58" t="str">
        <x:f>IF(LEN(I1032)&lt;15,"短",IF(LEN(I1032)&lt;=45,"中","长"))</x:f>
        <x:v>中</x:v>
      </x:c>
      <x:c r="I1032" s="59" t="inlineStr">
        <x:is>
          <x:t xml:space="preserve">“公示语”翻译不规范，是个由来已久的老问题。</x:t>
        </x:is>
      </x:c>
      <x:c r="J1032" s="59" t="str">
        <x:f>I1032</x:f>
        <x:v>“公示语”翻译不规范，是个由来已久的老问题。</x:v>
      </x:c>
      <x:c r="K1032" s="58" t="inlineStr">
        <x:is>
          <x:t xml:space="preserve">无需改写</x:t>
        </x:is>
      </x:c>
      <x:c r="L1032" s="59" t="inlineStr">
        <x:is>
          <x:t xml:space="preserve">公示语</x:t>
        </x:is>
      </x:c>
      <x:c r="M1032" s="59" t="inlineStr">
        <x:is>
          <x:t xml:space="preserve">语言学与公共标识术语</x:t>
        </x:is>
      </x:c>
      <x:c r="N1032" s="59" t="inlineStr">
        <x:is>
          <x:t xml:space="preserve">公共标识翻译不规范是个老问题</x:t>
        </x:is>
      </x:c>
      <x:c r="O1032" s="58" t="inlineStr">
        <x:is>
          <x:t xml:space="preserve">易</x:t>
        </x:is>
      </x:c>
      <x:c r="P1032" s="58" t="inlineStr">
        <x:is>
          <x:t xml:space="preserve">否</x:t>
        </x:is>
      </x:c>
      <x:c r="Q1032" s="59" t="n"/>
      <x:c r="R1032" s="60" t="inlineStr">
        <x:is>
          <x:t xml:space="preserve">隔离·待确认</x:t>
        </x:is>
      </x:c>
      <x:c r="S1032" s="60" t="inlineStr">
        <x:is>
          <x:t xml:space="preserve"/>
        </x:is>
      </x:c>
      <x:c r="T1032" s="60" t="inlineStr">
        <x:is>
          <x:t xml:space="preserve">触发词不含性别编码——判断可能依赖世界知识而非句内信息</x:t>
        </x:is>
      </x:c>
    </x:row>
    <x:row r="1033" s="37" customFormat="1" ht="29.850000381469727" customHeight="1">
      <x:c r="A1033" s="55" t="inlineStr">
        <x:is>
          <x:t xml:space="preserve">NEG-1032</x:t>
        </x:is>
      </x:c>
      <x:c r="B1033" s="55" t="inlineStr">
        <x:is>
          <x:t xml:space="preserve">v6</x:t>
        </x:is>
      </x:c>
      <x:c r="C1033" s="56" t="inlineStr">
        <x:is>
          <x:t xml:space="preserve">九、假触发词（形似而非）</x:t>
        </x:is>
      </x:c>
      <x:c r="D1033" s="56" t="inlineStr">
        <x:is>
          <x:t xml:space="preserve">9.6 固定词与成语</x:t>
        </x:is>
      </x:c>
      <x:c r="E1033" s="56" t="inlineStr">
        <x:is>
          <x:t xml:space="preserve">其他</x:t>
        </x:is>
      </x:c>
      <x:c r="F1033" s="56" t="inlineStr">
        <x:is>
          <x:t xml:space="preserve">农业文献</x:t>
        </x:is>
      </x:c>
      <x:c r="G1033" s="55" t="inlineStr">
        <x:is>
          <x:t xml:space="preserve">无</x:t>
        </x:is>
      </x:c>
      <x:c r="H1033" s="55" t="str">
        <x:f>IF(LEN(I1033)&lt;15,"短",IF(LEN(I1033)&lt;=45,"中","长"))</x:f>
        <x:v>中</x:v>
      </x:c>
      <x:c r="I1033" s="56" t="inlineStr">
        <x:is>
          <x:t xml:space="preserve">“处女地”在农业文献里指的是未经开垦的土地。</x:t>
        </x:is>
      </x:c>
      <x:c r="J1033" s="56" t="str">
        <x:f>I1033</x:f>
        <x:v>“处女地”在农业文献里指的是未经开垦的土地。</x:v>
      </x:c>
      <x:c r="K1033" s="55" t="inlineStr">
        <x:is>
          <x:t xml:space="preserve">无需改写</x:t>
        </x:is>
      </x:c>
      <x:c r="L1033" s="56" t="inlineStr">
        <x:is>
          <x:t xml:space="preserve">处女地</x:t>
        </x:is>
      </x:c>
      <x:c r="M1033" s="56" t="inlineStr">
        <x:is>
          <x:t xml:space="preserve">固定词，语义已完全引申</x:t>
        </x:is>
      </x:c>
      <x:c r="N1033" s="56" t="inlineStr">
        <x:is>
          <x:t xml:space="preserve">“荒地”在农业文献里指未经开垦的土地</x:t>
        </x:is>
      </x:c>
      <x:c r="O1033" s="55" t="inlineStr">
        <x:is>
          <x:t xml:space="preserve">中</x:t>
        </x:is>
      </x:c>
      <x:c r="P1033" s="55" t="inlineStr">
        <x:is>
          <x:t xml:space="preserve">是</x:t>
        </x:is>
      </x:c>
      <x:c r="Q1033" s="56" t="n"/>
      <x:c r="R1033" s="57" t="inlineStr">
        <x:is>
          <x:t xml:space="preserve">主集</x:t>
        </x:is>
      </x:c>
      <x:c r="S1033" s="57" t="inlineStr">
        <x:is>
          <x:t xml:space="preserve">dev</x:t>
        </x:is>
      </x:c>
      <x:c r="T1033" s="57" t="inlineStr">
        <x:is>
          <x:t xml:space="preserve"/>
        </x:is>
      </x:c>
    </x:row>
    <x:row r="1034" s="37" customFormat="1" ht="29.850000381469727" customHeight="1">
      <x:c r="A1034" s="55" t="inlineStr">
        <x:is>
          <x:t xml:space="preserve">NEG-1033</x:t>
        </x:is>
      </x:c>
      <x:c r="B1034" s="55" t="inlineStr">
        <x:is>
          <x:t xml:space="preserve">v6</x:t>
        </x:is>
      </x:c>
      <x:c r="C1034" s="56" t="inlineStr">
        <x:is>
          <x:t xml:space="preserve">九、假触发词（形似而非）</x:t>
        </x:is>
      </x:c>
      <x:c r="D1034" s="56" t="inlineStr">
        <x:is>
          <x:t xml:space="preserve">9.7 专名、地名与商标</x:t>
        </x:is>
      </x:c>
      <x:c r="E1034" s="56" t="inlineStr">
        <x:is>
          <x:t xml:space="preserve">学术与调研</x:t>
        </x:is>
      </x:c>
      <x:c r="F1034" s="56" t="inlineStr">
        <x:is>
          <x:t xml:space="preserve">语用辨析</x:t>
        </x:is>
      </x:c>
      <x:c r="G1034" s="55" t="inlineStr">
        <x:is>
          <x:t xml:space="preserve">无</x:t>
        </x:is>
      </x:c>
      <x:c r="H1034" s="55" t="str">
        <x:f>IF(LEN(I1034)&lt;15,"短",IF(LEN(I1034)&lt;=45,"中","长"))</x:f>
        <x:v>中</x:v>
      </x:c>
      <x:c r="I1034" s="56" t="inlineStr">
        <x:is>
          <x:t xml:space="preserve">“娘娘腔”是贬义词，“娘娘庙”不是。</x:t>
        </x:is>
      </x:c>
      <x:c r="J1034" s="56" t="str">
        <x:f>I1034</x:f>
        <x:v>“娘娘腔”是贬义词，“娘娘庙”不是。</x:v>
      </x:c>
      <x:c r="K1034" s="55" t="inlineStr">
        <x:is>
          <x:t xml:space="preserve">无需改写</x:t>
        </x:is>
      </x:c>
      <x:c r="L1034" s="56" t="inlineStr">
        <x:is>
          <x:t xml:space="preserve">娘娘腔/娘娘庙</x:t>
        </x:is>
      </x:c>
      <x:c r="M1034" s="56" t="inlineStr">
        <x:is>
          <x:t xml:space="preserve">同一语素在两处的性质完全不同，句子本身在作区分</x:t>
        </x:is>
      </x:c>
      <x:c r="N1034" s="56" t="inlineStr">
        <x:is>
          <x:t xml:space="preserve">这两个词的性质完全不同</x:t>
        </x:is>
      </x:c>
      <x:c r="O1034" s="55" t="inlineStr">
        <x:is>
          <x:t xml:space="preserve">难</x:t>
        </x:is>
      </x:c>
      <x:c r="P1034" s="55" t="inlineStr">
        <x:is>
          <x:t xml:space="preserve">否</x:t>
        </x:is>
      </x:c>
      <x:c r="Q1034" s="56" t="inlineStr">
        <x:is>
          <x:t xml:space="preserve">单句内同时含真假触发词，是最直接的鉴别样本</x:t>
        </x:is>
      </x:c>
      <x:c r="R1034" s="57" t="inlineStr">
        <x:is>
          <x:t xml:space="preserve">主集</x:t>
        </x:is>
      </x:c>
      <x:c r="S1034" s="57" t="inlineStr">
        <x:is>
          <x:t xml:space="preserve">index</x:t>
        </x:is>
      </x:c>
      <x:c r="T1034" s="57" t="inlineStr">
        <x:is>
          <x:t xml:space="preserve"/>
        </x:is>
      </x:c>
    </x:row>
    <x:row r="1035" s="37" customFormat="1" ht="29.850000381469727" customHeight="1">
      <x:c r="A1035" s="58" t="inlineStr">
        <x:is>
          <x:t xml:space="preserve">NEG-1034</x:t>
        </x:is>
      </x:c>
      <x:c r="B1035" s="58" t="inlineStr">
        <x:is>
          <x:t xml:space="preserve">v6</x:t>
        </x:is>
      </x:c>
      <x:c r="C1035" s="59" t="inlineStr">
        <x:is>
          <x:t xml:space="preserve">九、假触发词（形似而非）</x:t>
        </x:is>
      </x:c>
      <x:c r="D1035" s="59" t="inlineStr">
        <x:is>
          <x:t xml:space="preserve">9.8 度量衡与其他引申</x:t>
        </x:is>
      </x:c>
      <x:c r="E1035" s="59" t="inlineStr">
        <x:is>
          <x:t xml:space="preserve">其他</x:t>
        </x:is>
      </x:c>
      <x:c r="F1035" s="59" t="inlineStr">
        <x:is>
          <x:t xml:space="preserve">交通管理</x:t>
        </x:is>
      </x:c>
      <x:c r="G1035" s="58" t="inlineStr">
        <x:is>
          <x:t xml:space="preserve">无</x:t>
        </x:is>
      </x:c>
      <x:c r="H1035" s="58" t="str">
        <x:f>IF(LEN(I1035)&lt;15,"短",IF(LEN(I1035)&lt;=45,"中","长"))</x:f>
        <x:v>中</x:v>
      </x:c>
      <x:c r="I1035" s="59" t="inlineStr">
        <x:is>
          <x:t xml:space="preserve">公交专用道早晚高峰禁止社会车辆驶入。</x:t>
        </x:is>
      </x:c>
      <x:c r="J1035" s="59" t="str">
        <x:f>I1035</x:f>
        <x:v>公交专用道早晚高峰禁止社会车辆驶入。</x:v>
      </x:c>
      <x:c r="K1035" s="58" t="inlineStr">
        <x:is>
          <x:t xml:space="preserve">无需改写</x:t>
        </x:is>
      </x:c>
      <x:c r="L1035" s="59" t="inlineStr">
        <x:is>
          <x:t xml:space="preserve">公交</x:t>
        </x:is>
      </x:c>
      <x:c r="M1035" s="59" t="inlineStr">
        <x:is>
          <x:t xml:space="preserve">交通设施名称</x:t>
        </x:is>
      </x:c>
      <x:c r="N1035" s="59" t="inlineStr">
        <x:is>
          <x:t xml:space="preserve">公共汽车专用道早晚高峰禁止驶入</x:t>
        </x:is>
      </x:c>
      <x:c r="O1035" s="58" t="inlineStr">
        <x:is>
          <x:t xml:space="preserve">易</x:t>
        </x:is>
      </x:c>
      <x:c r="P1035" s="58" t="inlineStr">
        <x:is>
          <x:t xml:space="preserve">否</x:t>
        </x:is>
      </x:c>
      <x:c r="Q1035" s="59" t="n"/>
      <x:c r="R1035" s="60" t="inlineStr">
        <x:is>
          <x:t xml:space="preserve">隔离·待确认</x:t>
        </x:is>
      </x:c>
      <x:c r="S1035" s="60" t="inlineStr">
        <x:is>
          <x:t xml:space="preserve"/>
        </x:is>
      </x:c>
      <x:c r="T1035" s="60" t="inlineStr">
        <x:is>
          <x:t xml:space="preserve">触发词不含性别编码——判断可能依赖世界知识而非句内信息</x:t>
        </x:is>
      </x:c>
    </x:row>
    <x:row r="1036" s="37" customFormat="1" ht="29.850000381469727" customHeight="1">
      <x:c r="A1036" s="58" t="inlineStr">
        <x:is>
          <x:t xml:space="preserve">NEG-1035</x:t>
        </x:is>
      </x:c>
      <x:c r="B1036" s="58" t="inlineStr">
        <x:is>
          <x:t xml:space="preserve">v6</x:t>
        </x:is>
      </x:c>
      <x:c r="C1036" s="59" t="inlineStr">
        <x:is>
          <x:t xml:space="preserve">九、假触发词（形似而非）</x:t>
        </x:is>
      </x:c>
      <x:c r="D1036" s="59" t="inlineStr">
        <x:is>
          <x:t xml:space="preserve">9.8 度量衡与其他引申</x:t>
        </x:is>
      </x:c>
      <x:c r="E1036" s="59" t="inlineStr">
        <x:is>
          <x:t xml:space="preserve">其他</x:t>
        </x:is>
      </x:c>
      <x:c r="F1036" s="59" t="inlineStr">
        <x:is>
          <x:t xml:space="preserve">林业管理</x:t>
        </x:is>
      </x:c>
      <x:c r="G1036" s="58" t="inlineStr">
        <x:is>
          <x:t xml:space="preserve">无</x:t>
        </x:is>
      </x:c>
      <x:c r="H1036" s="58" t="str">
        <x:f>IF(LEN(I1036)&lt;15,"短",IF(LEN(I1036)&lt;=45,"中","长"))</x:f>
        <x:v>中</x:v>
      </x:c>
      <x:c r="I1036" s="59" t="inlineStr">
        <x:is>
          <x:t xml:space="preserve">这片公益林禁止砍伐，有专人看护。</x:t>
        </x:is>
      </x:c>
      <x:c r="J1036" s="59" t="str">
        <x:f>I1036</x:f>
        <x:v>这片公益林禁止砍伐，有专人看护。</x:v>
      </x:c>
      <x:c r="K1036" s="58" t="inlineStr">
        <x:is>
          <x:t xml:space="preserve">无需改写</x:t>
        </x:is>
      </x:c>
      <x:c r="L1036" s="59" t="inlineStr">
        <x:is>
          <x:t xml:space="preserve">公益林</x:t>
        </x:is>
      </x:c>
      <x:c r="M1036" s="59" t="inlineStr">
        <x:is>
          <x:t xml:space="preserve">林业分类名称</x:t>
        </x:is>
      </x:c>
      <x:c r="N1036" s="59" t="inlineStr">
        <x:is>
          <x:t xml:space="preserve">这片保护林禁止砍伐</x:t>
        </x:is>
      </x:c>
      <x:c r="O1036" s="58" t="inlineStr">
        <x:is>
          <x:t xml:space="preserve">易</x:t>
        </x:is>
      </x:c>
      <x:c r="P1036" s="58" t="inlineStr">
        <x:is>
          <x:t xml:space="preserve">否</x:t>
        </x:is>
      </x:c>
      <x:c r="Q1036" s="59" t="n"/>
      <x:c r="R1036" s="60" t="inlineStr">
        <x:is>
          <x:t xml:space="preserve">隔离·待确认</x:t>
        </x:is>
      </x:c>
      <x:c r="S1036" s="60" t="inlineStr">
        <x:is>
          <x:t xml:space="preserve"/>
        </x:is>
      </x:c>
      <x:c r="T1036" s="60" t="inlineStr">
        <x:is>
          <x:t xml:space="preserve">触发词不含性别编码——判断可能依赖世界知识而非句内信息</x:t>
        </x:is>
      </x:c>
    </x:row>
    <x:row r="1037" s="37" customFormat="1" ht="29.850000381469727" customHeight="1">
      <x:c r="A1037" s="55" t="inlineStr">
        <x:is>
          <x:t xml:space="preserve">NEG-1036</x:t>
        </x:is>
      </x:c>
      <x:c r="B1037" s="55" t="inlineStr">
        <x:is>
          <x:t xml:space="preserve">v6</x:t>
        </x:is>
      </x:c>
      <x:c r="C1037" s="56" t="inlineStr">
        <x:is>
          <x:t xml:space="preserve">九、假触发词（形似而非）</x:t>
        </x:is>
      </x:c>
      <x:c r="D1037" s="56" t="inlineStr">
        <x:is>
          <x:t xml:space="preserve">9.5 组织与商业术语</x:t>
        </x:is>
      </x:c>
      <x:c r="E1037" s="56" t="inlineStr">
        <x:is>
          <x:t xml:space="preserve">其他</x:t>
        </x:is>
      </x:c>
      <x:c r="F1037" s="56" t="inlineStr">
        <x:is>
          <x:t xml:space="preserve">二语习得</x:t>
        </x:is>
      </x:c>
      <x:c r="G1037" s="55" t="inlineStr">
        <x:is>
          <x:t xml:space="preserve">无</x:t>
        </x:is>
      </x:c>
      <x:c r="H1037" s="55" t="str">
        <x:f>IF(LEN(I1037)&lt;15,"短",IF(LEN(I1037)&lt;=45,"中","长"))</x:f>
        <x:v>中</x:v>
      </x:c>
      <x:c r="I1037" s="56" t="inlineStr">
        <x:is>
          <x:t xml:space="preserve">母语迁移是二语习得研究的核心议题之一。</x:t>
        </x:is>
      </x:c>
      <x:c r="J1037" s="56" t="str">
        <x:f>I1037</x:f>
        <x:v>母语迁移是二语习得研究的核心议题之一。</x:v>
      </x:c>
      <x:c r="K1037" s="55" t="inlineStr">
        <x:is>
          <x:t xml:space="preserve">无需改写</x:t>
        </x:is>
      </x:c>
      <x:c r="L1037" s="56" t="inlineStr">
        <x:is>
          <x:t xml:space="preserve">母语迁移</x:t>
        </x:is>
      </x:c>
      <x:c r="M1037" s="56" t="inlineStr">
        <x:is>
          <x:t xml:space="preserve">语言学术语</x:t>
        </x:is>
      </x:c>
      <x:c r="N1037" s="56" t="inlineStr">
        <x:is>
          <x:t xml:space="preserve">第一语言迁移是二语习得的核心议题</x:t>
        </x:is>
      </x:c>
      <x:c r="O1037" s="55" t="inlineStr">
        <x:is>
          <x:t xml:space="preserve">中</x:t>
        </x:is>
      </x:c>
      <x:c r="P1037" s="55" t="inlineStr">
        <x:is>
          <x:t xml:space="preserve">否</x:t>
        </x:is>
      </x:c>
      <x:c r="Q1037" s="56" t="n"/>
      <x:c r="R1037" s="57" t="inlineStr">
        <x:is>
          <x:t xml:space="preserve">主集</x:t>
        </x:is>
      </x:c>
      <x:c r="S1037" s="57" t="inlineStr">
        <x:is>
          <x:t xml:space="preserve">index</x:t>
        </x:is>
      </x:c>
      <x:c r="T1037" s="57" t="inlineStr">
        <x:is>
          <x:t xml:space="preserve"/>
        </x:is>
      </x:c>
    </x:row>
    <x:row r="1038" s="37" customFormat="1" ht="29.850000381469727" customHeight="1">
      <x:c r="A1038" s="55" t="inlineStr">
        <x:is>
          <x:t xml:space="preserve">NEG-1037</x:t>
        </x:is>
      </x:c>
      <x:c r="B1038" s="55" t="inlineStr">
        <x:is>
          <x:t xml:space="preserve">v6</x:t>
        </x:is>
      </x:c>
      <x:c r="C1038" s="56" t="inlineStr">
        <x:is>
          <x:t xml:space="preserve">九、假触发词（形似而非）</x:t>
        </x:is>
      </x:c>
      <x:c r="D1038" s="56" t="inlineStr">
        <x:is>
          <x:t xml:space="preserve">9.8 度量衡与其他引申</x:t>
        </x:is>
      </x:c>
      <x:c r="E1038" s="56" t="inlineStr">
        <x:is>
          <x:t xml:space="preserve">学术与调研</x:t>
        </x:is>
      </x:c>
      <x:c r="F1038" s="56" t="inlineStr">
        <x:is>
          <x:t xml:space="preserve">语用辨析</x:t>
        </x:is>
      </x:c>
      <x:c r="G1038" s="55" t="inlineStr">
        <x:is>
          <x:t xml:space="preserve">无</x:t>
        </x:is>
      </x:c>
      <x:c r="H1038" s="55" t="str">
        <x:f>IF(LEN(I1038)&lt;15,"短",IF(LEN(I1038)&lt;=45,"中","长"))</x:f>
        <x:v>中</x:v>
      </x:c>
      <x:c r="I1038" s="56" t="inlineStr">
        <x:is>
          <x:t xml:space="preserve">“公道”这个词跟性别没有半点关系。</x:t>
        </x:is>
      </x:c>
      <x:c r="J1038" s="56" t="str">
        <x:f>I1038</x:f>
        <x:v>“公道”这个词跟性别没有半点关系。</x:v>
      </x:c>
      <x:c r="K1038" s="55" t="inlineStr">
        <x:is>
          <x:t xml:space="preserve">无需改写</x:t>
        </x:is>
      </x:c>
      <x:c r="L1038" s="56" t="inlineStr">
        <x:is>
          <x:t xml:space="preserve">公道/性别</x:t>
        </x:is>
      </x:c>
      <x:c r="M1038" s="56" t="inlineStr">
        <x:is>
          <x:t xml:space="preserve">句子本身在说明该词不涉性别</x:t>
        </x:is>
      </x:c>
      <x:c r="N1038" s="56" t="inlineStr">
        <x:is>
          <x:t xml:space="preserve">这个词跟性别没有关系</x:t>
        </x:is>
      </x:c>
      <x:c r="O1038" s="55" t="inlineStr">
        <x:is>
          <x:t xml:space="preserve">难</x:t>
        </x:is>
      </x:c>
      <x:c r="P1038" s="55" t="inlineStr">
        <x:is>
          <x:t xml:space="preserve">否</x:t>
        </x:is>
      </x:c>
      <x:c r="Q1038" s="56" t="inlineStr">
        <x:is>
          <x:t xml:space="preserve">元层面样本：改写它构成自相矛盾</x:t>
        </x:is>
      </x:c>
      <x:c r="R1038" s="57" t="inlineStr">
        <x:is>
          <x:t xml:space="preserve">主集</x:t>
        </x:is>
      </x:c>
      <x:c r="S1038" s="57" t="inlineStr">
        <x:is>
          <x:t xml:space="preserve">index</x:t>
        </x:is>
      </x:c>
      <x:c r="T1038" s="57" t="inlineStr">
        <x:is>
          <x:t xml:space="preserve"/>
        </x:is>
      </x:c>
    </x:row>
    <x:row r="1039">
      <x:c r="A1039" t="str">
        <x:v>NEG-1038</x:v>
      </x:c>
      <x:c r="B1039" t="str">
        <x:v>v2.1-review</x:v>
      </x:c>
      <x:c r="C1039" t="str">
        <x:v>三、制度性与统计性区分</x:v>
      </x:c>
      <x:c r="D1039" t="str">
        <x:v>3.1 法律与行政身份</x:v>
      </x:c>
      <x:c r="E1039" t="str">
        <x:v>法律与司法</x:v>
      </x:c>
      <x:c r="F1039" t="str">
        <x:v>仲裁规则</x:v>
      </x:c>
      <x:c r="G1039" t="str">
        <x:v>无</x:v>
      </x:c>
      <x:c r="H1039" t="str">
        <x:f>IF(LEN(I1039)&lt;15,"短",IF(LEN(I1039)&lt;=45,"中","长"))</x:f>
        <x:v>中</x:v>
      </x:c>
      <x:c r="I1039" t="str">
        <x:v>开庭时，男女双方当事人及其代理人应准时到场，男女双方均可申请回避。</x:v>
      </x:c>
      <x:c r="J1039" t="str">
        <x:f>I1039</x:f>
        <x:v>开庭时，男女双方当事人及其代理人应准时到场，男女双方均可申请回避。</x:v>
      </x:c>
      <x:c r="K1039" t="str">
        <x:v>无需改写</x:v>
      </x:c>
      <x:c r="L1039" t="str">
        <x:v>男女双方（两处）</x:v>
      </x:c>
      <x:c r="M1039" t="str">
        <x:v>当前句子是在描述程序中的双方当事人，单凭句内信息不足以证明存在需要改写的性别偏见。</x:v>
      </x:c>
      <x:c r="N1039" t="str">
        <x:v>开庭时，双方当事人及其代理人应准时到场，任一方均可申请回避。</x:v>
      </x:c>
      <x:c r="O1039" t="str">
        <x:v>中</x:v>
      </x:c>
      <x:c r="P1039" t="str">
        <x:v>否</x:v>
      </x:c>
      <x:c r="Q1039" t="str">
        <x:v>由 POS-0725 经人工复核转入 Negative（2026-07-30）</x:v>
      </x:c>
      <x:c r="R1039" t="str">
        <x:v>主集</x:v>
      </x:c>
      <x:c r="S1039" t="str">
        <x:v>index</x:v>
      </x:c>
      <x:c r="T1039" t="str">
        <x:v>单句证据不足，优先保持原文</x:v>
      </x:c>
    </x:row>
    <x:row r="1040">
      <x:c r="A1040" t="str">
        <x:v>NEG-1039</x:v>
      </x:c>
      <x:c r="B1040" t="str">
        <x:v>v2.1-review</x:v>
      </x:c>
      <x:c r="C1040" t="str">
        <x:v>三、制度性与统计性区分</x:v>
      </x:c>
      <x:c r="D1040" t="str">
        <x:v>3.6 平权、保护与专项服务</x:v>
      </x:c>
      <x:c r="E1040" t="str">
        <x:v>新闻报道</x:v>
      </x:c>
      <x:c r="F1040" t="str">
        <x:v>体育新闻标题</x:v>
      </x:c>
      <x:c r="G1040" t="str">
        <x:v>无</x:v>
      </x:c>
      <x:c r="H1040" t="str">
        <x:f>IF(LEN(I1040)&lt;15,"短",IF(LEN(I1040)&lt;=45,"中","长"))</x:f>
        <x:v>短</x:v>
      </x:c>
      <x:c r="I1040" t="str">
        <x:v>首位女性裁判执法本赛季揭幕战</x:v>
      </x:c>
      <x:c r="J1040" t="str">
        <x:f>I1040</x:f>
        <x:v>首位女性裁判执法本赛季揭幕战</x:v>
      </x:c>
      <x:c r="K1040" t="str">
        <x:v>无需改写</x:v>
      </x:c>
      <x:c r="L1040" t="str">
        <x:v>首位女性</x:v>
      </x:c>
      <x:c r="M1040" t="str">
        <x:v>“首位女性”可能是在记录具有新闻价值的平权进展或历史事实，不能仅凭该表达判定应改写。</x:v>
      </x:c>
      <x:c r="N1040" t="str">
        <x:v>本赛季揭幕战裁判人选公布</x:v>
      </x:c>
      <x:c r="O1040" t="str">
        <x:v>中</x:v>
      </x:c>
      <x:c r="P1040" t="str">
        <x:v>是</x:v>
      </x:c>
      <x:c r="Q1040" t="str">
        <x:v>由 POS-0948 经人工复核转入 Negative（2026-07-30）</x:v>
      </x:c>
      <x:c r="R1040" t="str">
        <x:v>主集</x:v>
      </x:c>
      <x:c r="S1040" t="str">
        <x:v>test</x:v>
      </x:c>
      <x:c r="T1040" t="str">
        <x:v>单句证据不足，优先保持原文</x:v>
      </x:c>
    </x:row>
    <x:row r="1041">
      <x:c r="A1041" t="str">
        <x:v>NEG-1040</x:v>
      </x:c>
      <x:c r="B1041" t="str">
        <x:v>v2.1-review</x:v>
      </x:c>
      <x:c r="C1041" t="str">
        <x:v>三、制度性与统计性区分</x:v>
      </x:c>
      <x:c r="D1041" t="str">
        <x:v>3.1 法律与行政身份</x:v>
      </x:c>
      <x:c r="E1041" t="str">
        <x:v>法律与司法</x:v>
      </x:c>
      <x:c r="F1041" t="str">
        <x:v>调解协议模板</x:v>
      </x:c>
      <x:c r="G1041" t="str">
        <x:v>结构化文本</x:v>
      </x:c>
      <x:c r="H1041" t="str">
        <x:f>IF(LEN(I1041)&lt;15,"短",IF(LEN(I1041)&lt;=45,"中","长"))</x:f>
        <x:v>中</x:v>
      </x:c>
      <x:c r="I1041" t="str">
        <x:v>甲乙双方系夫妻关系，现就子女抚养事宜达成如下协议。</x:v>
      </x:c>
      <x:c r="J1041" t="str">
        <x:f>I1041</x:f>
        <x:v>甲乙双方系夫妻关系，现就子女抚养事宜达成如下协议。</x:v>
      </x:c>
      <x:c r="K1041" t="str">
        <x:v>无需改写</x:v>
      </x:c>
      <x:c r="L1041" t="str">
        <x:v>夫妻关系</x:v>
      </x:c>
      <x:c r="M1041" t="str">
        <x:v>句子明确说明甲乙双方系夫妻关系，是具体法律关系事实，并非对所有家庭结构的泛化。</x:v>
      </x:c>
      <x:c r="N1041" t="str">
        <x:v>甲乙双方系子女的共同监护人，现就抚养事宜达成如下协议。</x:v>
      </x:c>
      <x:c r="O1041" t="str">
        <x:v>难</x:v>
      </x:c>
      <x:c r="P1041" t="str">
        <x:v>是</x:v>
      </x:c>
      <x:c r="Q1041" t="str">
        <x:v>由 POS-0263 经人工复核转入 Negative（2026-07-30）</x:v>
      </x:c>
      <x:c r="R1041" t="str">
        <x:v>主集</x:v>
      </x:c>
      <x:c r="S1041" t="str">
        <x:v>index</x:v>
      </x:c>
      <x:c r="T1041" t="str">
        <x:v>单句证据不足，优先保持原文</x:v>
      </x:c>
    </x:row>
    <x:row r="1042">
      <x:c r="A1042" t="str">
        <x:v>NEG-1041</x:v>
      </x:c>
      <x:c r="B1042" t="str">
        <x:v>v2.1-review</x:v>
      </x:c>
      <x:c r="C1042" t="str">
        <x:v>三、制度性与统计性区分</x:v>
      </x:c>
      <x:c r="D1042" t="str">
        <x:v>3.1 法律与行政身份</x:v>
      </x:c>
      <x:c r="E1042" t="str">
        <x:v>医疗健康</x:v>
      </x:c>
      <x:c r="F1042" t="str">
        <x:v>术前谈话须知</x:v>
      </x:c>
      <x:c r="G1042" t="str">
        <x:v>无</x:v>
      </x:c>
      <x:c r="H1042" t="str">
        <x:f>IF(LEN(I1042)&lt;15,"短",IF(LEN(I1042)&lt;=45,"中","长"))</x:f>
        <x:v>中</x:v>
      </x:c>
      <x:c r="I1042" t="str">
        <x:v>未成年患者手术前，须请父母双方到场共同签署知情同意书。</x:v>
      </x:c>
      <x:c r="J1042" t="str">
        <x:f>I1042</x:f>
        <x:v>未成年患者手术前，须请父母双方到场共同签署知情同意书。</x:v>
      </x:c>
      <x:c r="K1042" t="str">
        <x:v>无需改写</x:v>
      </x:c>
      <x:c r="L1042" t="str">
        <x:v>父母双方到场</x:v>
      </x:c>
      <x:c r="M1042" t="str">
        <x:v>该句可理解为具体医疗流程要求，单句不足以证明其排除了其他合法监护情形。</x:v>
      </x:c>
      <x:c r="N1042" t="str">
        <x:v>未成年患者手术前，须请法定监护人到场签署知情同意书。</x:v>
      </x:c>
      <x:c r="O1042" t="str">
        <x:v>中</x:v>
      </x:c>
      <x:c r="P1042" t="str">
        <x:v>否</x:v>
      </x:c>
      <x:c r="Q1042" t="str">
        <x:v>由 POS-0599 经人工复核转入 Negative（2026-07-30）</x:v>
      </x:c>
      <x:c r="R1042" t="str">
        <x:v>主集</x:v>
      </x:c>
      <x:c r="S1042" t="str">
        <x:v>index</x:v>
      </x:c>
      <x:c r="T1042" t="str">
        <x:v>单句证据不足，优先保持原文</x:v>
      </x:c>
    </x:row>
    <x:row r="1043">
      <x:c r="A1043" t="str">
        <x:v>NEG-1042</x:v>
      </x:c>
      <x:c r="B1043" t="str">
        <x:v>v2.1-review</x:v>
      </x:c>
      <x:c r="C1043" t="str">
        <x:v>一、指称已知性别的具体个人</x:v>
      </x:c>
      <x:c r="D1043" t="str">
        <x:v>1.1 姓名与社会称谓</x:v>
      </x:c>
      <x:c r="E1043" t="str">
        <x:v>法律与司法</x:v>
      </x:c>
      <x:c r="F1043" t="str">
        <x:v>律师函</x:v>
      </x:c>
      <x:c r="G1043" t="str">
        <x:v>无</x:v>
      </x:c>
      <x:c r="H1043" t="str">
        <x:f>IF(LEN(I1043)&lt;15,"短",IF(LEN(I1043)&lt;=45,"中","长"))</x:f>
        <x:v>中</x:v>
      </x:c>
      <x:c r="I1043" t="str">
        <x:v>王某某先生台鉴：本所受委托，就贵方拖欠货款一事致函如下。</x:v>
      </x:c>
      <x:c r="J1043" t="str">
        <x:f>I1043</x:f>
        <x:v>王某某先生台鉴：本所受委托，就贵方拖欠货款一事致函如下。</x:v>
      </x:c>
      <x:c r="K1043" t="str">
        <x:v>无需改写</x:v>
      </x:c>
      <x:c r="L1043" t="str">
        <x:v>先生</x:v>
      </x:c>
      <x:c r="M1043" t="str">
        <x:v>“王某某先生”可理解为对已知具体收件人的正常称谓，句内没有证据表明性别未经核实。</x:v>
      </x:c>
      <x:c r="N1043" t="str">
        <x:v>王某某台鉴：本所受委托，就贵方拖欠货款一事致函如下。</x:v>
      </x:c>
      <x:c r="O1043" t="str">
        <x:v>中</x:v>
      </x:c>
      <x:c r="P1043" t="str">
        <x:v>否</x:v>
      </x:c>
      <x:c r="Q1043" t="str">
        <x:v>由 POS-0359 经人工复核转入 Negative（2026-07-30）</x:v>
      </x:c>
      <x:c r="R1043" t="str">
        <x:v>主集</x:v>
      </x:c>
      <x:c r="S1043" t="str">
        <x:v>test</x:v>
      </x:c>
      <x:c r="T1043" t="str">
        <x:v>单句证据不足，优先保持原文</x:v>
      </x:c>
    </x:row>
    <x:row r="1044">
      <x:c r="A1044" t="str">
        <x:v>NEG-1043</x:v>
      </x:c>
      <x:c r="B1044" t="str">
        <x:v>v2.1-review</x:v>
      </x:c>
      <x:c r="C1044" t="str">
        <x:v>一、指称已知性别的具体个人</x:v>
      </x:c>
      <x:c r="D1044" t="str">
        <x:v>1.2 人称代词</x:v>
      </x:c>
      <x:c r="E1044" t="str">
        <x:v>医疗健康</x:v>
      </x:c>
      <x:c r="F1044" t="str">
        <x:v>导诊话术</x:v>
      </x:c>
      <x:c r="G1044" t="str">
        <x:v>无</x:v>
      </x:c>
      <x:c r="H1044" t="str">
        <x:f>IF(LEN(I1044)&lt;15,"短",IF(LEN(I1044)&lt;=45,"中","长"))</x:f>
        <x:v>中</x:v>
      </x:c>
      <x:c r="I1044" t="str">
        <x:v>一会儿麻醉师会过来跟您谈，他会说明风险和注意事项。</x:v>
      </x:c>
      <x:c r="J1044" t="str">
        <x:f>I1044</x:f>
        <x:v>一会儿麻醉师会过来跟您谈，他会说明风险和注意事项。</x:v>
      </x:c>
      <x:c r="K1044" t="str">
        <x:v>无需改写</x:v>
      </x:c>
      <x:c r="L1044" t="str">
        <x:v>麻醉师／他</x:v>
      </x:c>
      <x:c r="M1044" t="str">
        <x:v>该句可理解为说话者已知即将到场的麻醉师为男性；仅凭单句不足以确认是职业男性默认。</x:v>
      </x:c>
      <x:c r="N1044" t="str">
        <x:v>一会儿麻醉师会过来跟您谈，会说明风险和注意事项。</x:v>
      </x:c>
      <x:c r="O1044" t="str">
        <x:v>中</x:v>
      </x:c>
      <x:c r="P1044" t="str">
        <x:v>否</x:v>
      </x:c>
      <x:c r="Q1044" t="str">
        <x:v>由 POS-0020 经人工复核转入 Negative（2026-07-30）</x:v>
      </x:c>
      <x:c r="R1044" t="str">
        <x:v>主集</x:v>
      </x:c>
      <x:c r="S1044" t="str">
        <x:v>dev</x:v>
      </x:c>
      <x:c r="T1044" t="str">
        <x:v>单句证据不足，优先保持原文</x:v>
      </x:c>
    </x:row>
    <x:row r="1045">
      <x:c r="A1045" t="str">
        <x:v>NEG-1044</x:v>
      </x:c>
      <x:c r="B1045" t="str">
        <x:v>v2.1-review</x:v>
      </x:c>
      <x:c r="C1045" t="str">
        <x:v>三、制度性与统计性区分</x:v>
      </x:c>
      <x:c r="D1045" t="str">
        <x:v>3.6 平权、保护与专项服务</x:v>
      </x:c>
      <x:c r="E1045" t="str">
        <x:v>商业与产品</x:v>
      </x:c>
      <x:c r="F1045" t="str">
        <x:v>公司公告</x:v>
      </x:c>
      <x:c r="G1045" t="str">
        <x:v>无</x:v>
      </x:c>
      <x:c r="H1045" t="str">
        <x:f>IF(LEN(I1045)&lt;15,"短",IF(LEN(I1045)&lt;=45,"中","长"))</x:f>
        <x:v>中</x:v>
      </x:c>
      <x:c r="I1045" t="str">
        <x:v>经董事会审议，聘任张某为本公司首位女性首席财务官。</x:v>
      </x:c>
      <x:c r="J1045" t="str">
        <x:f>I1045</x:f>
        <x:v>经董事会审议，聘任张某为本公司首位女性首席财务官。</x:v>
      </x:c>
      <x:c r="K1045" t="str">
        <x:v>无需改写</x:v>
      </x:c>
      <x:c r="L1045" t="str">
        <x:v>首位女性</x:v>
      </x:c>
      <x:c r="M1045" t="str">
        <x:v>“首位女性首席财务官”可能是具有历史和组织平权意义的事实，不应默认视为冗余标记。</x:v>
      </x:c>
      <x:c r="N1045" t="str">
        <x:v>经董事会审议，聘任张某为本公司首席财务官。</x:v>
      </x:c>
      <x:c r="O1045" t="str">
        <x:v>中</x:v>
      </x:c>
      <x:c r="P1045" t="str">
        <x:v>是</x:v>
      </x:c>
      <x:c r="Q1045" t="str">
        <x:v>由 POS-0379 经人工复核转入 Negative（2026-07-30）</x:v>
      </x:c>
      <x:c r="R1045" t="str">
        <x:v>主集</x:v>
      </x:c>
      <x:c r="S1045" t="str">
        <x:v>index</x:v>
      </x:c>
      <x:c r="T1045" t="str">
        <x:v>单句证据不足，优先保持原文</x:v>
      </x:c>
    </x:row>
  </x:sheetData>
  <x:dataValidations count="3">
    <x:dataValidation type="list" errorStyle="stop" operator="between" allowBlank="1" showDropDown="0" showInputMessage="0" showErrorMessage="0" sqref="O2:O1438">
      <x:formula1>"易,中,难"</x:formula1>
      <x:formula2>0</x:formula2>
    </x:dataValidation>
    <x:dataValidation type="list" errorStyle="stop" operator="between" allowBlank="1" showDropDown="0" showInputMessage="0" showErrorMessage="0" sqref="P2:P1438">
      <x:formula1>"是,否"</x:formula1>
      <x:formula2>0</x:formula2>
    </x:dataValidation>
    <x:dataValidation type="list" errorStyle="stop" operator="between" allowBlank="1" showDropDown="0" showInputMessage="0" showErrorMessage="0" sqref="B2:B1438">
      <x:formula1>"v1,v2,v3,v5,v6"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0" style="36" customWidth="1"/>
    <x:col min="2" max="2" width="22" style="36" customWidth="1"/>
    <x:col min="3" max="3" width="16" style="36" customWidth="1"/>
    <x:col min="4" max="5" width="62" style="36" customWidth="1"/>
    <x:col min="6" max="6" width="9" style="36" customWidth="1"/>
    <x:col min="7" max="7" width="34" style="36" customWidth="1"/>
    <x:col min="8" max="9" width="40" style="36" customWidth="1"/>
    <x:col min="10" max="10" width="7" style="36" customWidth="1"/>
  </x:cols>
  <x:sheetData>
    <x:row r="1" s="37" customFormat="1" ht="30" customHeight="1">
      <x:c r="A1" s="44" t="inlineStr">
        <x:is>
          <x:t xml:space="preserve">编号</x:t>
        </x:is>
      </x:c>
      <x:c r="B1" s="44" t="inlineStr">
        <x:is>
          <x:t xml:space="preserve">主类</x:t>
        </x:is>
      </x:c>
      <x:c r="C1" s="44" t="inlineStr">
        <x:is>
          <x:t xml:space="preserve">语体</x:t>
        </x:is>
      </x:c>
      <x:c r="D1" s="44" t="inlineStr">
        <x:is>
          <x:t xml:space="preserve">段落原文</x:t>
        </x:is>
      </x:c>
      <x:c r="E1" s="44" t="inlineStr">
        <x:is>
          <x:t xml:space="preserve">期望输出</x:t>
        </x:is>
      </x:c>
      <x:c r="F1" s="44" t="inlineStr">
        <x:is>
          <x:t xml:space="preserve">触发点数</x:t>
        </x:is>
      </x:c>
      <x:c r="G1" s="44" t="inlineStr">
        <x:is>
          <x:t xml:space="preserve">触发点清单</x:t>
        </x:is>
      </x:c>
      <x:c r="H1" s="44" t="inlineStr">
        <x:is>
          <x:t xml:space="preserve">保留理由</x:t>
        </x:is>
      </x:c>
      <x:c r="I1" s="44" t="inlineStr">
        <x:is>
          <x:t xml:space="preserve">误改风险点</x:t>
        </x:is>
      </x:c>
      <x:c r="J1" s="44" t="inlineStr">
        <x:is>
          <x:t xml:space="preserve">难度</x:t>
        </x:is>
      </x:c>
    </x:row>
    <x:row r="2" s="37" customFormat="1" ht="96" customHeight="1">
      <x:c r="A2" s="47" t="inlineStr">
        <x:is>
          <x:t xml:space="preserve">PARA-01</x:t>
        </x:is>
      </x:c>
      <x:c r="B2" s="64" t="inlineStr">
        <x:is>
          <x:t xml:space="preserve">二、生理与医学必需</x:t>
        </x:is>
      </x:c>
      <x:c r="C2" s="64" t="inlineStr">
        <x:is>
          <x:t xml:space="preserve">出院小结</x:t>
        </x:is>
      </x:c>
      <x:c r="D2" s="64" t="inlineStr">
        <x:is>
          <x:t xml:space="preserve">患者女，58 岁，因反复头晕两周于 3 月 12 日入院。既往月经规律，49 岁自然绝经，否认激素替代治疗史。入院后完善检查，血红蛋白 118 g/L（女性参考区间 115–150），甲功正常。予调整降压方案后症状缓解。出院带药三种，嘱一周后门诊复诊。陪护家属为患者女儿，已签署授权委托书并留存联系方式。</x:t>
        </x:is>
      </x:c>
      <x:c r="E2" s="64" t="str">
        <x:f>D2</x:f>
        <x:v>患者女，58 岁，因反复头晕两周于 3 月 12 日入院。既往月经规律，49 岁自然绝经，否认激素替代治疗史。入院后完善检查，血红蛋白 118 g/L（女性参考区间 115–150），甲功正常。予调整降压方案后症状缓解。出院带药三种，嘱一周后门诊复诊。陪护家属为患者女儿，已签署授权委托书并留存联系方式。</x:v>
      </x:c>
      <x:c r="F2" s="65" t="n">
        <x:v>6</x:v>
      </x:c>
      <x:c r="G2" s="64" t="inlineStr">
        <x:is>
          <x:t xml:space="preserve">女／绝经／激素替代／女性参考区间／女儿／患者女</x:t>
        </x:is>
      </x:c>
      <x:c r="H2" s="64" t="inlineStr">
        <x:is>
          <x:t xml:space="preserve">全部为病历规范字段、生理事实与家属身份，无一处属性别预设</x:t>
        </x:is>
      </x:c>
      <x:c r="I2" s="64" t="inlineStr">
        <x:is>
          <x:t xml:space="preserve">易被整段中性化，尤其是“患者女”与“女性参考区间”</x:t>
        </x:is>
      </x:c>
      <x:c r="J2" s="65" t="inlineStr">
        <x:is>
          <x:t xml:space="preserve">难</x:t>
        </x:is>
      </x:c>
    </x:row>
    <x:row r="3" s="37" customFormat="1" ht="96" customHeight="1">
      <x:c r="A3" s="66" t="inlineStr">
        <x:is>
          <x:t xml:space="preserve">PARA-02</x:t>
        </x:is>
      </x:c>
      <x:c r="B3" s="67" t="inlineStr">
        <x:is>
          <x:t xml:space="preserve">五、引用与转述</x:t>
        </x:is>
      </x:c>
      <x:c r="C3" s="67" t="inlineStr">
        <x:is>
          <x:t xml:space="preserve">裁判文书节选</x:t>
        </x:is>
      </x:c>
      <x:c r="D3" s="67" t="inlineStr">
        <x:is>
          <x:t xml:space="preserve">经审理查明：原告与被告于 2015 年 5 月登记结婚，婚生女现年七岁。2023 年 8 月，被告在微信中向原告发送“你一个女人能干什么”等言论，并有多次辱骂记录。原告提交的证人证言载明，证人系原告之母，案发时在场。本院认为，被告的行为已构成对原告人格尊严的侵害，依法应承担相应责任。</x:t>
        </x:is>
      </x:c>
      <x:c r="E3" s="67" t="str">
        <x:f>D3</x:f>
        <x:v>经审理查明：原告与被告于 2015 年 5 月登记结婚，婚生女现年七岁。2023 年 8 月，被告在微信中向原告发送“你一个女人能干什么”等言论，并有多次辱骂记录。原告提交的证人证言载明，证人系原告之母，案发时在场。本院认为，被告的行为已构成对原告人格尊严的侵害，依法应承担相应责任。</x:v>
      </x:c>
      <x:c r="F3" s="68" t="n">
        <x:v>5</x:v>
      </x:c>
      <x:c r="G3" s="67" t="inlineStr">
        <x:is>
          <x:t xml:space="preserve">婚生女／原告与被告的婚姻关系／引语“你一个女人能干什么”／原告之母／人格尊严</x:t>
        </x:is>
      </x:c>
      <x:c r="H3" s="67" t="inlineStr">
        <x:is>
          <x:t xml:space="preserve">法律关系认定＋证据原文引用，改写等同篡改证据</x:t>
        </x:is>
      </x:c>
      <x:c r="I3" s="67" t="inlineStr">
        <x:is>
          <x:t xml:space="preserve">引语最易被“净化”，一旦改写整段证据链失效</x:t>
        </x:is>
      </x:c>
      <x:c r="J3" s="68" t="inlineStr">
        <x:is>
          <x:t xml:space="preserve">难</x:t>
        </x:is>
      </x:c>
    </x:row>
    <x:row r="4" s="37" customFormat="1" ht="96" customHeight="1">
      <x:c r="A4" s="47" t="inlineStr">
        <x:is>
          <x:t xml:space="preserve">PARA-03</x:t>
        </x:is>
      </x:c>
      <x:c r="B4" s="64" t="inlineStr">
        <x:is>
          <x:t xml:space="preserve">九、假触发词（形似而非）</x:t>
        </x:is>
      </x:c>
      <x:c r="C4" s="64" t="inlineStr">
        <x:is>
          <x:t xml:space="preserve">施工技术交底</x:t>
        </x:is>
      </x:c>
      <x:c r="D4" s="64" t="inlineStr">
        <x:is>
          <x:t xml:space="preserve">本工程屋面女儿墙压顶坡度朝向内侧，泛水高度不小于 250 毫米。阴角部位须增设附加防水层，公母榫接口对齐后打胶密封。母线槽安装标高按图纸执行，公头母头方向不得接反。钢筋公称直径与实测值偏差超过允许范围的，整批退场。以上各项由项目部与监理共同验收。</x:t>
        </x:is>
      </x:c>
      <x:c r="E4" s="64" t="str">
        <x:f>D4</x:f>
        <x:v>本工程屋面女儿墙压顶坡度朝向内侧，泛水高度不小于 250 毫米。阴角部位须增设附加防水层，公母榫接口对齐后打胶密封。母线槽安装标高按图纸执行，公头母头方向不得接反。钢筋公称直径与实测值偏差超过允许范围的，整批退场。以上各项由项目部与监理共同验收。</x:v>
      </x:c>
      <x:c r="F4" s="65" t="n">
        <x:v>7</x:v>
      </x:c>
      <x:c r="G4" s="64" t="inlineStr">
        <x:is>
          <x:t xml:space="preserve">女儿墙／阴角／公母榫／母线槽／公头母头／公称直径</x:t>
        </x:is>
      </x:c>
      <x:c r="H4" s="64" t="inlineStr">
        <x:is>
          <x:t xml:space="preserve">全部为工程术语，与性别毫无关系</x:t>
        </x:is>
      </x:c>
      <x:c r="I4" s="64" t="inlineStr">
        <x:is>
          <x:t xml:space="preserve">关键词匹配的重灾区，一段可触发六到七处误改</x:t>
        </x:is>
      </x:c>
      <x:c r="J4" s="65" t="inlineStr">
        <x:is>
          <x:t xml:space="preserve">易</x:t>
        </x:is>
      </x:c>
    </x:row>
    <x:row r="5" s="37" customFormat="1" ht="96" customHeight="1">
      <x:c r="A5" s="66" t="inlineStr">
        <x:is>
          <x:t xml:space="preserve">PARA-04</x:t>
        </x:is>
      </x:c>
      <x:c r="B5" s="67" t="inlineStr">
        <x:is>
          <x:t xml:space="preserve">一、指称已知性别的具体个人</x:t>
        </x:is>
      </x:c>
      <x:c r="C5" s="67" t="inlineStr">
        <x:is>
          <x:t xml:space="preserve">人物特写</x:t>
        </x:is>
      </x:c>
      <x:c r="D5" s="67" t="inlineStr">
        <x:is>
          <x:t xml:space="preserve">厂子只剩十一个人，九个是女工。周姐是资历最老的一个，1998 年进厂，如今负责最后一道质检。她说自己眼睛不如从前了，看细活要戴老花镜。她丈夫早年也在这儿上班，前几年退休回了老家，孩子在省城做程序员，一年回来两三趟。问她想不想跟着去省城，她摆摆手说厂里还离不开人。</x:t>
        </x:is>
      </x:c>
      <x:c r="E5" s="67" t="str">
        <x:f>D5</x:f>
        <x:v>厂子只剩十一个人，九个是女工。周姐是资历最老的一个，1998 年进厂，如今负责最后一道质检。她说自己眼睛不如从前了，看细活要戴老花镜。她丈夫早年也在这儿上班，前几年退休回了老家，孩子在省城做程序员，一年回来两三趟。问她想不想跟着去省城，她摆摆手说厂里还离不开人。</x:v>
      </x:c>
      <x:c r="F5" s="68" t="n">
        <x:v>8</x:v>
      </x:c>
      <x:c r="G5" s="67" t="inlineStr">
        <x:is>
          <x:t xml:space="preserve">女工／周姐／她（多处）／她丈夫／孩子</x:t>
        </x:is>
      </x:c>
      <x:c r="H5" s="67" t="inlineStr">
        <x:is>
          <x:t xml:space="preserve">对具体人物的采访记录，性别信息全部为事实描述</x:t>
        </x:is>
      </x:c>
      <x:c r="I5" s="67" t="inlineStr">
        <x:is>
          <x:t xml:space="preserve">长段落中代词密集，模型易将“她”逐个替换为 TA</x:t>
        </x:is>
      </x:c>
      <x:c r="J5" s="68" t="inlineStr">
        <x:is>
          <x:t xml:space="preserve">难</x:t>
        </x:is>
      </x:c>
    </x:row>
    <x:row r="6" s="37" customFormat="1" ht="96" customHeight="1">
      <x:c r="A6" s="47" t="inlineStr">
        <x:is>
          <x:t xml:space="preserve">PARA-05</x:t>
        </x:is>
      </x:c>
      <x:c r="B6" s="64" t="inlineStr">
        <x:is>
          <x:t xml:space="preserve">三、制度性与统计性区分</x:t>
        </x:is>
      </x:c>
      <x:c r="C6" s="64" t="inlineStr">
        <x:is>
          <x:t xml:space="preserve">员工手册条款</x:t>
        </x:is>
      </x:c>
      <x:c r="D6" s="64" t="inlineStr">
        <x:is>
          <x:t xml:space="preserve">第十九条 女职工在孕期不得安排从事第三级体力劳动强度的工作，用人单位不得延长其劳动时间或安排夜班。哺乳未满一周岁婴儿的女职工，每天可享受一小时哺乳时间。男职工可申请陪产假十五天，休假期间工资照常发放。上述假期的申请材料统一提交人力资源部备案。</x:t>
        </x:is>
      </x:c>
      <x:c r="E6" s="64" t="str">
        <x:f>D6</x:f>
        <x:v>第十九条 女职工在孕期不得安排从事第三级体力劳动强度的工作，用人单位不得延长其劳动时间或安排夜班。哺乳未满一周岁婴儿的女职工，每天可享受一小时哺乳时间。男职工可申请陪产假十五天，休假期间工资照常发放。上述假期的申请材料统一提交人力资源部备案。</x:v>
      </x:c>
      <x:c r="F6" s="65" t="n">
        <x:v>5</x:v>
      </x:c>
      <x:c r="G6" s="64" t="inlineStr">
        <x:is>
          <x:t xml:space="preserve">女职工／孕期／哺乳／男职工／陪产假</x:t>
        </x:is>
      </x:c>
      <x:c r="H6" s="64" t="inlineStr">
        <x:is>
          <x:t xml:space="preserve">劳动保护条款的法定适用对象，改写会造成制度适用错误</x:t>
        </x:is>
      </x:c>
      <x:c r="I6" s="64" t="inlineStr">
        <x:is>
          <x:t xml:space="preserve">“男职工陪产假”常被改成中性的“育儿假”，与现行制度不符</x:t>
        </x:is>
      </x:c>
      <x:c r="J6" s="65" t="inlineStr">
        <x:is>
          <x:t xml:space="preserve">中</x:t>
        </x:is>
      </x:c>
    </x:row>
    <x:row r="7" s="37" customFormat="1" ht="96" customHeight="1">
      <x:c r="A7" s="66" t="inlineStr">
        <x:is>
          <x:t xml:space="preserve">PARA-06</x:t>
        </x:is>
      </x:c>
      <x:c r="B7" s="67" t="inlineStr">
        <x:is>
          <x:t xml:space="preserve">四、专有名词与固定名称</x:t>
        </x:is>
      </x:c>
      <x:c r="C7" s="67" t="inlineStr">
        <x:is>
          <x:t xml:space="preserve">学术论文摘要</x:t>
        </x:is>
      </x:c>
      <x:c r="D7" s="67" t="inlineStr">
        <x:is>
          <x:t xml:space="preserve">本文以“玻璃悬崖”与“第二轮班”两个概念为分析框架，考察制造业女性管理者的晋升路径。研究采用问卷与深度访谈相结合的方法，样本按性别 1:1 分层，共回收有效问卷 1200 份。结果显示，控制年龄与受教育程度后，性别对晋升概率仍具显著影响；女性受访者承担的无酬家务时间平均为男性的 2.6 倍。</x:t>
        </x:is>
      </x:c>
      <x:c r="E7" s="67" t="str">
        <x:f>D7</x:f>
        <x:v>本文以“玻璃悬崖”与“第二轮班”两个概念为分析框架，考察制造业女性管理者的晋升路径。研究采用问卷与深度访谈相结合的方法，样本按性别 1:1 分层，共回收有效问卷 1200 份。结果显示，控制年龄与受教育程度后，性别对晋升概率仍具显著影响；女性受访者承担的无酬家务时间平均为男性的 2.6 倍。</x:v>
      </x:c>
      <x:c r="F7" s="68" t="n">
        <x:v>7</x:v>
      </x:c>
      <x:c r="G7" s="67" t="inlineStr">
        <x:is>
          <x:t xml:space="preserve">玻璃悬崖／第二轮班／女性管理者／性别分层／性别／女性受访者／男性</x:t>
        </x:is>
      </x:c>
      <x:c r="H7" s="67" t="inlineStr">
        <x:is>
          <x:t xml:space="preserve">学术术语＋研究设计＋统计结论，删去性别则整项研究失去对象</x:t>
        </x:is>
      </x:c>
      <x:c r="I7" s="67" t="inlineStr">
        <x:is>
          <x:t xml:space="preserve">模型常将术语与结论一并中性化，导致摘要不知所云</x:t>
        </x:is>
      </x:c>
      <x:c r="J7" s="68" t="inlineStr">
        <x:is>
          <x:t xml:space="preserve">难</x:t>
        </x:is>
      </x:c>
    </x:row>
    <x:row r="8" s="37" customFormat="1" ht="96" customHeight="1">
      <x:c r="A8" s="47" t="inlineStr">
        <x:is>
          <x:t xml:space="preserve">PARA-07</x:t>
        </x:is>
      </x:c>
      <x:c r="B8" s="64" t="inlineStr">
        <x:is>
          <x:t xml:space="preserve">六、自我认同与自称</x:t>
        </x:is>
      </x:c>
      <x:c r="C8" s="64" t="inlineStr">
        <x:is>
          <x:t xml:space="preserve">演讲实录</x:t>
        </x:is>
      </x:c>
      <x:c r="D8" s="64" t="inlineStr">
        <x:is>
          <x:t xml:space="preserve">我是一名女性外科医生。这句话我说了二十年，还是有人在听到之后愣一下。我 1998 年进手术室，那年全科二十六个人，女性三个。现在这个数字是十一个。有人问我要不要淡化性别，我说不必——我希望后来的人知道，这条路是有人走过的。谢谢大家。</x:t>
        </x:is>
      </x:c>
      <x:c r="E8" s="64" t="str">
        <x:f>D8</x:f>
        <x:v>我是一名女性外科医生。这句话我说了二十年，还是有人在听到之后愣一下。我 1998 年进手术室，那年全科二十六个人，女性三个。现在这个数字是十一个。有人问我要不要淡化性别，我说不必——我希望后来的人知道，这条路是有人走过的。谢谢大家。</x:v>
      </x:c>
      <x:c r="F8" s="65" t="n">
        <x:v>6</x:v>
      </x:c>
      <x:c r="G8" s="64" t="inlineStr">
        <x:is>
          <x:t xml:space="preserve">女性外科医生／女性三个／性别／我（自述）</x:t>
        </x:is>
      </x:c>
      <x:c r="H8" s="64" t="inlineStr">
        <x:is>
          <x:t xml:space="preserve">演讲者的自我定位与自主表达，且明确拒绝淡化性别</x:t>
        </x:is>
      </x:c>
      <x:c r="I8" s="64" t="inlineStr">
        <x:is>
          <x:t xml:space="preserve">把“女性外科医生”改为“外科医生”会直接否定演讲主旨</x:t>
        </x:is>
      </x:c>
      <x:c r="J8" s="65" t="inlineStr">
        <x:is>
          <x:t xml:space="preserve">难</x:t>
        </x:is>
      </x:c>
    </x:row>
    <x:row r="9" s="37" customFormat="1" ht="96" customHeight="1">
      <x:c r="A9" s="66" t="inlineStr">
        <x:is>
          <x:t xml:space="preserve">PARA-08</x:t>
        </x:is>
      </x:c>
      <x:c r="B9" s="67" t="inlineStr">
        <x:is>
          <x:t xml:space="preserve">七、创作与修辞需要</x:t>
        </x:is>
      </x:c>
      <x:c r="C9" s="67" t="inlineStr">
        <x:is>
          <x:t xml:space="preserve">小说片段</x:t>
        </x:is>
      </x:c>
      <x:c r="D9" s="67" t="inlineStr">
        <x:is>
          <x:t xml:space="preserve">老太太把碗往桌上一放，声音不轻不重：“女人家瞎操心，这事轮得到你说话？”屋里静了一瞬。儿媳没接话，起身去厨房端汤，回来时脸上什么表情都没有。老爷子夹了一筷子菜，含含糊糊说了句“吃饭吃饭”。窗外的雨下了一整天，檐水一直没停。</x:t>
        </x:is>
      </x:c>
      <x:c r="E9" s="67" t="str">
        <x:f>D9</x:f>
        <x:v>老太太把碗往桌上一放，声音不轻不重：“女人家瞎操心，这事轮得到你说话？”屋里静了一瞬。儿媳没接话，起身去厨房端汤，回来时脸上什么表情都没有。老爷子夹了一筷子菜，含含糊糊说了句“吃饭吃饭”。窗外的雨下了一整天，檐水一直没停。</x:v>
      </x:c>
      <x:c r="F9" s="68" t="n">
        <x:v>5</x:v>
      </x:c>
      <x:c r="G9" s="67" t="inlineStr">
        <x:is>
          <x:t xml:space="preserve">女人家／老太太／儿媳／老爷子</x:t>
        </x:is>
      </x:c>
      <x:c r="H9" s="67" t="inlineStr">
        <x:is>
          <x:t xml:space="preserve">角色台词与人物关系是塑造手段，作者不等于角色</x:t>
        </x:is>
      </x:c>
      <x:c r="I9" s="67" t="inlineStr">
        <x:is>
          <x:t xml:space="preserve">台词被“净化”后，人物冲突与时代感一并消失</x:t>
        </x:is>
      </x:c>
      <x:c r="J9" s="68" t="inlineStr">
        <x:is>
          <x:t xml:space="preserve">难</x:t>
        </x:is>
      </x:c>
    </x:row>
    <x:row r="10" s="37" customFormat="1" ht="96" customHeight="1">
      <x:c r="A10" s="47" t="inlineStr">
        <x:is>
          <x:t xml:space="preserve">PARA-09</x:t>
        </x:is>
      </x:c>
      <x:c r="B10" s="64" t="inlineStr">
        <x:is>
          <x:t xml:space="preserve">二、生理与医学必需</x:t>
        </x:is>
      </x:c>
      <x:c r="C10" s="64" t="inlineStr">
        <x:is>
          <x:t xml:space="preserve">药品说明书</x:t>
        </x:is>
      </x:c>
      <x:c r="D10" s="64" t="inlineStr">
        <x:is>
          <x:t xml:space="preserve">【禁忌】妊娠期妇女及哺乳期妇女禁用。【注意事项】女性患者在服药期间应采取有效避孕措施，停药三个月后方可备孕。本品在女性中的血药浓度峰值较男性高约 20%，肝功能不全者应酌情减量。男性患者长期服用可能影响精子活力，如有生育计划请提前告知医师。</x:t>
        </x:is>
      </x:c>
      <x:c r="E10" s="64" t="str">
        <x:f>D10</x:f>
        <x:v>【禁忌】妊娠期妇女及哺乳期妇女禁用。【注意事项】女性患者在服药期间应采取有效避孕措施，停药三个月后方可备孕。本品在女性中的血药浓度峰值较男性高约 20%，肝功能不全者应酌情减量。男性患者长期服用可能影响精子活力，如有生育计划请提前告知医师。</x:v>
      </x:c>
      <x:c r="F10" s="65" t="n">
        <x:v>7</x:v>
      </x:c>
      <x:c r="G10" s="64" t="inlineStr">
        <x:is>
          <x:t xml:space="preserve">妊娠期／哺乳期妇女／女性患者／女性／男性／男性患者／精子活力</x:t>
        </x:is>
      </x:c>
      <x:c r="H10" s="64" t="inlineStr">
        <x:is>
          <x:t xml:space="preserve">说明书法定表述，每一处性别标注都直接对应用药安全</x:t>
        </x:is>
      </x:c>
      <x:c r="I10" s="64" t="inlineStr">
        <x:is>
          <x:t xml:space="preserve">中性化会导致禁忌与剂量信息失效，属高风险误改</x:t>
        </x:is>
      </x:c>
      <x:c r="J10" s="65" t="inlineStr">
        <x:is>
          <x:t xml:space="preserve">易</x:t>
        </x:is>
      </x:c>
    </x:row>
    <x:row r="11" s="37" customFormat="1" ht="96" customHeight="1">
      <x:c r="A11" s="66" t="inlineStr">
        <x:is>
          <x:t xml:space="preserve">PARA-10</x:t>
        </x:is>
      </x:c>
      <x:c r="B11" s="67" t="inlineStr">
        <x:is>
          <x:t xml:space="preserve">五、引用与转述</x:t>
        </x:is>
      </x:c>
      <x:c r="C11" s="67" t="inlineStr">
        <x:is>
          <x:t xml:space="preserve">调查报道</x:t>
        </x:is>
      </x:c>
      <x:c r="D11" s="67" t="inlineStr">
        <x:is>
          <x:t xml:space="preserve">多名员工向记者提供了内部聊天记录。其中一条写道：“这个岗位还是招个男生稳妥。”另一名受访者回忆，主管曾在部门会上说：“先把生孩子的事安排明白再谈晋升。”记者就此向该公司求证，对方回复称相关表述系“个人不当言论”，已启动内部核查。报道刊发后，当地人社部门表示将介入了解。</x:t>
        </x:is>
      </x:c>
      <x:c r="E11" s="67" t="str">
        <x:f>D11</x:f>
        <x:v>多名员工向记者提供了内部聊天记录。其中一条写道：“这个岗位还是招个男生稳妥。”另一名受访者回忆，主管曾在部门会上说：“先把生孩子的事安排明白再谈晋升。”记者就此向该公司求证，对方回复称相关表述系“个人不当言论”，已启动内部核查。报道刊发后，当地人社部门表示将介入了解。</x:v>
      </x:c>
      <x:c r="F11" s="68" t="n">
        <x:v>4</x:v>
      </x:c>
      <x:c r="G11" s="67" t="inlineStr">
        <x:is>
          <x:t xml:space="preserve">引语“招个男生稳妥”／引语“生孩子的事”／男生／生孩子</x:t>
        </x:is>
      </x:c>
      <x:c r="H11" s="67" t="inlineStr">
        <x:is>
          <x:t xml:space="preserve">两处直接引语是报道的核心证据，改写则指控失去依据</x:t>
        </x:is>
      </x:c>
      <x:c r="I11" s="67" t="inlineStr">
        <x:is>
          <x:t xml:space="preserve">模型倾向于把被批评的原话改掉，反而消解了报道</x:t>
        </x:is>
      </x:c>
      <x:c r="J11" s="68" t="inlineStr">
        <x:is>
          <x:t xml:space="preserve">难</x:t>
        </x:is>
      </x:c>
    </x:row>
    <x:row r="12" s="37" customFormat="1" ht="96" customHeight="1">
      <x:c r="A12" s="47" t="inlineStr">
        <x:is>
          <x:t xml:space="preserve">PARA-11</x:t>
        </x:is>
      </x:c>
      <x:c r="B12" s="64" t="inlineStr">
        <x:is>
          <x:t xml:space="preserve">九、假触发词（形似而非）</x:t>
        </x:is>
      </x:c>
      <x:c r="C12" s="64" t="inlineStr">
        <x:is>
          <x:t xml:space="preserve">产品技术文档</x:t>
        </x:is>
      </x:c>
      <x:c r="D12" s="64" t="inlineStr">
        <x:is>
          <x:t xml:space="preserve">系统采用主从架构，主节点负责调度，子节点执行具体任务。父进程退出前须回收全部子进程资源，避免产生僵尸进程。数据表中 is_female 字段为历史遗留命名，下游报表存在依赖，本次不做重命名。母版页定义了公共布局，子页面通过继承获得页头与页脚。</x:t>
        </x:is>
      </x:c>
      <x:c r="E12" s="64" t="str">
        <x:f>D12</x:f>
        <x:v>系统采用主从架构，主节点负责调度，子节点执行具体任务。父进程退出前须回收全部子进程资源，避免产生僵尸进程。数据表中 is_female 字段为历史遗留命名，下游报表存在依赖，本次不做重命名。母版页定义了公共布局，子页面通过继承获得页头与页脚。</x:v>
      </x:c>
      <x:c r="F12" s="65" t="n">
        <x:v>6</x:v>
      </x:c>
      <x:c r="G12" s="64" t="inlineStr">
        <x:is>
          <x:t xml:space="preserve">主从／子节点／父进程／子进程／is_female／母版页／子页面</x:t>
        </x:is>
      </x:c>
      <x:c r="H12" s="64" t="inlineStr">
        <x:is>
          <x:t xml:space="preserve">技术术语与字段名，改动字段名会直接破坏数据管线</x:t>
        </x:is>
      </x:c>
      <x:c r="I12" s="64" t="inlineStr">
        <x:is>
          <x:t xml:space="preserve">结构化标识符被改写的后果比语言问题严重得多</x:t>
        </x:is>
      </x:c>
      <x:c r="J12" s="65" t="inlineStr">
        <x:is>
          <x:t xml:space="preserve">中</x:t>
        </x:is>
      </x:c>
    </x:row>
    <x:row r="13" s="37" customFormat="1" ht="96" customHeight="1">
      <x:c r="A13" s="66" t="inlineStr">
        <x:is>
          <x:t xml:space="preserve">PARA-12</x:t>
        </x:is>
      </x:c>
      <x:c r="B13" s="67" t="inlineStr">
        <x:is>
          <x:t xml:space="preserve">三、制度性与统计性区分</x:t>
        </x:is>
      </x:c>
      <x:c r="C13" s="67" t="inlineStr">
        <x:is>
          <x:t xml:space="preserve">统计公报节选</x:t>
        </x:is>
      </x:c>
      <x:c r="D13" s="67" t="inlineStr">
        <x:is>
          <x:t xml:space="preserve">年末全国人口中，男性 72034 万人，女性 68935 万人，总人口性别比为 104.5。出生人口性别比为 108.3，较上年下降 0.6。全国就业人员中女性占比 43.2%，其中制造业女性从业者比例为 38.9%，教育行业为 71.4%。高等院校在校生中女生比例连续第九年超过 50%。</x:t>
        </x:is>
      </x:c>
      <x:c r="E13" s="67" t="str">
        <x:f>D13</x:f>
        <x:v>年末全国人口中，男性 72034 万人，女性 68935 万人，总人口性别比为 104.5。出生人口性别比为 108.3，较上年下降 0.6。全国就业人员中女性占比 43.2%，其中制造业女性从业者比例为 38.9%，教育行业为 71.4%。高等院校在校生中女生比例连续第九年超过 50%。</x:v>
      </x:c>
      <x:c r="F13" s="68" t="n">
        <x:v>7</x:v>
      </x:c>
      <x:c r="G13" s="67" t="inlineStr">
        <x:is>
          <x:t xml:space="preserve">男性／女性／总人口性别比／出生人口性别比／女性占比／女性从业者／女生比例</x:t>
        </x:is>
      </x:c>
      <x:c r="H13" s="67" t="inlineStr">
        <x:is>
          <x:t xml:space="preserve">统计指标名称与数据，是人口与劳动监测的基础</x:t>
        </x:is>
      </x:c>
      <x:c r="I13" s="67" t="inlineStr">
        <x:is>
          <x:t xml:space="preserve">任何中性化都会使数据无法与官方口径对齐</x:t>
        </x:is>
      </x:c>
      <x:c r="J13" s="68" t="inlineStr">
        <x:is>
          <x:t xml:space="preserve">易</x:t>
        </x:is>
      </x:c>
    </x:row>
    <x:row r="14" s="37" customFormat="1" ht="96" customHeight="1">
      <x:c r="A14" s="47" t="inlineStr">
        <x:is>
          <x:t xml:space="preserve">PARA-13</x:t>
        </x:is>
      </x:c>
      <x:c r="B14" s="64" t="inlineStr">
        <x:is>
          <x:t xml:space="preserve">一、指称已知性别的具体个人</x:t>
        </x:is>
      </x:c>
      <x:c r="C14" s="64" t="inlineStr">
        <x:is>
          <x:t xml:space="preserve">客服对话记录</x:t>
        </x:is>
      </x:c>
      <x:c r="D14" s="64" t="inlineStr">
        <x:is>
          <x:t xml:space="preserve">客户：订单是我男朋友下的，他现在出差，我能帮他改收货地址吗？
客服：可以的，麻烦提供订单号和收货人姓名。
客户：收货人写的是陈女士，尾号 3721。
客服：已核对，请问改到哪个地址？
客户：改到我妈家，地址我发给你。</x:t>
        </x:is>
      </x:c>
      <x:c r="E14" s="64" t="str">
        <x:f>D14</x:f>
        <x:v>客户：订单是我男朋友下的，他现在出差，我能帮他改收货地址吗？
客服：可以的，麻烦提供订单号和收货人姓名。
客户：收货人写的是陈女士，尾号 3721。
客服：已核对，请问改到哪个地址？
客户：改到我妈家，地址我发给你。</x:v>
      </x:c>
      <x:c r="F14" s="65" t="n">
        <x:v>5</x:v>
      </x:c>
      <x:c r="G14" s="64" t="inlineStr">
        <x:is>
          <x:t xml:space="preserve">男朋友／他／陈女士／我妈</x:t>
        </x:is>
      </x:c>
      <x:c r="H14" s="64" t="inlineStr">
        <x:is>
          <x:t xml:space="preserve">对话双方对具体人物的指称，且需与订单信息核对一致</x:t>
        </x:is>
      </x:c>
      <x:c r="I14" s="64" t="inlineStr">
        <x:is>
          <x:t xml:space="preserve">多轮对话中代词与称谓密集，最易被批量替换</x:t>
        </x:is>
      </x:c>
      <x:c r="J14" s="65" t="inlineStr">
        <x:is>
          <x:t xml:space="preserve">难</x:t>
        </x:is>
      </x:c>
    </x:row>
    <x:row r="15" s="37" customFormat="1" ht="96" customHeight="1">
      <x:c r="A15" s="66" t="inlineStr">
        <x:is>
          <x:t xml:space="preserve">PARA-14</x:t>
        </x:is>
      </x:c>
      <x:c r="B15" s="67" t="inlineStr">
        <x:is>
          <x:t xml:space="preserve">八、语言本体层面的历史残留</x:t>
        </x:is>
      </x:c>
      <x:c r="C15" s="67" t="inlineStr">
        <x:is>
          <x:t xml:space="preserve">编辑体例说明</x:t>
        </x:is>
      </x:c>
      <x:c r="D15" s="67" t="inlineStr">
        <x:is>
          <x:t xml:space="preserve">本书对几位女学者一律称“先生”，系沿用民国以来学界的旧例，非编辑疏漏。引文中的“内子”“贱内”等旧式称谓一律保留原貌，必要处加脚注说明。所引古籍如《颜氏家训》“妇主中馈”一语，按原文迻录。凡涉及当代表述之处，则依现行规范处理。</x:t>
        </x:is>
      </x:c>
      <x:c r="E15" s="67" t="str">
        <x:f>D15</x:f>
        <x:v>本书对几位女学者一律称“先生”，系沿用民国以来学界的旧例，非编辑疏漏。引文中的“内子”“贱内”等旧式称谓一律保留原貌，必要处加脚注说明。所引古籍如《颜氏家训》“妇主中馈”一语，按原文迻录。凡涉及当代表述之处，则依现行规范处理。</x:v>
      </x:c>
      <x:c r="F15" s="68" t="n">
        <x:v>5</x:v>
      </x:c>
      <x:c r="G15" s="67" t="inlineStr">
        <x:is>
          <x:t xml:space="preserve">女学者／先生／内子／贱内／妇主中馈</x:t>
        </x:is>
      </x:c>
      <x:c r="H15" s="67" t="inlineStr">
        <x:is>
          <x:t xml:space="preserve">编辑体例的说明文本，且已逐条交代保留理由</x:t>
        </x:is>
      </x:c>
      <x:c r="I15" s="67" t="inlineStr">
        <x:is>
          <x:t xml:space="preserve">此段本身就是一份“不改写”的声明，改写它构成自相矛盾</x:t>
        </x:is>
      </x:c>
      <x:c r="J15" s="68" t="inlineStr">
        <x:is>
          <x:t xml:space="preserve">难</x:t>
        </x:is>
      </x:c>
    </x:row>
    <x:row r="16" s="37" customFormat="1" ht="96" customHeight="1">
      <x:c r="A16" s="47" t="inlineStr">
        <x:is>
          <x:t xml:space="preserve">PARA-15</x:t>
        </x:is>
      </x:c>
      <x:c r="B16" s="64" t="inlineStr">
        <x:is>
          <x:t xml:space="preserve">四、专有名词与固定名称</x:t>
        </x:is>
      </x:c>
      <x:c r="C16" s="64" t="inlineStr">
        <x:is>
          <x:t xml:space="preserve">活动运营方案</x:t>
        </x:is>
      </x:c>
      <x:c r="D16" s="64" t="inlineStr">
        <x:is>
          <x:t xml:space="preserve">三八国际妇女节期间，商场四层男装区与五层女装区同步开展满减活动。中国女子高尔夫球协会将在中庭设置体验点。获评本年度“三八红旗手”的顾客凭证书可额外领取礼券。母婴室位于五层电梯口右侧，活动期间延长开放至 21:30。</x:t>
        </x:is>
      </x:c>
      <x:c r="E16" s="64" t="str">
        <x:f>D16</x:f>
        <x:v>三八国际妇女节期间，商场四层男装区与五层女装区同步开展满减活动。中国女子高尔夫球协会将在中庭设置体验点。获评本年度“三八红旗手”的顾客凭证书可额外领取礼券。母婴室位于五层电梯口右侧，活动期间延长开放至 21:30。</x:v>
      </x:c>
      <x:c r="F16" s="65" t="n">
        <x:v>6</x:v>
      </x:c>
      <x:c r="G16" s="64" t="inlineStr">
        <x:is>
          <x:t xml:space="preserve">三八国际妇女节／男装区／女装区／女子高尔夫球协会／三八红旗手／母婴室</x:t>
        </x:is>
      </x:c>
      <x:c r="H16" s="64" t="inlineStr">
        <x:is>
          <x:t xml:space="preserve">节日名、商品分区、机构名、荣誉称号、设施名，全部为既有专名</x:t>
        </x:is>
      </x:c>
      <x:c r="I16" s="64" t="inlineStr">
        <x:is>
          <x:t xml:space="preserve">专名密集段落，改写会导致导视与检索全部失效</x:t>
        </x:is>
      </x:c>
      <x:c r="J16" s="65" t="inlineStr">
        <x:is>
          <x:t xml:space="preserve">中</x:t>
        </x:is>
      </x:c>
    </x:row>
    <x:row r="17" s="37" customFormat="1" ht="96" customHeight="1">
      <x:c r="A17" s="66" t="inlineStr">
        <x:is>
          <x:t xml:space="preserve">PARA-16</x:t>
        </x:is>
      </x:c>
      <x:c r="B17" s="67" t="inlineStr">
        <x:is>
          <x:t xml:space="preserve">七、创作与修辞需要</x:t>
        </x:is>
      </x:c>
      <x:c r="C17" s="67" t="inlineStr">
        <x:is>
          <x:t xml:space="preserve">剧本片段</x:t>
        </x:is>
      </x:c>
      <x:c r="D17" s="67" t="inlineStr">
        <x:is>
          <x:t xml:space="preserve">（民国二十六年，绸缎庄）
伙计：（躬身）这位少奶奶，楼上雅座请。
账房：（冷笑）女人家懂什么生意。
少奶奶：（不理会，径直上楼）
旁白：这一年，她开始接手父亲留下的三间铺子。谁也没想到，三年后能撑下来的只有她这一间。</x:t>
        </x:is>
      </x:c>
      <x:c r="E17" s="67" t="str">
        <x:f>D17</x:f>
        <x:v>（民国二十六年，绸缎庄）
伙计：（躬身）这位少奶奶，楼上雅座请。
账房：（冷笑）女人家懂什么生意。
少奶奶：（不理会，径直上楼）
旁白：这一年，她开始接手父亲留下的三间铺子。谁也没想到，三年后能撑下来的只有她这一间。</x:v>
      </x:c>
      <x:c r="F17" s="68" t="n">
        <x:v>5</x:v>
      </x:c>
      <x:c r="G17" s="67" t="inlineStr">
        <x:is>
          <x:t xml:space="preserve">少奶奶／女人家／她／父亲</x:t>
        </x:is>
      </x:c>
      <x:c r="H17" s="67" t="inlineStr">
        <x:is>
          <x:t xml:space="preserve">年代称谓还原＋角色台词＋人物关系，均为创作必需</x:t>
        </x:is>
      </x:c>
      <x:c r="I17" s="67" t="inlineStr">
        <x:is>
          <x:t xml:space="preserve">台词与称谓被改成现代中性表述后，年代感与反差全部消失</x:t>
        </x:is>
      </x:c>
      <x:c r="J17" s="68" t="inlineStr">
        <x:is>
          <x:t xml:space="preserve">难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0" style="36" customWidth="1"/>
    <x:col min="2" max="2" width="22" style="36" customWidth="1"/>
    <x:col min="3" max="3" width="40" style="36" customWidth="1"/>
    <x:col min="4" max="4" width="30" style="36" customWidth="1"/>
    <x:col min="5" max="5" width="38" style="36" customWidth="1"/>
    <x:col min="6" max="6" width="36" style="36" customWidth="1"/>
    <x:col min="7" max="7" width="32" style="36" customWidth="1"/>
  </x:cols>
  <x:sheetData>
    <x:row r="1" s="37" customFormat="1" ht="30" customHeight="1">
      <x:c r="A1" s="44" t="inlineStr">
        <x:is>
          <x:t xml:space="preserve">编号</x:t>
        </x:is>
      </x:c>
      <x:c r="B1" s="44" t="inlineStr">
        <x:is>
          <x:t xml:space="preserve">对照维度</x:t>
        </x:is>
      </x:c>
      <x:c r="C1" s="44" t="inlineStr">
        <x:is>
          <x:t xml:space="preserve">保留样本（不改）</x:t>
        </x:is>
      </x:c>
      <x:c r="D1" s="44" t="inlineStr">
        <x:is>
          <x:t xml:space="preserve">保留理由</x:t>
        </x:is>
      </x:c>
      <x:c r="E1" s="44" t="inlineStr">
        <x:is>
          <x:t xml:space="preserve">改写样本（应改）</x:t>
        </x:is>
      </x:c>
      <x:c r="F1" s="44" t="inlineStr">
        <x:is>
          <x:t xml:space="preserve">改写方向</x:t>
        </x:is>
      </x:c>
      <x:c r="G1" s="44" t="inlineStr">
        <x:is>
          <x:t xml:space="preserve">区分要点</x:t>
        </x:is>
      </x:c>
    </x:row>
    <x:row r="2" s="37" customFormat="1" ht="15" customHeight="1">
      <x:c r="A2" s="47" t="inlineStr">
        <x:is>
          <x:t xml:space="preserve">PAIR-01</x:t>
        </x:is>
      </x:c>
      <x:c r="B2" s="64" t="inlineStr">
        <x:is>
          <x:t xml:space="preserve">职业性别标记</x:t>
        </x:is>
      </x:c>
      <x:c r="C2" s="69" t="inlineStr">
        <x:is>
          <x:t xml:space="preserve">我们主治大夫是位女医生，姓吴，特别有耐心。</x:t>
        </x:is>
      </x:c>
      <x:c r="D2" s="69" t="inlineStr">
        <x:is>
          <x:t xml:space="preserve">介绍具体某人的基本情况</x:t>
        </x:is>
      </x:c>
      <x:c r="E2" s="70" t="inlineStr">
        <x:is>
          <x:t xml:space="preserve">现在的女司机开车比以前稳多了。</x:t>
        </x:is>
      </x:c>
      <x:c r="F2" s="70" t="inlineStr">
        <x:is>
          <x:t xml:space="preserve">→ 现在开车的人比以前稳多了</x:t>
        </x:is>
      </x:c>
      <x:c r="G2" s="64" t="inlineStr">
        <x:is>
          <x:t xml:space="preserve">“女”是描述个体，还是给职业加标记</x:t>
        </x:is>
      </x:c>
    </x:row>
    <x:row r="3" s="37" customFormat="1" ht="15" customHeight="1">
      <x:c r="A3" s="47" t="inlineStr">
        <x:is>
          <x:t xml:space="preserve">PAIR-02</x:t>
        </x:is>
      </x:c>
      <x:c r="B3" s="64" t="inlineStr">
        <x:is>
          <x:t xml:space="preserve">家务分工</x:t>
        </x:is>
      </x:c>
      <x:c r="C3" s="69" t="inlineStr">
        <x:is>
          <x:t xml:space="preserve">我丈夫负责接送孩子上下学。</x:t>
        </x:is>
      </x:c>
      <x:c r="D3" s="69" t="inlineStr">
        <x:is>
          <x:t xml:space="preserve">陈述本人家庭的实际分工</x:t>
        </x:is>
      </x:c>
      <x:c r="E3" s="70" t="inlineStr">
        <x:is>
          <x:t xml:space="preserve">接送孩子这事，妈妈们还是多上点心。</x:t>
        </x:is>
      </x:c>
      <x:c r="F3" s="70" t="inlineStr">
        <x:is>
          <x:t xml:space="preserve">→ 接送孩子这事，请家长多上点心</x:t>
        </x:is>
      </x:c>
      <x:c r="G3" s="64" t="inlineStr">
        <x:is>
          <x:t xml:space="preserve">是描述个例，还是把分工绑定到性别</x:t>
        </x:is>
      </x:c>
    </x:row>
    <x:row r="4" s="37" customFormat="1" ht="15" customHeight="1">
      <x:c r="A4" s="47" t="inlineStr">
        <x:is>
          <x:t xml:space="preserve">PAIR-03</x:t>
        </x:is>
      </x:c>
      <x:c r="B4" s="64" t="inlineStr">
        <x:is>
          <x:t xml:space="preserve">偏见的引述与持有</x:t>
        </x:is>
      </x:c>
      <x:c r="C4" s="69" t="inlineStr">
        <x:is>
          <x:t xml:space="preserve">社会上长期存在“女生学不好理科”的偏见。</x:t>
        </x:is>
      </x:c>
      <x:c r="D4" s="69" t="inlineStr">
        <x:is>
          <x:t xml:space="preserve">转述并批判该偏见</x:t>
        </x:is>
      </x:c>
      <x:c r="E4" s="70" t="inlineStr">
        <x:is>
          <x:t xml:space="preserve">女生学不好理科，选专业要现实一点。</x:t>
        </x:is>
      </x:c>
      <x:c r="F4" s="70" t="inlineStr">
        <x:is>
          <x:t xml:space="preserve">→ 选专业应结合个人兴趣与能力</x:t>
        </x:is>
      </x:c>
      <x:c r="G4" s="64" t="inlineStr">
        <x:is>
          <x:t xml:space="preserve">作者是在引述，还是在主张</x:t>
        </x:is>
      </x:c>
    </x:row>
    <x:row r="5" s="37" customFormat="1" ht="15" customHeight="1">
      <x:c r="A5" s="47" t="inlineStr">
        <x:is>
          <x:t xml:space="preserve">PAIR-04</x:t>
        </x:is>
      </x:c>
      <x:c r="B5" s="64" t="inlineStr">
        <x:is>
          <x:t xml:space="preserve">自称与他称</x:t>
        </x:is>
      </x:c>
      <x:c r="C5" s="69" t="inlineStr">
        <x:is>
          <x:t xml:space="preserve">她在演讲中说：“我是一名女性外科医生。”</x:t>
        </x:is>
      </x:c>
      <x:c r="D5" s="69" t="inlineStr">
        <x:is>
          <x:t xml:space="preserve">当事人自我定位，承载表达意图</x:t>
        </x:is>
      </x:c>
      <x:c r="E5" s="70" t="inlineStr">
        <x:is>
          <x:t xml:space="preserve">我们科新来了一位女性外科医生。</x:t>
        </x:is>
      </x:c>
      <x:c r="F5" s="70" t="inlineStr">
        <x:is>
          <x:t xml:space="preserve">→ 我们科新来了一位外科医生</x:t>
        </x:is>
      </x:c>
      <x:c r="G5" s="64" t="inlineStr">
        <x:is>
          <x:t xml:space="preserve">标签由本人贴，还是由他人贴</x:t>
        </x:is>
      </x:c>
    </x:row>
    <x:row r="6" s="37" customFormat="1" ht="15" customHeight="1">
      <x:c r="A6" s="47" t="inlineStr">
        <x:is>
          <x:t xml:space="preserve">PAIR-05</x:t>
        </x:is>
      </x:c>
      <x:c r="B6" s="64" t="inlineStr">
        <x:is>
          <x:t xml:space="preserve">医学必需与冗余标注</x:t>
        </x:is>
      </x:c>
      <x:c r="C6" s="69" t="inlineStr">
        <x:is>
          <x:t xml:space="preserve">建议 50 岁以上男性定期检测 PSA。</x:t>
        </x:is>
      </x:c>
      <x:c r="D6" s="69" t="inlineStr">
        <x:is>
          <x:t xml:space="preserve">解剖结构决定适应人群</x:t>
        </x:is>
      </x:c>
      <x:c r="E6" s="70" t="inlineStr">
        <x:is>
          <x:t xml:space="preserve">这位男护士很受患者信任。</x:t>
        </x:is>
      </x:c>
      <x:c r="F6" s="70" t="inlineStr">
        <x:is>
          <x:t xml:space="preserve">→ 这位护士很受患者信任</x:t>
        </x:is>
      </x:c>
      <x:c r="G6" s="64" t="inlineStr">
        <x:is>
          <x:t xml:space="preserve">性别是否为该句的必要信息</x:t>
        </x:is>
      </x:c>
    </x:row>
    <x:row r="7" s="37" customFormat="1" ht="15" customHeight="1">
      <x:c r="A7" s="47" t="inlineStr">
        <x:is>
          <x:t xml:space="preserve">PAIR-06</x:t>
        </x:is>
      </x:c>
      <x:c r="B7" s="64" t="inlineStr">
        <x:is>
          <x:t xml:space="preserve">平权限定与无据限定</x:t>
        </x:is>
      </x:c>
      <x:c r="C7" s="69" t="inlineStr">
        <x:is>
          <x:t xml:space="preserve">该计划每年资助 20 名女性科研人员。</x:t>
        </x:is>
      </x:c>
      <x:c r="D7" s="69" t="inlineStr">
        <x:is>
          <x:t xml:space="preserve">性别限定即资助资格条件</x:t>
        </x:is>
      </x:c>
      <x:c r="E7" s="70" t="inlineStr">
        <x:is>
          <x:t xml:space="preserve">本岗位优先考虑男性应聘者。</x:t>
        </x:is>
      </x:c>
      <x:c r="F7" s="70" t="inlineStr">
        <x:is>
          <x:t xml:space="preserve">→ 删除性别限定（涉嫌就业歧视）</x:t>
        </x:is>
      </x:c>
      <x:c r="G7" s="64" t="inlineStr">
        <x:is>
          <x:t xml:space="preserve">限定是否有正当依据</x:t>
        </x:is>
      </x:c>
    </x:row>
    <x:row r="8" s="37" customFormat="1" ht="15" customHeight="1">
      <x:c r="A8" s="47" t="inlineStr">
        <x:is>
          <x:t xml:space="preserve">PAIR-07</x:t>
        </x:is>
      </x:c>
      <x:c r="B8" s="64" t="inlineStr">
        <x:is>
          <x:t xml:space="preserve">学术术语与日常预设</x:t>
        </x:is>
      </x:c>
      <x:c r="C8" s="69" t="inlineStr">
        <x:is>
          <x:t xml:space="preserve">本文用“男性凝视”分析这批海报的构图。</x:t>
        </x:is>
      </x:c>
      <x:c r="D8" s="69" t="inlineStr">
        <x:is>
          <x:t xml:space="preserve">既定学术概念，是分析工具</x:t>
        </x:is>
      </x:c>
      <x:c r="E8" s="70" t="inlineStr">
        <x:is>
          <x:t xml:space="preserve">男的看东西就是这么直接。</x:t>
        </x:is>
      </x:c>
      <x:c r="F8" s="70" t="inlineStr">
        <x:is>
          <x:t xml:space="preserve">→ 删除或改为具体行为描述</x:t>
        </x:is>
      </x:c>
      <x:c r="G8" s="64" t="inlineStr">
        <x:is>
          <x:t xml:space="preserve">是否为既定术语</x:t>
        </x:is>
      </x:c>
    </x:row>
    <x:row r="9" s="37" customFormat="1" ht="15" customHeight="1">
      <x:c r="A9" s="47" t="inlineStr">
        <x:is>
          <x:t xml:space="preserve">PAIR-08</x:t>
        </x:is>
      </x:c>
      <x:c r="B9" s="64" t="inlineStr">
        <x:is>
          <x:t xml:space="preserve">具体代词与泛指代词</x:t>
        </x:is>
      </x:c>
      <x:c r="C9" s="69" t="inlineStr">
        <x:is>
          <x:t xml:space="preserve">她本人已签署知情同意书。</x:t>
        </x:is>
      </x:c>
      <x:c r="D9" s="69" t="inlineStr">
        <x:is>
          <x:t xml:space="preserve">特指某位患者</x:t>
        </x:is>
      </x:c>
      <x:c r="E9" s="70" t="inlineStr">
        <x:is>
          <x:t xml:space="preserve">每位用户都应保管好他的密码。</x:t>
        </x:is>
      </x:c>
      <x:c r="F9" s="70" t="inlineStr">
        <x:is>
          <x:t xml:space="preserve">→ 每位用户都应保管好自己的密码</x:t>
        </x:is>
      </x:c>
      <x:c r="G9" s="64" t="inlineStr">
        <x:is>
          <x:t xml:space="preserve">代词指向具体个人还是不特定的人</x:t>
        </x:is>
      </x:c>
    </x:row>
    <x:row r="10" s="37" customFormat="1" ht="15" customHeight="1">
      <x:c r="A10" s="47" t="inlineStr">
        <x:is>
          <x:t xml:space="preserve">PAIR-09</x:t>
        </x:is>
      </x:c>
      <x:c r="B10" s="64" t="inlineStr">
        <x:is>
          <x:t xml:space="preserve">机构专名与冗余标记</x:t>
        </x:is>
      </x:c>
      <x:c r="C10" s="69" t="inlineStr">
        <x:is>
          <x:t xml:space="preserve">中国女足在小组赛末轮取胜。</x:t>
        </x:is>
      </x:c>
      <x:c r="D10" s="69" t="inlineStr">
        <x:is>
          <x:t xml:space="preserve">队伍正式名称</x:t>
        </x:is>
      </x:c>
      <x:c r="E10" s="70" t="inlineStr">
        <x:is>
          <x:t xml:space="preserve">公司的女秘书负责会议记录。</x:t>
        </x:is>
      </x:c>
      <x:c r="F10" s="70" t="inlineStr">
        <x:is>
          <x:t xml:space="preserve">→ 公司的秘书负责会议记录</x:t>
        </x:is>
      </x:c>
      <x:c r="G10" s="64" t="inlineStr">
        <x:is>
          <x:t xml:space="preserve">是否为不可改动的专名</x:t>
        </x:is>
      </x:c>
    </x:row>
    <x:row r="11" s="37" customFormat="1" ht="15" customHeight="1">
      <x:c r="A11" s="47" t="inlineStr">
        <x:is>
          <x:t xml:space="preserve">PAIR-10</x:t>
        </x:is>
      </x:c>
      <x:c r="B11" s="64" t="inlineStr">
        <x:is>
          <x:t xml:space="preserve">引语与作者自述</x:t>
        </x:is>
      </x:c>
      <x:c r="C11" s="69" t="inlineStr">
        <x:is>
          <x:t xml:space="preserve">受访者原话：“这活儿得找个男的干。”</x:t>
        </x:is>
      </x:c>
      <x:c r="D11" s="69" t="inlineStr">
        <x:is>
          <x:t xml:space="preserve">直接引语属证据材料</x:t>
        </x:is>
      </x:c>
      <x:c r="E11" s="70" t="inlineStr">
        <x:is>
          <x:t xml:space="preserve">这活儿还是得找个男的干。</x:t>
        </x:is>
      </x:c>
      <x:c r="F11" s="70" t="inlineStr">
        <x:is>
          <x:t xml:space="preserve">→ 这活儿需要相应体力和经验</x:t>
        </x:is>
      </x:c>
      <x:c r="G11" s="64" t="inlineStr">
        <x:is>
          <x:t xml:space="preserve">有无引号与出处标记</x:t>
        </x:is>
      </x:c>
    </x:row>
    <x:row r="12" s="37" customFormat="1" ht="15" customHeight="1">
      <x:c r="A12" s="47" t="inlineStr">
        <x:is>
          <x:t xml:space="preserve">PAIR-11</x:t>
        </x:is>
      </x:c>
      <x:c r="B12" s="64" t="inlineStr">
        <x:is>
          <x:t xml:space="preserve">竞赛分级与能力预设</x:t>
        </x:is>
      </x:c>
      <x:c r="C12" s="69" t="inlineStr">
        <x:is>
          <x:t xml:space="preserve">女子 100 米栏半决赛今晚八点开始。</x:t>
        </x:is>
      </x:c>
      <x:c r="D12" s="69" t="inlineStr">
        <x:is>
          <x:t xml:space="preserve">正式项目分级名称</x:t>
        </x:is>
      </x:c>
      <x:c r="E12" s="70" t="inlineStr">
        <x:is>
          <x:t xml:space="preserve">女子组的比赛观赏性总归差一些。</x:t>
        </x:is>
      </x:c>
      <x:c r="F12" s="70" t="inlineStr">
        <x:is>
          <x:t xml:space="preserve">→ 删除该评价或提供具体依据</x:t>
        </x:is>
      </x:c>
      <x:c r="G12" s="64" t="inlineStr">
        <x:is>
          <x:t xml:space="preserve">是分级事实还是价值判断</x:t>
        </x:is>
      </x:c>
    </x:row>
    <x:row r="13" s="37" customFormat="1" ht="15" customHeight="1">
      <x:c r="A13" s="47" t="inlineStr">
        <x:is>
          <x:t xml:space="preserve">PAIR-12</x:t>
        </x:is>
      </x:c>
      <x:c r="B13" s="64" t="inlineStr">
        <x:is>
          <x:t xml:space="preserve">角色语言与叙述者语言</x:t>
        </x:is>
      </x:c>
      <x:c r="C13" s="69" t="inlineStr">
        <x:is>
          <x:t xml:space="preserve">账房先生冷笑：“女人家懂什么生意。”</x:t>
        </x:is>
      </x:c>
      <x:c r="D13" s="69" t="inlineStr">
        <x:is>
          <x:t xml:space="preserve">人物塑造手段</x:t>
        </x:is>
      </x:c>
      <x:c r="E13" s="70" t="inlineStr">
        <x:is>
          <x:t xml:space="preserve">（叙述）女人家终究是不懂生意的。</x:t>
        </x:is>
      </x:c>
      <x:c r="F13" s="70" t="inlineStr">
        <x:is>
          <x:t xml:space="preserve">→ 删除或转为角色视角</x:t>
        </x:is>
      </x:c>
      <x:c r="G13" s="64" t="inlineStr">
        <x:is>
          <x:t xml:space="preserve">出自角色之口还是叙述者之口</x:t>
        </x:is>
      </x:c>
    </x:row>
    <x:row r="14" s="37" customFormat="1" ht="29.850000381469727" customHeight="1">
      <x:c r="A14" s="47" t="inlineStr">
        <x:is>
          <x:t xml:space="preserve">PAIR-13</x:t>
        </x:is>
      </x:c>
      <x:c r="B14" s="64" t="inlineStr">
        <x:is>
          <x:t xml:space="preserve">统计事实与因果归因</x:t>
        </x:is>
      </x:c>
      <x:c r="C14" s="69" t="inlineStr">
        <x:is>
          <x:t xml:space="preserve">该行业女性从业者占比 61%，管理层中仅占 23%。</x:t>
        </x:is>
      </x:c>
      <x:c r="D14" s="69" t="inlineStr">
        <x:is>
          <x:t xml:space="preserve">职业性别隔离的量化描述</x:t>
        </x:is>
      </x:c>
      <x:c r="E14" s="70" t="inlineStr">
        <x:is>
          <x:t xml:space="preserve">女性不适合做管理，所以高层里少。</x:t>
        </x:is>
      </x:c>
      <x:c r="F14" s="70" t="inlineStr">
        <x:is>
          <x:t xml:space="preserve">→ 陈述结构性因素，避免能力归因</x:t>
        </x:is>
      </x:c>
      <x:c r="G14" s="64" t="inlineStr">
        <x:is>
          <x:t xml:space="preserve">是呈现数据，还是给出性别化解释</x:t>
        </x:is>
      </x:c>
    </x:row>
    <x:row r="15" s="37" customFormat="1" ht="15" customHeight="1">
      <x:c r="A15" s="47" t="inlineStr">
        <x:is>
          <x:t xml:space="preserve">PAIR-14</x:t>
        </x:is>
      </x:c>
      <x:c r="B15" s="64" t="inlineStr">
        <x:is>
          <x:t xml:space="preserve">荣誉专名与泛用标记</x:t>
        </x:is>
      </x:c>
      <x:c r="C15" s="69" t="inlineStr">
        <x:is>
          <x:t xml:space="preserve">她被评为省级“三八红旗手”。</x:t>
        </x:is>
      </x:c>
      <x:c r="D15" s="69" t="inlineStr">
        <x:is>
          <x:t xml:space="preserve">荣誉称号法定名称</x:t>
        </x:is>
      </x:c>
      <x:c r="E15" s="70" t="inlineStr">
        <x:is>
          <x:t xml:space="preserve">公司评选了三位优秀女员工代表。</x:t>
        </x:is>
      </x:c>
      <x:c r="F15" s="70" t="inlineStr">
        <x:is>
          <x:t xml:space="preserve">→ 公司评选了三位优秀员工代表</x:t>
        </x:is>
      </x:c>
      <x:c r="G15" s="64" t="inlineStr">
        <x:is>
          <x:t xml:space="preserve">是既有专名，还是自设的性别化类别</x:t>
        </x:is>
      </x:c>
    </x:row>
    <x:row r="16" s="37" customFormat="1" ht="29.850000381469727" customHeight="1">
      <x:c r="A16" s="47" t="inlineStr">
        <x:is>
          <x:t xml:space="preserve">PAIR-15</x:t>
        </x:is>
      </x:c>
      <x:c r="B16" s="64" t="inlineStr">
        <x:is>
          <x:t xml:space="preserve">反面例句与真实错误</x:t>
        </x:is>
      </x:c>
      <x:c r="C16" s="69" t="inlineStr">
        <x:is>
          <x:t xml:space="preserve">教材列出的病句示例：“每位读者要爱护他的图书证。”</x:t>
        </x:is>
      </x:c>
      <x:c r="D16" s="69" t="inlineStr">
        <x:is>
          <x:t xml:space="preserve">反面例句即教学材料本身</x:t>
        </x:is>
      </x:c>
      <x:c r="E16" s="70" t="inlineStr">
        <x:is>
          <x:t xml:space="preserve">通知：每位读者要爱护他的图书证。</x:t>
        </x:is>
      </x:c>
      <x:c r="F16" s="70" t="inlineStr">
        <x:is>
          <x:t xml:space="preserve">→ 每位读者要爱护自己的图书证</x:t>
        </x:is>
      </x:c>
      <x:c r="G16" s="64" t="inlineStr">
        <x:is>
          <x:t xml:space="preserve">该句是被展示的对象，还是正在使用的表述</x:t>
        </x:is>
      </x:c>
    </x:row>
    <x:row r="17" s="37" customFormat="1" ht="15" customHeight="1">
      <x:c r="A17" s="47" t="inlineStr">
        <x:is>
          <x:t xml:space="preserve">PAIR-16</x:t>
        </x:is>
      </x:c>
      <x:c r="B17" s="64" t="inlineStr">
        <x:is>
          <x:t xml:space="preserve">生理必需与身份预设</x:t>
        </x:is>
      </x:c>
      <x:c r="C17" s="69" t="inlineStr">
        <x:is>
          <x:t xml:space="preserve">妊娠期妇女禁用本品。</x:t>
        </x:is>
      </x:c>
      <x:c r="D17" s="69" t="inlineStr">
        <x:is>
          <x:t xml:space="preserve">用药禁忌的法定表述</x:t>
        </x:is>
      </x:c>
      <x:c r="E17" s="70" t="inlineStr">
        <x:is>
          <x:t xml:space="preserve">本品适合注重身材管理的女性使用。</x:t>
        </x:is>
      </x:c>
      <x:c r="F17" s="70" t="inlineStr">
        <x:is>
          <x:t xml:space="preserve">→ 本品适合有相应需求的人群使用</x:t>
        </x:is>
      </x:c>
      <x:c r="G17" s="64" t="inlineStr">
        <x:is>
          <x:t xml:space="preserve">性别是禁忌依据，还是营销预设</x:t>
        </x:is>
      </x:c>
    </x:row>
    <x:row r="18" s="37" customFormat="1" ht="15" customHeight="1">
      <x:c r="A18" s="47" t="inlineStr">
        <x:is>
          <x:t xml:space="preserve">PAIR-17</x:t>
        </x:is>
      </x:c>
      <x:c r="B18" s="64" t="inlineStr">
        <x:is>
          <x:t xml:space="preserve">称谓还原与当代表述</x:t>
        </x:is>
      </x:c>
      <x:c r="C18" s="69" t="inlineStr">
        <x:is>
          <x:t xml:space="preserve">掌柜一躬身：“这位太太，里边请。”</x:t>
        </x:is>
      </x:c>
      <x:c r="D18" s="69" t="inlineStr">
        <x:is>
          <x:t xml:space="preserve">年代剧语言还原</x:t>
        </x:is>
      </x:c>
      <x:c r="E18" s="70" t="inlineStr">
        <x:is>
          <x:t xml:space="preserve">（现代客服）这位太太，请这边走。</x:t>
        </x:is>
      </x:c>
      <x:c r="F18" s="70" t="inlineStr">
        <x:is>
          <x:t xml:space="preserve">→ 这位女士，请这边走</x:t>
        </x:is>
      </x:c>
      <x:c r="G18" s="64" t="inlineStr">
        <x:is>
          <x:t xml:space="preserve">是历史场景还是当下使用</x:t>
        </x:is>
      </x:c>
    </x:row>
    <x:row r="19" s="37" customFormat="1" ht="15" customHeight="1">
      <x:c r="A19" s="47" t="inlineStr">
        <x:is>
          <x:t xml:space="preserve">PAIR-18</x:t>
        </x:is>
      </x:c>
      <x:c r="B19" s="64" t="inlineStr">
        <x:is>
          <x:t xml:space="preserve">敬语传统与误称</x:t>
        </x:is>
      </x:c>
      <x:c r="C19" s="69" t="inlineStr">
        <x:is>
          <x:t xml:space="preserve">杨绛先生的《我们仨》出版于 2003 年。</x:t>
        </x:is>
      </x:c>
      <x:c r="D19" s="69" t="inlineStr">
        <x:is>
          <x:t xml:space="preserve">尊称学者的敬语传统</x:t>
        </x:is>
      </x:c>
      <x:c r="E19" s="70" t="inlineStr">
        <x:is>
          <x:t xml:space="preserve">各位先生请入座（面向男女混合的与会者）。</x:t>
        </x:is>
      </x:c>
      <x:c r="F19" s="70" t="inlineStr">
        <x:is>
          <x:t xml:space="preserve">→ 各位来宾请入座</x:t>
        </x:is>
      </x:c>
      <x:c r="G19" s="64" t="inlineStr">
        <x:is>
          <x:t xml:space="preserve">是特定敬称，还是默认男性的泛称</x:t>
        </x:is>
      </x:c>
    </x:row>
    <x:row r="20" s="37" customFormat="1" ht="15" customHeight="1">
      <x:c r="A20" s="47" t="inlineStr">
        <x:is>
          <x:t xml:space="preserve">PAIR-19</x:t>
        </x:is>
      </x:c>
      <x:c r="B20" s="64" t="inlineStr">
        <x:is>
          <x:t xml:space="preserve">自我认同与外部指派</x:t>
        </x:is>
      </x:c>
      <x:c r="C20" s="69" t="inlineStr">
        <x:is>
          <x:t xml:space="preserve">他的签名档写着：（他／他的）。</x:t>
        </x:is>
      </x:c>
      <x:c r="D20" s="69" t="inlineStr">
        <x:is>
          <x:t xml:space="preserve">本人声明的代词偏好</x:t>
        </x:is>
      </x:c>
      <x:c r="E20" s="70" t="inlineStr">
        <x:is>
          <x:t xml:space="preserve">系统按姓名自动推断性别并填入称谓。</x:t>
        </x:is>
      </x:c>
      <x:c r="F20" s="70" t="inlineStr">
        <x:is>
          <x:t xml:space="preserve">→ 由用户自行选择或留空</x:t>
        </x:is>
      </x:c>
      <x:c r="G20" s="64" t="inlineStr">
        <x:is>
          <x:t xml:space="preserve">性别由本人声明，还是被系统推定</x:t>
        </x:is>
      </x:c>
    </x:row>
    <x:row r="21" s="37" customFormat="1" ht="15" customHeight="1">
      <x:c r="A21" s="47" t="inlineStr">
        <x:is>
          <x:t xml:space="preserve">PAIR-20</x:t>
        </x:is>
      </x:c>
      <x:c r="B21" s="64" t="inlineStr">
        <x:is>
          <x:t xml:space="preserve">设施指引与准入预设</x:t>
        </x:is>
      </x:c>
      <x:c r="C21" s="69" t="inlineStr">
        <x:is>
          <x:t xml:space="preserve">女卫生间在走廊尽头右转。</x:t>
        </x:is>
      </x:c>
      <x:c r="D21" s="69" t="inlineStr">
        <x:is>
          <x:t xml:space="preserve">导视信息，改写会导致指引失效</x:t>
        </x:is>
      </x:c>
      <x:c r="E21" s="70" t="inlineStr">
        <x:is>
          <x:t xml:space="preserve">本活动仅限女性参加（无正当理由）。</x:t>
        </x:is>
      </x:c>
      <x:c r="F21" s="70" t="inlineStr">
        <x:is>
          <x:t xml:space="preserve">→ 删除性别限制或说明正当理由</x:t>
        </x:is>
      </x:c>
      <x:c r="G21" s="64" t="inlineStr">
        <x:is>
          <x:t xml:space="preserve">是空间标识，还是资格门槛</x:t>
        </x:is>
      </x:c>
    </x:row>
    <x:row r="22" s="37" customFormat="1" ht="29.850000381469727" customHeight="1">
      <x:c r="A22" s="47" t="inlineStr">
        <x:is>
          <x:t xml:space="preserve">PAIR-21</x:t>
        </x:is>
      </x:c>
      <x:c r="B22" s="64" t="inlineStr">
        <x:is>
          <x:t xml:space="preserve">假触发词 vs 冗余标记</x:t>
        </x:is>
      </x:c>
      <x:c r="C22" s="69" t="inlineStr">
        <x:is>
          <x:t xml:space="preserve">女儿墙防水层出现开裂，需重新铺卷材。</x:t>
        </x:is>
      </x:c>
      <x:c r="D22" s="69" t="inlineStr">
        <x:is>
          <x:t xml:space="preserve">建筑构件名称，与性别无关</x:t>
        </x:is>
      </x:c>
      <x:c r="E22" s="70" t="inlineStr">
        <x:is>
          <x:t xml:space="preserve">这栋楼的女业主投诉防水问题。</x:t>
        </x:is>
      </x:c>
      <x:c r="F22" s="70" t="inlineStr">
        <x:is>
          <x:t xml:space="preserve">→ 这位业主投诉防水问题</x:t>
        </x:is>
      </x:c>
      <x:c r="G22" s="64" t="inlineStr">
        <x:is>
          <x:t xml:space="preserve">词中的“女”是构件名的一部分，还是给人加的标记</x:t>
        </x:is>
      </x:c>
    </x:row>
    <x:row r="23" s="37" customFormat="1" ht="15" customHeight="1">
      <x:c r="A23" s="47" t="inlineStr">
        <x:is>
          <x:t xml:space="preserve">PAIR-22</x:t>
        </x:is>
      </x:c>
      <x:c r="B23" s="64" t="inlineStr">
        <x:is>
          <x:t xml:space="preserve">假触发词 vs 泛指代词</x:t>
        </x:is>
      </x:c>
      <x:c r="C23" s="69" t="inlineStr">
        <x:is>
          <x:t xml:space="preserve">父进程退出前须回收子进程资源。</x:t>
        </x:is>
      </x:c>
      <x:c r="D23" s="69" t="inlineStr">
        <x:is>
          <x:t xml:space="preserve">操作系统术语</x:t>
        </x:is>
      </x:c>
      <x:c r="E23" s="70" t="inlineStr">
        <x:is>
          <x:t xml:space="preserve">每个程序员都要对他的代码负责。</x:t>
        </x:is>
      </x:c>
      <x:c r="F23" s="70" t="inlineStr">
        <x:is>
          <x:t xml:space="preserve">→ 每个程序员都要对自己的代码负责</x:t>
        </x:is>
      </x:c>
      <x:c r="G23" s="64" t="inlineStr">
        <x:is>
          <x:t xml:space="preserve">“父/子”是术语，还是指向不特定的人</x:t>
        </x:is>
      </x:c>
    </x:row>
    <x:row r="24" s="37" customFormat="1" ht="15" customHeight="1">
      <x:c r="A24" s="47" t="inlineStr">
        <x:is>
          <x:t xml:space="preserve">PAIR-23</x:t>
        </x:is>
      </x:c>
      <x:c r="B24" s="64" t="inlineStr">
        <x:is>
          <x:t xml:space="preserve">假触发词 vs 职业标记</x:t>
        </x:is>
      </x:c>
      <x:c r="C24" s="69" t="inlineStr">
        <x:is>
          <x:t xml:space="preserve">母公司为子公司提供担保须经董事会决议。</x:t>
        </x:is>
      </x:c>
      <x:c r="D24" s="69" t="inlineStr">
        <x:is>
          <x:t xml:space="preserve">公司法术语</x:t>
        </x:is>
      </x:c>
      <x:c r="E24" s="70" t="inlineStr">
        <x:is>
          <x:t xml:space="preserve">公司那位女强人又拿下一单。</x:t>
        </x:is>
      </x:c>
      <x:c r="F24" s="70" t="inlineStr">
        <x:is>
          <x:t xml:space="preserve">→ 那位同事又拿下一单</x:t>
        </x:is>
      </x:c>
      <x:c r="G24" s="64" t="inlineStr">
        <x:is>
          <x:t xml:space="preserve">“母/子”是法律关系，还是对人的评价</x:t>
        </x:is>
      </x:c>
    </x:row>
    <x:row r="25" s="37" customFormat="1" ht="15" customHeight="1">
      <x:c r="A25" s="47" t="inlineStr">
        <x:is>
          <x:t xml:space="preserve">PAIR-24</x:t>
        </x:is>
      </x:c>
      <x:c r="B25" s="64" t="inlineStr">
        <x:is>
          <x:t xml:space="preserve">假触发词 vs 修辞预设</x:t>
        </x:is>
      </x:c>
      <x:c r="C25" s="69" t="inlineStr">
        <x:is>
          <x:t xml:space="preserve">这架客机上月完成处女航。</x:t>
        </x:is>
      </x:c>
      <x:c r="D25" s="69" t="inlineStr">
        <x:is>
          <x:t xml:space="preserve">航空固定用语</x:t>
        </x:is>
      </x:c>
      <x:c r="E25" s="70" t="inlineStr">
        <x:is>
          <x:t xml:space="preserve">这个设计有处女般的纯净感。</x:t>
        </x:is>
      </x:c>
      <x:c r="F25" s="70" t="inlineStr">
        <x:is>
          <x:t xml:space="preserve">→ 这个设计有极简的纯净感</x:t>
        </x:is>
      </x:c>
      <x:c r="G25" s="64" t="inlineStr">
        <x:is>
          <x:t xml:space="preserve">是固定术语，还是把身体状态当修辞</x:t>
        </x:is>
      </x:c>
    </x:row>
    <x:row r="26" s="37" customFormat="1" ht="29.850000381469727" customHeight="1">
      <x:c r="A26" s="47" t="inlineStr">
        <x:is>
          <x:t xml:space="preserve">PAIR-25</x:t>
        </x:is>
      </x:c>
      <x:c r="B26" s="64" t="inlineStr">
        <x:is>
          <x:t xml:space="preserve">假触发词 vs 称呼预设</x:t>
        </x:is>
      </x:c>
      <x:c r="C26" s="69" t="inlineStr">
        <x:is>
          <x:t xml:space="preserve">母语非英语的申请人须提交语言成绩。</x:t>
        </x:is>
      </x:c>
      <x:c r="D26" s="69" t="inlineStr">
        <x:is>
          <x:t xml:space="preserve">行政与语言学术语</x:t>
        </x:is>
      </x:c>
      <x:c r="E26" s="70" t="inlineStr">
        <x:is>
          <x:t xml:space="preserve">各位母亲请到三楼领取材料。</x:t>
        </x:is>
      </x:c>
      <x:c r="F26" s="70" t="inlineStr">
        <x:is>
          <x:t xml:space="preserve">→ 各位家长请到三楼领取材料</x:t>
        </x:is>
      </x:c>
      <x:c r="G26" s="64" t="inlineStr">
        <x:is>
          <x:t xml:space="preserve">“母”是构词语素，还是默认了照护者性别</x:t>
        </x:is>
      </x:c>
    </x:row>
    <x:row r="27" s="37" customFormat="1" ht="29.850000381469727" customHeight="1">
      <x:c r="A27" s="47" t="inlineStr">
        <x:is>
          <x:t xml:space="preserve">PAIR-26</x:t>
        </x:is>
      </x:c>
      <x:c r="B27" s="64" t="inlineStr">
        <x:is>
          <x:t xml:space="preserve">假触发词 vs 营销预设</x:t>
        </x:is>
      </x:c>
      <x:c r="C27" s="69" t="inlineStr">
        <x:is>
          <x:t xml:space="preserve">包裹实重两公斤，按公斤计费。</x:t>
        </x:is>
      </x:c>
      <x:c r="D27" s="69" t="inlineStr">
        <x:is>
          <x:t xml:space="preserve">法定计量单位</x:t>
        </x:is>
      </x:c>
      <x:c r="E27" s="70" t="inlineStr">
        <x:is>
          <x:t xml:space="preserve">本品专为精致女性打造。</x:t>
        </x:is>
      </x:c>
      <x:c r="F27" s="70" t="inlineStr">
        <x:is>
          <x:t xml:space="preserve">→ 本品适合有相应需求的人群</x:t>
        </x:is>
      </x:c>
      <x:c r="G27" s="64" t="inlineStr">
        <x:is>
          <x:t xml:space="preserve">“公”是单位词素，还是对目标客群的性别预设</x:t>
        </x:is>
      </x:c>
    </x:row>
    <x:row r="28" s="37" customFormat="1" ht="15" customHeight="1">
      <x:c r="A28" s="47" t="inlineStr">
        <x:is>
          <x:t xml:space="preserve">PAIR-27</x:t>
        </x:is>
      </x:c>
      <x:c r="B28" s="64" t="inlineStr">
        <x:is>
          <x:t xml:space="preserve">专名 vs 泛用标记</x:t>
        </x:is>
      </x:c>
      <x:c r="C28" s="69" t="inlineStr">
        <x:is>
          <x:t xml:space="preserve">老干妈风味豆豉 280 克。</x:t>
        </x:is>
      </x:c>
      <x:c r="D28" s="69" t="inlineStr">
        <x:is>
          <x:t xml:space="preserve">注册商标</x:t>
        </x:is>
      </x:c>
      <x:c r="E28" s="70" t="inlineStr">
        <x:is>
          <x:t xml:space="preserve">公司评了三位优秀女员工。</x:t>
        </x:is>
      </x:c>
      <x:c r="F28" s="70" t="inlineStr">
        <x:is>
          <x:t xml:space="preserve">→ 公司评了三位优秀员工</x:t>
        </x:is>
      </x:c>
      <x:c r="G28" s="64" t="inlineStr">
        <x:is>
          <x:t xml:space="preserve">是既有商标，还是自设的性别化类别</x:t>
        </x:is>
      </x:c>
    </x:row>
    <x:row r="29" s="37" customFormat="1" ht="29.850000381469727" customHeight="1">
      <x:c r="A29" s="47" t="inlineStr">
        <x:is>
          <x:t xml:space="preserve">PAIR-28</x:t>
        </x:is>
      </x:c>
      <x:c r="B29" s="64" t="inlineStr">
        <x:is>
          <x:t xml:space="preserve">结构化文本 vs 界面预设</x:t>
        </x:is>
      </x:c>
      <x:c r="C29" s="69" t="inlineStr">
        <x:is>
          <x:t xml:space="preserve">数据表字段 is_female 暂不重命名。</x:t>
        </x:is>
      </x:c>
      <x:c r="D29" s="69" t="inlineStr">
        <x:is>
          <x:t xml:space="preserve">技术标识符，改动会破坏数据管线</x:t>
        </x:is>
      </x:c>
      <x:c r="E29" s="70" t="inlineStr">
        <x:is>
          <x:t xml:space="preserve">注册页默认称谓：先生。</x:t>
        </x:is>
      </x:c>
      <x:c r="F29" s="70" t="inlineStr">
        <x:is>
          <x:t xml:space="preserve">→ 注册页称谓由用户自行选择</x:t>
        </x:is>
      </x:c>
      <x:c r="G29" s="64" t="inlineStr">
        <x:is>
          <x:t xml:space="preserve">是机器读取的键，还是呈现给人的默认值</x:t>
        </x:is>
      </x:c>
    </x:row>
    <x:row r="30" s="37" customFormat="1" ht="15" customHeight="1">
      <x:c r="A30" s="47" t="inlineStr">
        <x:is>
          <x:t xml:space="preserve">PAIR-29</x:t>
        </x:is>
      </x:c>
      <x:c r="B30" s="64" t="inlineStr">
        <x:is>
          <x:t xml:space="preserve">结构化文本 vs 表单限制</x:t>
        </x:is>
      </x:c>
      <x:c r="C30" s="69" t="inlineStr">
        <x:is>
          <x:t xml:space="preserve">性别：○男 ○女 ○其他</x:t>
        </x:is>
      </x:c>
      <x:c r="D30" s="69" t="inlineStr">
        <x:is>
          <x:t xml:space="preserve">表单控件文本，选项已含开放项</x:t>
        </x:is>
      </x:c>
      <x:c r="E30" s="70" t="inlineStr">
        <x:is>
          <x:t xml:space="preserve">性别：○男 ○女（必选）</x:t>
        </x:is>
      </x:c>
      <x:c r="F30" s="70" t="inlineStr">
        <x:is>
          <x:t xml:space="preserve">→ 增加“其他/不愿透露”选项</x:t>
        </x:is>
      </x:c>
      <x:c r="G30" s="64" t="inlineStr">
        <x:is>
          <x:t xml:space="preserve">是否强制二元且无豁免</x:t>
        </x:is>
      </x:c>
    </x:row>
    <x:row r="31" s="37" customFormat="1" ht="15" customHeight="1">
      <x:c r="A31" s="47" t="inlineStr">
        <x:is>
          <x:t xml:space="preserve">PAIR-30</x:t>
        </x:is>
      </x:c>
      <x:c r="B31" s="64" t="inlineStr">
        <x:is>
          <x:t xml:space="preserve">导视信息 vs 准入限制</x:t>
        </x:is>
      </x:c>
      <x:c r="C31" s="69" t="inlineStr">
        <x:is>
          <x:t xml:space="preserve">母婴室 →（五层电梯口）</x:t>
        </x:is>
      </x:c>
      <x:c r="D31" s="69" t="inlineStr">
        <x:is>
          <x:t xml:space="preserve">设施标识，改写会导致指引失效</x:t>
        </x:is>
      </x:c>
      <x:c r="E31" s="70" t="inlineStr">
        <x:is>
          <x:t xml:space="preserve">本活动仅限女性参加。</x:t>
        </x:is>
      </x:c>
      <x:c r="F31" s="70" t="inlineStr">
        <x:is>
          <x:t xml:space="preserve">→ 删除性别限制或说明正当理由</x:t>
        </x:is>
      </x:c>
      <x:c r="G31" s="64" t="inlineStr">
        <x:is>
          <x:t xml:space="preserve">是空间标识，还是资格门槛</x:t>
        </x:is>
      </x:c>
    </x:row>
    <x:row r="32" s="37" customFormat="1" ht="15" customHeight="1">
      <x:c r="A32" s="47" t="inlineStr">
        <x:is>
          <x:t xml:space="preserve">PAIR-31</x:t>
        </x:is>
      </x:c>
      <x:c r="B32" s="64" t="inlineStr">
        <x:is>
          <x:t xml:space="preserve">短文本 · 事实 vs 预设</x:t>
        </x:is>
      </x:c>
      <x:c r="C32" s="69" t="inlineStr">
        <x:is>
          <x:t xml:space="preserve">女，32，初诊</x:t>
        </x:is>
      </x:c>
      <x:c r="D32" s="69" t="inlineStr">
        <x:is>
          <x:t xml:space="preserve">病历表头字段</x:t>
        </x:is>
      </x:c>
      <x:c r="E32" s="70" t="inlineStr">
        <x:is>
          <x:t xml:space="preserve">女生学理科要早做打算。</x:t>
        </x:is>
      </x:c>
      <x:c r="F32" s="70" t="inlineStr">
        <x:is>
          <x:t xml:space="preserve">→ 学理科要早做打算</x:t>
        </x:is>
      </x:c>
      <x:c r="G32" s="64" t="inlineStr">
        <x:is>
          <x:t xml:space="preserve">极短文本同样要看是记录还是主张</x:t>
        </x:is>
      </x:c>
    </x:row>
    <x:row r="33" s="37" customFormat="1" ht="29.850000381469727" customHeight="1">
      <x:c r="A33" s="47" t="inlineStr">
        <x:is>
          <x:t xml:space="preserve">PAIR-32</x:t>
        </x:is>
      </x:c>
      <x:c r="B33" s="64" t="inlineStr">
        <x:is>
          <x:t xml:space="preserve">引语 vs 使用</x:t>
        </x:is>
      </x:c>
      <x:c r="C33" s="69" t="inlineStr">
        <x:is>
          <x:t xml:space="preserve">评论区拦截样本：“女的开车就是不行”。</x:t>
        </x:is>
      </x:c>
      <x:c r="D33" s="69" t="inlineStr">
        <x:is>
          <x:t xml:space="preserve">违规样本的必要列举</x:t>
        </x:is>
      </x:c>
      <x:c r="E33" s="70" t="inlineStr">
        <x:is>
          <x:t xml:space="preserve">女的开车就是不行。</x:t>
        </x:is>
      </x:c>
      <x:c r="F33" s="70" t="inlineStr">
        <x:is>
          <x:t xml:space="preserve">→ 删除或改为具体行为描述</x:t>
        </x:is>
      </x:c>
      <x:c r="G33" s="64" t="inlineStr">
        <x:is>
          <x:t xml:space="preserve">该句是被展示的对象，还是正在使用的表述</x:t>
        </x:is>
      </x:c>
    </x:row>
    <x:row r="34" s="37" customFormat="1" ht="15" customHeight="1">
      <x:c r="A34" s="47" t="inlineStr">
        <x:is>
          <x:t xml:space="preserve">PAIR-33</x:t>
        </x:is>
      </x:c>
      <x:c r="B34" s="64" t="inlineStr">
        <x:is>
          <x:t xml:space="preserve">批判转述 vs 认同</x:t>
        </x:is>
      </x:c>
      <x:c r="C34" s="69" t="inlineStr">
        <x:is>
          <x:t xml:space="preserve">每次看到“为母则刚”我就来气。</x:t>
        </x:is>
      </x:c>
      <x:c r="D34" s="69" t="inlineStr">
        <x:is>
          <x:t xml:space="preserve">转述并反对该说法</x:t>
        </x:is>
      </x:c>
      <x:c r="E34" s="70" t="inlineStr">
        <x:is>
          <x:t xml:space="preserve">为母则刚，你再坚持坚持。</x:t>
        </x:is>
      </x:c>
      <x:c r="F34" s="70" t="inlineStr">
        <x:is>
          <x:t xml:space="preserve">→ 我知道你很难，需要帮忙随时说</x:t>
        </x:is>
      </x:c>
      <x:c r="G34" s="64" t="inlineStr">
        <x:is>
          <x:t xml:space="preserve">说话人是在反对，还是在劝人接受</x:t>
        </x:is>
      </x:c>
    </x:row>
    <x:row r="35" s="37" customFormat="1" ht="15" customHeight="1">
      <x:c r="A35" s="47" t="inlineStr">
        <x:is>
          <x:t xml:space="preserve">PAIR-34</x:t>
        </x:is>
      </x:c>
      <x:c r="B35" s="64" t="inlineStr">
        <x:is>
          <x:t xml:space="preserve">自称 vs 他称</x:t>
        </x:is>
      </x:c>
      <x:c r="C35" s="69" t="inlineStr">
        <x:is>
          <x:t xml:space="preserve">签名档：李某某（她／她的）</x:t>
        </x:is>
      </x:c>
      <x:c r="D35" s="69" t="inlineStr">
        <x:is>
          <x:t xml:space="preserve">本人声明的代词偏好</x:t>
        </x:is>
      </x:c>
      <x:c r="E35" s="70" t="inlineStr">
        <x:is>
          <x:t xml:space="preserve">系统按姓名自动推断性别并填入称谓。</x:t>
        </x:is>
      </x:c>
      <x:c r="F35" s="70" t="inlineStr">
        <x:is>
          <x:t xml:space="preserve">→ 由用户自行选择或留空</x:t>
        </x:is>
      </x:c>
      <x:c r="G35" s="64" t="inlineStr">
        <x:is>
          <x:t xml:space="preserve">性别由本人声明，还是被系统推定</x:t>
        </x:is>
      </x:c>
    </x:row>
    <x:row r="36" s="37" customFormat="1" ht="15" customHeight="1">
      <x:c r="A36" s="47" t="inlineStr">
        <x:is>
          <x:t xml:space="preserve">PAIR-35</x:t>
        </x:is>
      </x:c>
      <x:c r="B36" s="64" t="inlineStr">
        <x:is>
          <x:t xml:space="preserve">社群自称 vs 外部指派</x:t>
        </x:is>
      </x:c>
      <x:c r="C36" s="69" t="inlineStr">
        <x:is>
          <x:t xml:space="preserve">群里彼此都叫“姐妹”。</x:t>
        </x:is>
      </x:c>
      <x:c r="D36" s="69" t="inlineStr">
        <x:is>
          <x:t xml:space="preserve">社群内部自称</x:t>
        </x:is>
      </x:c>
      <x:c r="E36" s="70" t="inlineStr">
        <x:is>
          <x:t xml:space="preserve">（对陌生女性客户）姐妹，了解一下？</x:t>
        </x:is>
      </x:c>
      <x:c r="F36" s="70" t="inlineStr">
        <x:is>
          <x:t xml:space="preserve">→ 您好，方便介绍一下吗</x:t>
        </x:is>
      </x:c>
      <x:c r="G36" s="64" t="inlineStr">
        <x:is>
          <x:t xml:space="preserve">是圈内互称，还是对外套用</x:t>
        </x:is>
      </x:c>
    </x:row>
    <x:row r="37" s="37" customFormat="1" ht="15" customHeight="1">
      <x:c r="A37" s="47" t="inlineStr">
        <x:is>
          <x:t xml:space="preserve">PAIR-36</x:t>
        </x:is>
      </x:c>
      <x:c r="B37" s="64" t="inlineStr">
        <x:is>
          <x:t xml:space="preserve">敬语 vs 泛称</x:t>
        </x:is>
      </x:c>
      <x:c r="C37" s="69" t="inlineStr">
        <x:is>
          <x:t xml:space="preserve">杨绛先生的《我们仨》。</x:t>
        </x:is>
      </x:c>
      <x:c r="D37" s="69" t="inlineStr">
        <x:is>
          <x:t xml:space="preserve">尊称学者的敬语传统</x:t>
        </x:is>
      </x:c>
      <x:c r="E37" s="70" t="inlineStr">
        <x:is>
          <x:t xml:space="preserve">各位先生请入座。（男女混合听众）</x:t>
        </x:is>
      </x:c>
      <x:c r="F37" s="70" t="inlineStr">
        <x:is>
          <x:t xml:space="preserve">→ 各位来宾请入座</x:t>
        </x:is>
      </x:c>
      <x:c r="G37" s="64" t="inlineStr">
        <x:is>
          <x:t xml:space="preserve">是特定敬称，还是默认男性的泛称</x:t>
        </x:is>
      </x:c>
    </x:row>
    <x:row r="38" s="37" customFormat="1" ht="29.850000381469727" customHeight="1">
      <x:c r="A38" s="47" t="inlineStr">
        <x:is>
          <x:t xml:space="preserve">PAIR-37</x:t>
        </x:is>
      </x:c>
      <x:c r="B38" s="64" t="inlineStr">
        <x:is>
          <x:t xml:space="preserve">角色语言 vs 创作者自述</x:t>
        </x:is>
      </x:c>
      <x:c r="C38" s="69" t="inlineStr">
        <x:is>
          <x:t xml:space="preserve">账房（冷笑）：女人家懂什么生意。</x:t>
        </x:is>
      </x:c>
      <x:c r="D38" s="69" t="inlineStr">
        <x:is>
          <x:t xml:space="preserve">剧中角色台词</x:t>
        </x:is>
      </x:c>
      <x:c r="E38" s="70" t="inlineStr">
        <x:is>
          <x:t xml:space="preserve">编剧访谈：“女人写商战确实不行。”</x:t>
        </x:is>
      </x:c>
      <x:c r="F38" s="70" t="inlineStr">
        <x:is>
          <x:t xml:space="preserve">→ 属创作者本人立场，应质疑而非引用为常识</x:t>
        </x:is>
      </x:c>
      <x:c r="G38" s="64" t="inlineStr">
        <x:is>
          <x:t xml:space="preserve">出自角色之口，还是创作者本人之口</x:t>
        </x:is>
      </x:c>
    </x:row>
    <x:row r="39" s="37" customFormat="1" ht="15" customHeight="1">
      <x:c r="A39" s="47" t="inlineStr">
        <x:is>
          <x:t xml:space="preserve">PAIR-38</x:t>
        </x:is>
      </x:c>
      <x:c r="B39" s="64" t="inlineStr">
        <x:is>
          <x:t xml:space="preserve">医学必需 vs 营销话术</x:t>
        </x:is>
      </x:c>
      <x:c r="C39" s="69" t="inlineStr">
        <x:is>
          <x:t xml:space="preserve">建议 50 岁以上男性定期检测 PSA。</x:t>
        </x:is>
      </x:c>
      <x:c r="D39" s="69" t="inlineStr">
        <x:is>
          <x:t xml:space="preserve">解剖结构决定适应人群</x:t>
        </x:is>
      </x:c>
      <x:c r="E39" s="70" t="inlineStr">
        <x:is>
          <x:t xml:space="preserve">男人四十，该补一补了。</x:t>
        </x:is>
      </x:c>
      <x:c r="F39" s="70" t="inlineStr">
        <x:is>
          <x:t xml:space="preserve">→ 中年人群可根据体检结果针对性调理</x:t>
        </x:is>
      </x:c>
      <x:c r="G39" s="64" t="inlineStr">
        <x:is>
          <x:t xml:space="preserve">性别是医学依据，还是营销预设</x:t>
        </x:is>
      </x:c>
    </x:row>
    <x:row r="40" s="37" customFormat="1" ht="29.850000381469727" customHeight="1">
      <x:c r="A40" s="47" t="inlineStr">
        <x:is>
          <x:t xml:space="preserve">PAIR-39</x:t>
        </x:is>
      </x:c>
      <x:c r="B40" s="64" t="inlineStr">
        <x:is>
          <x:t xml:space="preserve">术语更名记录 vs 术语沿用</x:t>
        </x:is>
      </x:c>
      <x:c r="C40" s="71" t="inlineStr">
        <x:is>
          <x:t xml:space="preserve">git branch -m master main</x:t>
        </x:is>
      </x:c>
      <x:c r="D40" s="69" t="inlineStr">
        <x:is>
          <x:t xml:space="preserve">命令原文，改动会导致命令失效</x:t>
        </x:is>
      </x:c>
      <x:c r="E40" s="70" t="inlineStr">
        <x:is>
          <x:t xml:space="preserve">文档中描述为“主人—奴隶”架构。</x:t>
        </x:is>
      </x:c>
      <x:c r="F40" s="70" t="inlineStr">
        <x:is>
          <x:t xml:space="preserve">→ 改用主从/主备等中性表述</x:t>
        </x:is>
      </x:c>
      <x:c r="G40" s="64" t="inlineStr">
        <x:is>
          <x:t xml:space="preserve">是不可改的技术字面量，还是可改的叙述文本</x:t>
        </x:is>
      </x:c>
    </x:row>
    <x:row r="41" s="37" customFormat="1" ht="29.850000381469727" customHeight="1">
      <x:c r="A41" s="47" t="inlineStr">
        <x:is>
          <x:t xml:space="preserve">PAIR-40</x:t>
        </x:is>
      </x:c>
      <x:c r="B41" s="64" t="inlineStr">
        <x:is>
          <x:t xml:space="preserve">节日专名 vs 造词</x:t>
        </x:is>
      </x:c>
      <x:c r="C41" s="69" t="inlineStr">
        <x:is>
          <x:t xml:space="preserve">三八国际妇女节活动页已上线。</x:t>
        </x:is>
      </x:c>
      <x:c r="D41" s="69" t="inlineStr">
        <x:is>
          <x:t xml:space="preserve">法定节日名称</x:t>
        </x:is>
      </x:c>
      <x:c r="E41" s="70" t="inlineStr">
        <x:is>
          <x:t xml:space="preserve">女神节，做最完美的自己。</x:t>
        </x:is>
      </x:c>
      <x:c r="F41" s="70" t="inlineStr">
        <x:is>
          <x:t xml:space="preserve">→ 节日促销，按需选购</x:t>
        </x:is>
      </x:c>
      <x:c r="G41" s="64" t="inlineStr">
        <x:is>
          <x:t xml:space="preserve">是既有节日名，还是营销造词与外貌预设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2" style="36" customWidth="1"/>
    <x:col min="2" max="2" width="28" style="36" customWidth="1"/>
    <x:col min="3" max="3" width="42" style="36" customWidth="1"/>
    <x:col min="4" max="4" width="10" style="36" customWidth="1"/>
    <x:col min="5" max="9" width="8" style="36" customWidth="1"/>
  </x:cols>
  <x:sheetData>
    <x:row r="1" s="37" customFormat="1" ht="30" customHeight="1">
      <x:c r="A1" s="72" t="inlineStr">
        <x:is>
          <x:t xml:space="preserve">L1类别</x:t>
        </x:is>
      </x:c>
      <x:c r="B1" s="72" t="inlineStr">
        <x:is>
          <x:t xml:space="preserve">L2子类</x:t>
        </x:is>
      </x:c>
      <x:c r="C1" s="44" t="inlineStr">
        <x:is>
          <x:t xml:space="preserve">涵盖范围</x:t>
        </x:is>
      </x:c>
      <x:c r="D1" s="44" t="inlineStr">
        <x:is>
          <x:t xml:space="preserve">样本数</x:t>
        </x:is>
      </x:c>
      <x:c r="E1" s="72" t="inlineStr">
        <x:is>
          <x:t xml:space="preserve">v1</x:t>
        </x:is>
      </x:c>
      <x:c r="F1" s="72" t="inlineStr">
        <x:is>
          <x:t xml:space="preserve">v2</x:t>
        </x:is>
      </x:c>
      <x:c r="G1" s="72" t="inlineStr">
        <x:is>
          <x:t xml:space="preserve">v3</x:t>
        </x:is>
      </x:c>
      <x:c r="H1" s="72" t="inlineStr">
        <x:is>
          <x:t xml:space="preserve">v5</x:t>
        </x:is>
      </x:c>
      <x:c r="I1" s="72" t="inlineStr">
        <x:is>
          <x:t xml:space="preserve">v6</x:t>
        </x:is>
      </x:c>
    </x:row>
    <x:row r="2" s="37" customFormat="1" ht="29.850000381469727" customHeight="1">
      <x:c r="A2" s="73" t="inlineStr">
        <x:is>
          <x:t xml:space="preserve">一、指称已知性别的具体个人</x:t>
        </x:is>
      </x:c>
      <x:c r="B2" s="74" t="inlineStr">
        <x:is>
          <x:t xml:space="preserve">1.1 姓名与社会称谓</x:t>
        </x:is>
      </x:c>
      <x:c r="C2" s="75" t="inlineStr">
        <x:is>
          <x:t xml:space="preserve">姓+称谓、职务、昵称、尊长、笔名艺名等对特定个体的称呼</x:t>
        </x:is>
      </x:c>
      <x:c r="D2" s="76" t="e">
        <x:f>COUNTIFS(数据集!$C:$C,$A2,数据集!$D:$D,$B2)</x:f>
      </x:c>
      <x:c r="E2" s="76" t="e">
        <x:f>COUNTIFS(数据集!$C:$C,$A2,数据集!$D:$D,$B2,数据集!$B:$B,"v1")</x:f>
      </x:c>
      <x:c r="F2" s="76" t="e">
        <x:f>COUNTIFS(数据集!$C:$C,$A2,数据集!$D:$D,$B2,数据集!$B:$B,"v2")</x:f>
      </x:c>
      <x:c r="G2" s="76" t="e">
        <x:f>COUNTIFS(数据集!$C:$C,$A2,数据集!$D:$D,$B2,数据集!$B:$B,"v3")</x:f>
      </x:c>
      <x:c r="H2" s="76" t="e">
        <x:f>COUNTIFS(数据集!$C:$C,$A2,数据集!$D:$D,$B2,数据集!$B:$B,"v5")</x:f>
      </x:c>
      <x:c r="I2" s="76" t="e">
        <x:f>COUNTIFS(数据集!$C:$C,$A2,数据集!$D:$D,$B2,数据集!$B:$B,"v6")</x:f>
      </x:c>
    </x:row>
    <x:row r="3" s="37" customFormat="1" ht="29.850000381469727" customHeight="1">
      <x:c r="A3" s="64" t="inlineStr">
        <x:is>
          <x:t xml:space="preserve">一、指称已知性别的具体个人</x:t>
        </x:is>
      </x:c>
      <x:c r="B3" s="77" t="inlineStr">
        <x:is>
          <x:t xml:space="preserve">1.2 人称代词</x:t>
        </x:is>
      </x:c>
      <x:c r="C3" s="64" t="inlineStr">
        <x:is>
          <x:t xml:space="preserve">他/她及其复数、领属、反身形式，指向明确个体或已知群体</x:t>
        </x:is>
      </x:c>
      <x:c r="D3" s="65" t="e">
        <x:f>COUNTIFS(数据集!$C:$C,$A3,数据集!$D:$D,$B3)</x:f>
      </x:c>
      <x:c r="E3" s="65" t="e">
        <x:f>COUNTIFS(数据集!$C:$C,$A3,数据集!$D:$D,$B3,数据集!$B:$B,"v1")</x:f>
      </x:c>
      <x:c r="F3" s="65" t="e">
        <x:f>COUNTIFS(数据集!$C:$C,$A3,数据集!$D:$D,$B3,数据集!$B:$B,"v2")</x:f>
      </x:c>
      <x:c r="G3" s="65" t="e">
        <x:f>COUNTIFS(数据集!$C:$C,$A3,数据集!$D:$D,$B3,数据集!$B:$B,"v3")</x:f>
      </x:c>
      <x:c r="H3" s="65" t="e">
        <x:f>COUNTIFS(数据集!$C:$C,$A3,数据集!$D:$D,$B3,数据集!$B:$B,"v5")</x:f>
      </x:c>
      <x:c r="I3" s="65" t="e">
        <x:f>COUNTIFS(数据集!$C:$C,$A3,数据集!$D:$D,$B3,数据集!$B:$B,"v6")</x:f>
      </x:c>
    </x:row>
    <x:row r="4" s="37" customFormat="1" ht="29.850000381469727" customHeight="1">
      <x:c r="A4" s="64" t="inlineStr">
        <x:is>
          <x:t xml:space="preserve">一、指称已知性别的具体个人</x:t>
        </x:is>
      </x:c>
      <x:c r="B4" s="77" t="inlineStr">
        <x:is>
          <x:t xml:space="preserve">1.3 血亲与姻亲称谓</x:t>
        </x:is>
      </x:c>
      <x:c r="C4" s="64" t="inlineStr">
        <x:is>
          <x:t xml:space="preserve">直系、旁系、姻亲、拟亲属称谓</x:t>
        </x:is>
      </x:c>
      <x:c r="D4" s="65" t="e">
        <x:f>COUNTIFS(数据集!$C:$C,$A4,数据集!$D:$D,$B4)</x:f>
      </x:c>
      <x:c r="E4" s="65" t="e">
        <x:f>COUNTIFS(数据集!$C:$C,$A4,数据集!$D:$D,$B4,数据集!$B:$B,"v1")</x:f>
      </x:c>
      <x:c r="F4" s="65" t="e">
        <x:f>COUNTIFS(数据集!$C:$C,$A4,数据集!$D:$D,$B4,数据集!$B:$B,"v2")</x:f>
      </x:c>
      <x:c r="G4" s="65" t="e">
        <x:f>COUNTIFS(数据集!$C:$C,$A4,数据集!$D:$D,$B4,数据集!$B:$B,"v3")</x:f>
      </x:c>
      <x:c r="H4" s="65" t="e">
        <x:f>COUNTIFS(数据集!$C:$C,$A4,数据集!$D:$D,$B4,数据集!$B:$B,"v5")</x:f>
      </x:c>
      <x:c r="I4" s="65" t="e">
        <x:f>COUNTIFS(数据集!$C:$C,$A4,数据集!$D:$D,$B4,数据集!$B:$B,"v6")</x:f>
      </x:c>
    </x:row>
    <x:row r="5" s="37" customFormat="1" ht="29.850000381469727" customHeight="1">
      <x:c r="A5" s="64" t="inlineStr">
        <x:is>
          <x:t xml:space="preserve">一、指称已知性别的具体个人</x:t>
        </x:is>
      </x:c>
      <x:c r="B5" s="77" t="inlineStr">
        <x:is>
          <x:t xml:space="preserve">1.4 伴侣与恋爱关系</x:t>
        </x:is>
      </x:c>
      <x:c r="C5" s="64" t="inlineStr">
        <x:is>
          <x:t xml:space="preserve">男女朋友、配偶、未婚夫妻、前任等关系称谓</x:t>
        </x:is>
      </x:c>
      <x:c r="D5" s="65" t="e">
        <x:f>COUNTIFS(数据集!$C:$C,$A5,数据集!$D:$D,$B5)</x:f>
      </x:c>
      <x:c r="E5" s="65" t="e">
        <x:f>COUNTIFS(数据集!$C:$C,$A5,数据集!$D:$D,$B5,数据集!$B:$B,"v1")</x:f>
      </x:c>
      <x:c r="F5" s="65" t="e">
        <x:f>COUNTIFS(数据集!$C:$C,$A5,数据集!$D:$D,$B5,数据集!$B:$B,"v2")</x:f>
      </x:c>
      <x:c r="G5" s="65" t="e">
        <x:f>COUNTIFS(数据集!$C:$C,$A5,数据集!$D:$D,$B5,数据集!$B:$B,"v3")</x:f>
      </x:c>
      <x:c r="H5" s="65" t="e">
        <x:f>COUNTIFS(数据集!$C:$C,$A5,数据集!$D:$D,$B5,数据集!$B:$B,"v5")</x:f>
      </x:c>
      <x:c r="I5" s="65" t="e">
        <x:f>COUNTIFS(数据集!$C:$C,$A5,数据集!$D:$D,$B5,数据集!$B:$B,"v6")</x:f>
      </x:c>
    </x:row>
    <x:row r="6" s="37" customFormat="1" ht="29.850000381469727" customHeight="1">
      <x:c r="A6" s="64" t="inlineStr">
        <x:is>
          <x:t xml:space="preserve">一、指称已知性别的具体个人</x:t>
        </x:is>
      </x:c>
      <x:c r="B6" s="77" t="inlineStr">
        <x:is>
          <x:t xml:space="preserve">1.5 社会角色中的具体个人</x:t>
        </x:is>
      </x:c>
      <x:c r="C6" s="64" t="inlineStr">
        <x:is>
          <x:t xml:space="preserve">介绍某人时提及其性别；法律文书中的当事人身份</x:t>
        </x:is>
      </x:c>
      <x:c r="D6" s="65" t="e">
        <x:f>COUNTIFS(数据集!$C:$C,$A6,数据集!$D:$D,$B6)</x:f>
      </x:c>
      <x:c r="E6" s="65" t="e">
        <x:f>COUNTIFS(数据集!$C:$C,$A6,数据集!$D:$D,$B6,数据集!$B:$B,"v1")</x:f>
      </x:c>
      <x:c r="F6" s="65" t="e">
        <x:f>COUNTIFS(数据集!$C:$C,$A6,数据集!$D:$D,$B6,数据集!$B:$B,"v2")</x:f>
      </x:c>
      <x:c r="G6" s="65" t="e">
        <x:f>COUNTIFS(数据集!$C:$C,$A6,数据集!$D:$D,$B6,数据集!$B:$B,"v3")</x:f>
      </x:c>
      <x:c r="H6" s="65" t="e">
        <x:f>COUNTIFS(数据集!$C:$C,$A6,数据集!$D:$D,$B6,数据集!$B:$B,"v5")</x:f>
      </x:c>
      <x:c r="I6" s="65" t="e">
        <x:f>COUNTIFS(数据集!$C:$C,$A6,数据集!$D:$D,$B6,数据集!$B:$B,"v6")</x:f>
      </x:c>
    </x:row>
    <x:row r="7" s="37" customFormat="1" ht="15" customHeight="1">
      <x:c r="A7" s="73" t="inlineStr">
        <x:is>
          <x:t xml:space="preserve">二、生理与医学必需</x:t>
        </x:is>
      </x:c>
      <x:c r="B7" s="74" t="inlineStr">
        <x:is>
          <x:t xml:space="preserve">2.1 生殖与生育</x:t>
        </x:is>
      </x:c>
      <x:c r="C7" s="75" t="inlineStr">
        <x:is>
          <x:t xml:space="preserve">妊娠分娩、哺乳、辅助生殖、生育力评估</x:t>
        </x:is>
      </x:c>
      <x:c r="D7" s="76" t="e">
        <x:f>COUNTIFS(数据集!$C:$C,$A7,数据集!$D:$D,$B7)</x:f>
      </x:c>
      <x:c r="E7" s="76" t="e">
        <x:f>COUNTIFS(数据集!$C:$C,$A7,数据集!$D:$D,$B7,数据集!$B:$B,"v1")</x:f>
      </x:c>
      <x:c r="F7" s="76" t="e">
        <x:f>COUNTIFS(数据集!$C:$C,$A7,数据集!$D:$D,$B7,数据集!$B:$B,"v2")</x:f>
      </x:c>
      <x:c r="G7" s="76" t="e">
        <x:f>COUNTIFS(数据集!$C:$C,$A7,数据集!$D:$D,$B7,数据集!$B:$B,"v3")</x:f>
      </x:c>
      <x:c r="H7" s="76" t="e">
        <x:f>COUNTIFS(数据集!$C:$C,$A7,数据集!$D:$D,$B7,数据集!$B:$B,"v5")</x:f>
      </x:c>
      <x:c r="I7" s="76" t="e">
        <x:f>COUNTIFS(数据集!$C:$C,$A7,数据集!$D:$D,$B7,数据集!$B:$B,"v6")</x:f>
      </x:c>
    </x:row>
    <x:row r="8" s="37" customFormat="1" ht="15" customHeight="1">
      <x:c r="A8" s="64" t="inlineStr">
        <x:is>
          <x:t xml:space="preserve">二、生理与医学必需</x:t>
        </x:is>
      </x:c>
      <x:c r="B8" s="77" t="inlineStr">
        <x:is>
          <x:t xml:space="preserve">2.2 生理周期与内分泌</x:t>
        </x:is>
      </x:c>
      <x:c r="C8" s="64" t="inlineStr">
        <x:is>
          <x:t xml:space="preserve">月经、更年期、激素水平与相关指标</x:t>
        </x:is>
      </x:c>
      <x:c r="D8" s="65" t="e">
        <x:f>COUNTIFS(数据集!$C:$C,$A8,数据集!$D:$D,$B8)</x:f>
      </x:c>
      <x:c r="E8" s="65" t="e">
        <x:f>COUNTIFS(数据集!$C:$C,$A8,数据集!$D:$D,$B8,数据集!$B:$B,"v1")</x:f>
      </x:c>
      <x:c r="F8" s="65" t="e">
        <x:f>COUNTIFS(数据集!$C:$C,$A8,数据集!$D:$D,$B8,数据集!$B:$B,"v2")</x:f>
      </x:c>
      <x:c r="G8" s="65" t="e">
        <x:f>COUNTIFS(数据集!$C:$C,$A8,数据集!$D:$D,$B8,数据集!$B:$B,"v3")</x:f>
      </x:c>
      <x:c r="H8" s="65" t="e">
        <x:f>COUNTIFS(数据集!$C:$C,$A8,数据集!$D:$D,$B8,数据集!$B:$B,"v5")</x:f>
      </x:c>
      <x:c r="I8" s="65" t="e">
        <x:f>COUNTIFS(数据集!$C:$C,$A8,数据集!$D:$D,$B8,数据集!$B:$B,"v6")</x:f>
      </x:c>
    </x:row>
    <x:row r="9" s="37" customFormat="1" ht="15" customHeight="1">
      <x:c r="A9" s="64" t="inlineStr">
        <x:is>
          <x:t xml:space="preserve">二、生理与医学必需</x:t>
        </x:is>
      </x:c>
      <x:c r="B9" s="77" t="inlineStr">
        <x:is>
          <x:t xml:space="preserve">2.3 性别特异性器官与疾病</x:t>
        </x:is>
      </x:c>
      <x:c r="C9" s="64" t="inlineStr">
        <x:is>
          <x:t xml:space="preserve">解剖结构、疾病命名、筛查建议与流行病学差异</x:t>
        </x:is>
      </x:c>
      <x:c r="D9" s="65" t="e">
        <x:f>COUNTIFS(数据集!$C:$C,$A9,数据集!$D:$D,$B9)</x:f>
      </x:c>
      <x:c r="E9" s="65" t="e">
        <x:f>COUNTIFS(数据集!$C:$C,$A9,数据集!$D:$D,$B9,数据集!$B:$B,"v1")</x:f>
      </x:c>
      <x:c r="F9" s="65" t="e">
        <x:f>COUNTIFS(数据集!$C:$C,$A9,数据集!$D:$D,$B9,数据集!$B:$B,"v2")</x:f>
      </x:c>
      <x:c r="G9" s="65" t="e">
        <x:f>COUNTIFS(数据集!$C:$C,$A9,数据集!$D:$D,$B9,数据集!$B:$B,"v3")</x:f>
      </x:c>
      <x:c r="H9" s="65" t="e">
        <x:f>COUNTIFS(数据集!$C:$C,$A9,数据集!$D:$D,$B9,数据集!$B:$B,"v5")</x:f>
      </x:c>
      <x:c r="I9" s="65" t="e">
        <x:f>COUNTIFS(数据集!$C:$C,$A9,数据集!$D:$D,$B9,数据集!$B:$B,"v6")</x:f>
      </x:c>
    </x:row>
    <x:row r="10" s="37" customFormat="1" ht="15" customHeight="1">
      <x:c r="A10" s="64" t="inlineStr">
        <x:is>
          <x:t xml:space="preserve">二、生理与医学必需</x:t>
        </x:is>
      </x:c>
      <x:c r="B10" s="77" t="inlineStr">
        <x:is>
          <x:t xml:space="preserve">2.4 药理与诊疗差异</x:t>
        </x:is>
      </x:c>
      <x:c r="C10" s="64" t="inlineStr">
        <x:is>
          <x:t xml:space="preserve">用药禁忌、剂量调整、检验参考区间分层</x:t>
        </x:is>
      </x:c>
      <x:c r="D10" s="65" t="e">
        <x:f>COUNTIFS(数据集!$C:$C,$A10,数据集!$D:$D,$B10)</x:f>
      </x:c>
      <x:c r="E10" s="65" t="e">
        <x:f>COUNTIFS(数据集!$C:$C,$A10,数据集!$D:$D,$B10,数据集!$B:$B,"v1")</x:f>
      </x:c>
      <x:c r="F10" s="65" t="e">
        <x:f>COUNTIFS(数据集!$C:$C,$A10,数据集!$D:$D,$B10,数据集!$B:$B,"v2")</x:f>
      </x:c>
      <x:c r="G10" s="65" t="e">
        <x:f>COUNTIFS(数据集!$C:$C,$A10,数据集!$D:$D,$B10,数据集!$B:$B,"v3")</x:f>
      </x:c>
      <x:c r="H10" s="65" t="e">
        <x:f>COUNTIFS(数据集!$C:$C,$A10,数据集!$D:$D,$B10,数据集!$B:$B,"v5")</x:f>
      </x:c>
      <x:c r="I10" s="65" t="e">
        <x:f>COUNTIFS(数据集!$C:$C,$A10,数据集!$D:$D,$B10,数据集!$B:$B,"v6")</x:f>
      </x:c>
    </x:row>
    <x:row r="11" s="37" customFormat="1" ht="15" customHeight="1">
      <x:c r="A11" s="64" t="inlineStr">
        <x:is>
          <x:t xml:space="preserve">二、生理与医学必需</x:t>
        </x:is>
      </x:c>
      <x:c r="B11" s="77" t="inlineStr">
        <x:is>
          <x:t xml:space="preserve">2.5 性别确认医疗与性健康</x:t>
        </x:is>
      </x:c>
      <x:c r="C11" s="64" t="inlineStr">
        <x:is>
          <x:t xml:space="preserve">激素治疗、阻断剂、避孕与性传播疾病防治</x:t>
        </x:is>
      </x:c>
      <x:c r="D11" s="65" t="e">
        <x:f>COUNTIFS(数据集!$C:$C,$A11,数据集!$D:$D,$B11)</x:f>
      </x:c>
      <x:c r="E11" s="65" t="e">
        <x:f>COUNTIFS(数据集!$C:$C,$A11,数据集!$D:$D,$B11,数据集!$B:$B,"v1")</x:f>
      </x:c>
      <x:c r="F11" s="65" t="e">
        <x:f>COUNTIFS(数据集!$C:$C,$A11,数据集!$D:$D,$B11,数据集!$B:$B,"v2")</x:f>
      </x:c>
      <x:c r="G11" s="65" t="e">
        <x:f>COUNTIFS(数据集!$C:$C,$A11,数据集!$D:$D,$B11,数据集!$B:$B,"v3")</x:f>
      </x:c>
      <x:c r="H11" s="65" t="e">
        <x:f>COUNTIFS(数据集!$C:$C,$A11,数据集!$D:$D,$B11,数据集!$B:$B,"v5")</x:f>
      </x:c>
      <x:c r="I11" s="65" t="e">
        <x:f>COUNTIFS(数据集!$C:$C,$A11,数据集!$D:$D,$B11,数据集!$B:$B,"v6")</x:f>
      </x:c>
    </x:row>
    <x:row r="12" s="37" customFormat="1" ht="15" customHeight="1">
      <x:c r="A12" s="64" t="inlineStr">
        <x:is>
          <x:t xml:space="preserve">二、生理与医学必需</x:t>
        </x:is>
      </x:c>
      <x:c r="B12" s="77" t="inlineStr">
        <x:is>
          <x:t xml:space="preserve">2.6 鉴定与研究场景</x:t>
        </x:is>
      </x:c>
      <x:c r="C12" s="64" t="inlineStr">
        <x:is>
          <x:t xml:space="preserve">法医鉴定、考古与人类学推断、研究的性别分层</x:t>
        </x:is>
      </x:c>
      <x:c r="D12" s="65" t="e">
        <x:f>COUNTIFS(数据集!$C:$C,$A12,数据集!$D:$D,$B12)</x:f>
      </x:c>
      <x:c r="E12" s="65" t="e">
        <x:f>COUNTIFS(数据集!$C:$C,$A12,数据集!$D:$D,$B12,数据集!$B:$B,"v1")</x:f>
      </x:c>
      <x:c r="F12" s="65" t="e">
        <x:f>COUNTIFS(数据集!$C:$C,$A12,数据集!$D:$D,$B12,数据集!$B:$B,"v2")</x:f>
      </x:c>
      <x:c r="G12" s="65" t="e">
        <x:f>COUNTIFS(数据集!$C:$C,$A12,数据集!$D:$D,$B12,数据集!$B:$B,"v3")</x:f>
      </x:c>
      <x:c r="H12" s="65" t="e">
        <x:f>COUNTIFS(数据集!$C:$C,$A12,数据集!$D:$D,$B12,数据集!$B:$B,"v5")</x:f>
      </x:c>
      <x:c r="I12" s="65" t="e">
        <x:f>COUNTIFS(数据集!$C:$C,$A12,数据集!$D:$D,$B12,数据集!$B:$B,"v6")</x:f>
      </x:c>
    </x:row>
    <x:row r="13" s="37" customFormat="1" ht="15" customHeight="1">
      <x:c r="A13" s="73" t="inlineStr">
        <x:is>
          <x:t xml:space="preserve">三、制度性与统计性区分</x:t>
        </x:is>
      </x:c>
      <x:c r="B13" s="74" t="inlineStr">
        <x:is>
          <x:t xml:space="preserve">3.1 法律与行政身份</x:t>
        </x:is>
      </x:c>
      <x:c r="C13" s="75" t="inlineStr">
        <x:is>
          <x:t xml:space="preserve">登记事项、婚姻与亲子关系、法律性别承认</x:t>
        </x:is>
      </x:c>
      <x:c r="D13" s="76" t="e">
        <x:f>COUNTIFS(数据集!$C:$C,$A13,数据集!$D:$D,$B13)</x:f>
      </x:c>
      <x:c r="E13" s="76" t="e">
        <x:f>COUNTIFS(数据集!$C:$C,$A13,数据集!$D:$D,$B13,数据集!$B:$B,"v1")</x:f>
      </x:c>
      <x:c r="F13" s="76" t="e">
        <x:f>COUNTIFS(数据集!$C:$C,$A13,数据集!$D:$D,$B13,数据集!$B:$B,"v2")</x:f>
      </x:c>
      <x:c r="G13" s="76" t="e">
        <x:f>COUNTIFS(数据集!$C:$C,$A13,数据集!$D:$D,$B13,数据集!$B:$B,"v3")</x:f>
      </x:c>
      <x:c r="H13" s="76" t="e">
        <x:f>COUNTIFS(数据集!$C:$C,$A13,数据集!$D:$D,$B13,数据集!$B:$B,"v5")</x:f>
      </x:c>
      <x:c r="I13" s="76" t="e">
        <x:f>COUNTIFS(数据集!$C:$C,$A13,数据集!$D:$D,$B13,数据集!$B:$B,"v6")</x:f>
      </x:c>
    </x:row>
    <x:row r="14" s="37" customFormat="1" ht="29.850000381469727" customHeight="1">
      <x:c r="A14" s="64" t="inlineStr">
        <x:is>
          <x:t xml:space="preserve">三、制度性与统计性区分</x:t>
        </x:is>
      </x:c>
      <x:c r="B14" s="77" t="inlineStr">
        <x:is>
          <x:t xml:space="preserve">3.2 劳动与社会保障</x:t>
        </x:is>
      </x:c>
      <x:c r="C14" s="64" t="inlineStr">
        <x:is>
          <x:t xml:space="preserve">产假陪产假、生育保险、女职工特殊保护、退休规定</x:t>
        </x:is>
      </x:c>
      <x:c r="D14" s="65" t="e">
        <x:f>COUNTIFS(数据集!$C:$C,$A14,数据集!$D:$D,$B14)</x:f>
      </x:c>
      <x:c r="E14" s="65" t="e">
        <x:f>COUNTIFS(数据集!$C:$C,$A14,数据集!$D:$D,$B14,数据集!$B:$B,"v1")</x:f>
      </x:c>
      <x:c r="F14" s="65" t="e">
        <x:f>COUNTIFS(数据集!$C:$C,$A14,数据集!$D:$D,$B14,数据集!$B:$B,"v2")</x:f>
      </x:c>
      <x:c r="G14" s="65" t="e">
        <x:f>COUNTIFS(数据集!$C:$C,$A14,数据集!$D:$D,$B14,数据集!$B:$B,"v3")</x:f>
      </x:c>
      <x:c r="H14" s="65" t="e">
        <x:f>COUNTIFS(数据集!$C:$C,$A14,数据集!$D:$D,$B14,数据集!$B:$B,"v5")</x:f>
      </x:c>
      <x:c r="I14" s="65" t="e">
        <x:f>COUNTIFS(数据集!$C:$C,$A14,数据集!$D:$D,$B14,数据集!$B:$B,"v6")</x:f>
      </x:c>
    </x:row>
    <x:row r="15" s="37" customFormat="1" ht="15" customHeight="1">
      <x:c r="A15" s="64" t="inlineStr">
        <x:is>
          <x:t xml:space="preserve">三、制度性与统计性区分</x:t>
        </x:is>
      </x:c>
      <x:c r="B15" s="77" t="inlineStr">
        <x:is>
          <x:t xml:space="preserve">3.3 体育竞技分级</x:t>
        </x:is>
      </x:c>
      <x:c r="C15" s="64" t="inlineStr">
        <x:is>
          <x:t xml:space="preserve">项目分组、参赛资格、纪录分列</x:t>
        </x:is>
      </x:c>
      <x:c r="D15" s="65" t="e">
        <x:f>COUNTIFS(数据集!$C:$C,$A15,数据集!$D:$D,$B15)</x:f>
      </x:c>
      <x:c r="E15" s="65" t="e">
        <x:f>COUNTIFS(数据集!$C:$C,$A15,数据集!$D:$D,$B15,数据集!$B:$B,"v1")</x:f>
      </x:c>
      <x:c r="F15" s="65" t="e">
        <x:f>COUNTIFS(数据集!$C:$C,$A15,数据集!$D:$D,$B15,数据集!$B:$B,"v2")</x:f>
      </x:c>
      <x:c r="G15" s="65" t="e">
        <x:f>COUNTIFS(数据集!$C:$C,$A15,数据集!$D:$D,$B15,数据集!$B:$B,"v3")</x:f>
      </x:c>
      <x:c r="H15" s="65" t="e">
        <x:f>COUNTIFS(数据集!$C:$C,$A15,数据集!$D:$D,$B15,数据集!$B:$B,"v5")</x:f>
      </x:c>
      <x:c r="I15" s="65" t="e">
        <x:f>COUNTIFS(数据集!$C:$C,$A15,数据集!$D:$D,$B15,数据集!$B:$B,"v6")</x:f>
      </x:c>
    </x:row>
    <x:row r="16" s="37" customFormat="1" ht="15" customHeight="1">
      <x:c r="A16" s="64" t="inlineStr">
        <x:is>
          <x:t xml:space="preserve">三、制度性与统计性区分</x:t>
        </x:is>
      </x:c>
      <x:c r="B16" s="77" t="inlineStr">
        <x:is>
          <x:t xml:space="preserve">3.4 空间与设施</x:t>
        </x:is>
      </x:c>
      <x:c r="C16" s="64" t="inlineStr">
        <x:is>
          <x:t xml:space="preserve">卫生间更衣室、母婴室、监所分押、单一性别机构</x:t>
        </x:is>
      </x:c>
      <x:c r="D16" s="65" t="e">
        <x:f>COUNTIFS(数据集!$C:$C,$A16,数据集!$D:$D,$B16)</x:f>
      </x:c>
      <x:c r="E16" s="65" t="e">
        <x:f>COUNTIFS(数据集!$C:$C,$A16,数据集!$D:$D,$B16,数据集!$B:$B,"v1")</x:f>
      </x:c>
      <x:c r="F16" s="65" t="e">
        <x:f>COUNTIFS(数据集!$C:$C,$A16,数据集!$D:$D,$B16,数据集!$B:$B,"v2")</x:f>
      </x:c>
      <x:c r="G16" s="65" t="e">
        <x:f>COUNTIFS(数据集!$C:$C,$A16,数据集!$D:$D,$B16,数据集!$B:$B,"v3")</x:f>
      </x:c>
      <x:c r="H16" s="65" t="e">
        <x:f>COUNTIFS(数据集!$C:$C,$A16,数据集!$D:$D,$B16,数据集!$B:$B,"v5")</x:f>
      </x:c>
      <x:c r="I16" s="65" t="e">
        <x:f>COUNTIFS(数据集!$C:$C,$A16,数据集!$D:$D,$B16,数据集!$B:$B,"v6")</x:f>
      </x:c>
    </x:row>
    <x:row r="17" s="37" customFormat="1" ht="15" customHeight="1">
      <x:c r="A17" s="64" t="inlineStr">
        <x:is>
          <x:t xml:space="preserve">三、制度性与统计性区分</x:t>
        </x:is>
      </x:c>
      <x:c r="B17" s="77" t="inlineStr">
        <x:is>
          <x:t xml:space="preserve">3.5 统计、监测与研究</x:t>
        </x:is>
      </x:c>
      <x:c r="C17" s="64" t="inlineStr">
        <x:is>
          <x:t xml:space="preserve">人口、劳动、教育、健康等领域的性别统计</x:t>
        </x:is>
      </x:c>
      <x:c r="D17" s="65" t="e">
        <x:f>COUNTIFS(数据集!$C:$C,$A17,数据集!$D:$D,$B17)</x:f>
      </x:c>
      <x:c r="E17" s="65" t="e">
        <x:f>COUNTIFS(数据集!$C:$C,$A17,数据集!$D:$D,$B17,数据集!$B:$B,"v1")</x:f>
      </x:c>
      <x:c r="F17" s="65" t="e">
        <x:f>COUNTIFS(数据集!$C:$C,$A17,数据集!$D:$D,$B17,数据集!$B:$B,"v2")</x:f>
      </x:c>
      <x:c r="G17" s="65" t="e">
        <x:f>COUNTIFS(数据集!$C:$C,$A17,数据集!$D:$D,$B17,数据集!$B:$B,"v3")</x:f>
      </x:c>
      <x:c r="H17" s="65" t="e">
        <x:f>COUNTIFS(数据集!$C:$C,$A17,数据集!$D:$D,$B17,数据集!$B:$B,"v5")</x:f>
      </x:c>
      <x:c r="I17" s="65" t="e">
        <x:f>COUNTIFS(数据集!$C:$C,$A17,数据集!$D:$D,$B17,数据集!$B:$B,"v6")</x:f>
      </x:c>
    </x:row>
    <x:row r="18" s="37" customFormat="1" ht="15" customHeight="1">
      <x:c r="A18" s="64" t="inlineStr">
        <x:is>
          <x:t xml:space="preserve">三、制度性与统计性区分</x:t>
        </x:is>
      </x:c>
      <x:c r="B18" s="77" t="inlineStr">
        <x:is>
          <x:t xml:space="preserve">3.6 平权、保护与专项服务</x:t>
        </x:is>
      </x:c>
      <x:c r="C18" s="64" t="inlineStr">
        <x:is>
          <x:t xml:space="preserve">配额目标、专项基金、维权与庇护服务、信息披露</x:t>
        </x:is>
      </x:c>
      <x:c r="D18" s="65" t="e">
        <x:f>COUNTIFS(数据集!$C:$C,$A18,数据集!$D:$D,$B18)</x:f>
      </x:c>
      <x:c r="E18" s="65" t="e">
        <x:f>COUNTIFS(数据集!$C:$C,$A18,数据集!$D:$D,$B18,数据集!$B:$B,"v1")</x:f>
      </x:c>
      <x:c r="F18" s="65" t="e">
        <x:f>COUNTIFS(数据集!$C:$C,$A18,数据集!$D:$D,$B18,数据集!$B:$B,"v2")</x:f>
      </x:c>
      <x:c r="G18" s="65" t="e">
        <x:f>COUNTIFS(数据集!$C:$C,$A18,数据集!$D:$D,$B18,数据集!$B:$B,"v3")</x:f>
      </x:c>
      <x:c r="H18" s="65" t="e">
        <x:f>COUNTIFS(数据集!$C:$C,$A18,数据集!$D:$D,$B18,数据集!$B:$B,"v5")</x:f>
      </x:c>
      <x:c r="I18" s="65" t="e">
        <x:f>COUNTIFS(数据集!$C:$C,$A18,数据集!$D:$D,$B18,数据集!$B:$B,"v6")</x:f>
      </x:c>
    </x:row>
    <x:row r="19" s="37" customFormat="1" ht="15" customHeight="1">
      <x:c r="A19" s="64" t="inlineStr">
        <x:is>
          <x:t xml:space="preserve">三、制度性与统计性区分</x:t>
        </x:is>
      </x:c>
      <x:c r="B19" s="77" t="inlineStr">
        <x:is>
          <x:t xml:space="preserve">3.7 宗教与文化传统实践</x:t>
        </x:is>
      </x:c>
      <x:c r="C19" s="64" t="inlineStr">
        <x:is>
          <x:t xml:space="preserve">对现存传统中性别安排的客观描述</x:t>
        </x:is>
      </x:c>
      <x:c r="D19" s="65" t="e">
        <x:f>COUNTIFS(数据集!$C:$C,$A19,数据集!$D:$D,$B19)</x:f>
      </x:c>
      <x:c r="E19" s="65" t="e">
        <x:f>COUNTIFS(数据集!$C:$C,$A19,数据集!$D:$D,$B19,数据集!$B:$B,"v1")</x:f>
      </x:c>
      <x:c r="F19" s="65" t="e">
        <x:f>COUNTIFS(数据集!$C:$C,$A19,数据集!$D:$D,$B19,数据集!$B:$B,"v2")</x:f>
      </x:c>
      <x:c r="G19" s="65" t="e">
        <x:f>COUNTIFS(数据集!$C:$C,$A19,数据集!$D:$D,$B19,数据集!$B:$B,"v3")</x:f>
      </x:c>
      <x:c r="H19" s="65" t="e">
        <x:f>COUNTIFS(数据集!$C:$C,$A19,数据集!$D:$D,$B19,数据集!$B:$B,"v5")</x:f>
      </x:c>
      <x:c r="I19" s="65" t="e">
        <x:f>COUNTIFS(数据集!$C:$C,$A19,数据集!$D:$D,$B19,数据集!$B:$B,"v6")</x:f>
      </x:c>
    </x:row>
    <x:row r="20" s="37" customFormat="1" ht="15" customHeight="1">
      <x:c r="A20" s="73" t="inlineStr">
        <x:is>
          <x:t xml:space="preserve">四、专有名词与固定名称</x:t>
        </x:is>
      </x:c>
      <x:c r="B20" s="74" t="inlineStr">
        <x:is>
          <x:t xml:space="preserve">4.1 法律法规</x:t>
        </x:is>
      </x:c>
      <x:c r="C20" s="75" t="inlineStr">
        <x:is>
          <x:t xml:space="preserve">法律、行政法规、国际公约的正式名称</x:t>
        </x:is>
      </x:c>
      <x:c r="D20" s="76" t="e">
        <x:f>COUNTIFS(数据集!$C:$C,$A20,数据集!$D:$D,$B20)</x:f>
      </x:c>
      <x:c r="E20" s="76" t="e">
        <x:f>COUNTIFS(数据集!$C:$C,$A20,数据集!$D:$D,$B20,数据集!$B:$B,"v1")</x:f>
      </x:c>
      <x:c r="F20" s="76" t="e">
        <x:f>COUNTIFS(数据集!$C:$C,$A20,数据集!$D:$D,$B20,数据集!$B:$B,"v2")</x:f>
      </x:c>
      <x:c r="G20" s="76" t="e">
        <x:f>COUNTIFS(数据集!$C:$C,$A20,数据集!$D:$D,$B20,数据集!$B:$B,"v3")</x:f>
      </x:c>
      <x:c r="H20" s="76" t="e">
        <x:f>COUNTIFS(数据集!$C:$C,$A20,数据集!$D:$D,$B20,数据集!$B:$B,"v5")</x:f>
      </x:c>
      <x:c r="I20" s="76" t="e">
        <x:f>COUNTIFS(数据集!$C:$C,$A20,数据集!$D:$D,$B20,数据集!$B:$B,"v6")</x:f>
      </x:c>
    </x:row>
    <x:row r="21" s="37" customFormat="1" ht="15" customHeight="1">
      <x:c r="A21" s="64" t="inlineStr">
        <x:is>
          <x:t xml:space="preserve">四、专有名词与固定名称</x:t>
        </x:is>
      </x:c>
      <x:c r="B21" s="77" t="inlineStr">
        <x:is>
          <x:t xml:space="preserve">4.2 机构、组织与场所</x:t>
        </x:is>
      </x:c>
      <x:c r="C21" s="64" t="inlineStr">
        <x:is>
          <x:t xml:space="preserve">机构名、队伍名、科室名、场所名</x:t>
        </x:is>
      </x:c>
      <x:c r="D21" s="65" t="e">
        <x:f>COUNTIFS(数据集!$C:$C,$A21,数据集!$D:$D,$B21)</x:f>
      </x:c>
      <x:c r="E21" s="65" t="e">
        <x:f>COUNTIFS(数据集!$C:$C,$A21,数据集!$D:$D,$B21,数据集!$B:$B,"v1")</x:f>
      </x:c>
      <x:c r="F21" s="65" t="e">
        <x:f>COUNTIFS(数据集!$C:$C,$A21,数据集!$D:$D,$B21,数据集!$B:$B,"v2")</x:f>
      </x:c>
      <x:c r="G21" s="65" t="e">
        <x:f>COUNTIFS(数据集!$C:$C,$A21,数据集!$D:$D,$B21,数据集!$B:$B,"v3")</x:f>
      </x:c>
      <x:c r="H21" s="65" t="e">
        <x:f>COUNTIFS(数据集!$C:$C,$A21,数据集!$D:$D,$B21,数据集!$B:$B,"v5")</x:f>
      </x:c>
      <x:c r="I21" s="65" t="e">
        <x:f>COUNTIFS(数据集!$C:$C,$A21,数据集!$D:$D,$B21,数据集!$B:$B,"v6")</x:f>
      </x:c>
    </x:row>
    <x:row r="22" s="37" customFormat="1" ht="15" customHeight="1">
      <x:c r="A22" s="64" t="inlineStr">
        <x:is>
          <x:t xml:space="preserve">四、专有名词与固定名称</x:t>
        </x:is>
      </x:c>
      <x:c r="B22" s="77" t="inlineStr">
        <x:is>
          <x:t xml:space="preserve">4.3 奖项、荣誉与称号</x:t>
        </x:is>
      </x:c>
      <x:c r="C22" s="64" t="inlineStr">
        <x:is>
          <x:t xml:space="preserve">荣誉称号、奖项设置的正式名称</x:t>
        </x:is>
      </x:c>
      <x:c r="D22" s="65" t="e">
        <x:f>COUNTIFS(数据集!$C:$C,$A22,数据集!$D:$D,$B22)</x:f>
      </x:c>
      <x:c r="E22" s="65" t="e">
        <x:f>COUNTIFS(数据集!$C:$C,$A22,数据集!$D:$D,$B22,数据集!$B:$B,"v1")</x:f>
      </x:c>
      <x:c r="F22" s="65" t="e">
        <x:f>COUNTIFS(数据集!$C:$C,$A22,数据集!$D:$D,$B22,数据集!$B:$B,"v2")</x:f>
      </x:c>
      <x:c r="G22" s="65" t="e">
        <x:f>COUNTIFS(数据集!$C:$C,$A22,数据集!$D:$D,$B22,数据集!$B:$B,"v3")</x:f>
      </x:c>
      <x:c r="H22" s="65" t="e">
        <x:f>COUNTIFS(数据集!$C:$C,$A22,数据集!$D:$D,$B22,数据集!$B:$B,"v5")</x:f>
      </x:c>
      <x:c r="I22" s="65" t="e">
        <x:f>COUNTIFS(数据集!$C:$C,$A22,数据集!$D:$D,$B22,数据集!$B:$B,"v6")</x:f>
      </x:c>
    </x:row>
    <x:row r="23" s="37" customFormat="1" ht="15" customHeight="1">
      <x:c r="A23" s="64" t="inlineStr">
        <x:is>
          <x:t xml:space="preserve">四、专有名词与固定名称</x:t>
        </x:is>
      </x:c>
      <x:c r="B23" s="77" t="inlineStr">
        <x:is>
          <x:t xml:space="preserve">4.4 节日与纪念日</x:t>
        </x:is>
      </x:c>
      <x:c r="C23" s="64" t="inlineStr">
        <x:is>
          <x:t xml:space="preserve">法定节日与国际纪念日名称</x:t>
        </x:is>
      </x:c>
      <x:c r="D23" s="65" t="e">
        <x:f>COUNTIFS(数据集!$C:$C,$A23,数据集!$D:$D,$B23)</x:f>
      </x:c>
      <x:c r="E23" s="65" t="e">
        <x:f>COUNTIFS(数据集!$C:$C,$A23,数据集!$D:$D,$B23,数据集!$B:$B,"v1")</x:f>
      </x:c>
      <x:c r="F23" s="65" t="e">
        <x:f>COUNTIFS(数据集!$C:$C,$A23,数据集!$D:$D,$B23,数据集!$B:$B,"v2")</x:f>
      </x:c>
      <x:c r="G23" s="65" t="e">
        <x:f>COUNTIFS(数据集!$C:$C,$A23,数据集!$D:$D,$B23,数据集!$B:$B,"v3")</x:f>
      </x:c>
      <x:c r="H23" s="65" t="e">
        <x:f>COUNTIFS(数据集!$C:$C,$A23,数据集!$D:$D,$B23,数据集!$B:$B,"v5")</x:f>
      </x:c>
      <x:c r="I23" s="65" t="e">
        <x:f>COUNTIFS(数据集!$C:$C,$A23,数据集!$D:$D,$B23,数据集!$B:$B,"v6")</x:f>
      </x:c>
    </x:row>
    <x:row r="24" s="37" customFormat="1" ht="15" customHeight="1">
      <x:c r="A24" s="64" t="inlineStr">
        <x:is>
          <x:t xml:space="preserve">四、专有名词与固定名称</x:t>
        </x:is>
      </x:c>
      <x:c r="B24" s="77" t="inlineStr">
        <x:is>
          <x:t xml:space="preserve">4.5 作品名与文化产品</x:t>
        </x:is>
      </x:c>
      <x:c r="C24" s="64" t="inlineStr">
        <x:is>
          <x:t xml:space="preserve">书名、剧名、歌曲名、栏目名</x:t>
        </x:is>
      </x:c>
      <x:c r="D24" s="65" t="e">
        <x:f>COUNTIFS(数据集!$C:$C,$A24,数据集!$D:$D,$B24)</x:f>
      </x:c>
      <x:c r="E24" s="65" t="e">
        <x:f>COUNTIFS(数据集!$C:$C,$A24,数据集!$D:$D,$B24,数据集!$B:$B,"v1")</x:f>
      </x:c>
      <x:c r="F24" s="65" t="e">
        <x:f>COUNTIFS(数据集!$C:$C,$A24,数据集!$D:$D,$B24,数据集!$B:$B,"v2")</x:f>
      </x:c>
      <x:c r="G24" s="65" t="e">
        <x:f>COUNTIFS(数据集!$C:$C,$A24,数据集!$D:$D,$B24,数据集!$B:$B,"v3")</x:f>
      </x:c>
      <x:c r="H24" s="65" t="e">
        <x:f>COUNTIFS(数据集!$C:$C,$A24,数据集!$D:$D,$B24,数据集!$B:$B,"v5")</x:f>
      </x:c>
      <x:c r="I24" s="65" t="e">
        <x:f>COUNTIFS(数据集!$C:$C,$A24,数据集!$D:$D,$B24,数据集!$B:$B,"v6")</x:f>
      </x:c>
    </x:row>
    <x:row r="25" s="37" customFormat="1" ht="15" customHeight="1">
      <x:c r="A25" s="64" t="inlineStr">
        <x:is>
          <x:t xml:space="preserve">四、专有名词与固定名称</x:t>
        </x:is>
      </x:c>
      <x:c r="B25" s="77" t="inlineStr">
        <x:is>
          <x:t xml:space="preserve">4.6 历史与制度术语</x:t>
        </x:is>
      </x:c>
      <x:c r="C25" s="64" t="inlineStr">
        <x:is>
          <x:t xml:space="preserve">历史制度、身份、习俗的专名</x:t>
        </x:is>
      </x:c>
      <x:c r="D25" s="65" t="e">
        <x:f>COUNTIFS(数据集!$C:$C,$A25,数据集!$D:$D,$B25)</x:f>
      </x:c>
      <x:c r="E25" s="65" t="e">
        <x:f>COUNTIFS(数据集!$C:$C,$A25,数据集!$D:$D,$B25,数据集!$B:$B,"v1")</x:f>
      </x:c>
      <x:c r="F25" s="65" t="e">
        <x:f>COUNTIFS(数据集!$C:$C,$A25,数据集!$D:$D,$B25,数据集!$B:$B,"v2")</x:f>
      </x:c>
      <x:c r="G25" s="65" t="e">
        <x:f>COUNTIFS(数据集!$C:$C,$A25,数据集!$D:$D,$B25,数据集!$B:$B,"v3")</x:f>
      </x:c>
      <x:c r="H25" s="65" t="e">
        <x:f>COUNTIFS(数据集!$C:$C,$A25,数据集!$D:$D,$B25,数据集!$B:$B,"v5")</x:f>
      </x:c>
      <x:c r="I25" s="65" t="e">
        <x:f>COUNTIFS(数据集!$C:$C,$A25,数据集!$D:$D,$B25,数据集!$B:$B,"v6")</x:f>
      </x:c>
    </x:row>
    <x:row r="26" s="37" customFormat="1" ht="15" customHeight="1">
      <x:c r="A26" s="64" t="inlineStr">
        <x:is>
          <x:t xml:space="preserve">四、专有名词与固定名称</x:t>
        </x:is>
      </x:c>
      <x:c r="B26" s="77" t="inlineStr">
        <x:is>
          <x:t xml:space="preserve">4.7 学术与批判性概念</x:t>
        </x:is>
      </x:c>
      <x:c r="C26" s="64" t="inlineStr">
        <x:is>
          <x:t xml:space="preserve">性别研究与社会学的分析性术语</x:t>
        </x:is>
      </x:c>
      <x:c r="D26" s="65" t="e">
        <x:f>COUNTIFS(数据集!$C:$C,$A26,数据集!$D:$D,$B26)</x:f>
      </x:c>
      <x:c r="E26" s="65" t="e">
        <x:f>COUNTIFS(数据集!$C:$C,$A26,数据集!$D:$D,$B26,数据集!$B:$B,"v1")</x:f>
      </x:c>
      <x:c r="F26" s="65" t="e">
        <x:f>COUNTIFS(数据集!$C:$C,$A26,数据集!$D:$D,$B26,数据集!$B:$B,"v2")</x:f>
      </x:c>
      <x:c r="G26" s="65" t="e">
        <x:f>COUNTIFS(数据集!$C:$C,$A26,数据集!$D:$D,$B26,数据集!$B:$B,"v3")</x:f>
      </x:c>
      <x:c r="H26" s="65" t="e">
        <x:f>COUNTIFS(数据集!$C:$C,$A26,数据集!$D:$D,$B26,数据集!$B:$B,"v5")</x:f>
      </x:c>
      <x:c r="I26" s="65" t="e">
        <x:f>COUNTIFS(数据集!$C:$C,$A26,数据集!$D:$D,$B26,数据集!$B:$B,"v6")</x:f>
      </x:c>
    </x:row>
    <x:row r="27" s="37" customFormat="1" ht="15" customHeight="1">
      <x:c r="A27" s="64" t="inlineStr">
        <x:is>
          <x:t xml:space="preserve">四、专有名词与固定名称</x:t>
        </x:is>
      </x:c>
      <x:c r="B27" s="77" t="inlineStr">
        <x:is>
          <x:t xml:space="preserve">4.8 品牌、产品与商业名称</x:t>
        </x:is>
      </x:c>
      <x:c r="C27" s="64" t="inlineStr">
        <x:is>
          <x:t xml:space="preserve">注册商标、产品线与商品分类的既有名称</x:t>
        </x:is>
      </x:c>
      <x:c r="D27" s="65" t="e">
        <x:f>COUNTIFS(数据集!$C:$C,$A27,数据集!$D:$D,$B27)</x:f>
      </x:c>
      <x:c r="E27" s="65" t="e">
        <x:f>COUNTIFS(数据集!$C:$C,$A27,数据集!$D:$D,$B27,数据集!$B:$B,"v1")</x:f>
      </x:c>
      <x:c r="F27" s="65" t="e">
        <x:f>COUNTIFS(数据集!$C:$C,$A27,数据集!$D:$D,$B27,数据集!$B:$B,"v2")</x:f>
      </x:c>
      <x:c r="G27" s="65" t="e">
        <x:f>COUNTIFS(数据集!$C:$C,$A27,数据集!$D:$D,$B27,数据集!$B:$B,"v3")</x:f>
      </x:c>
      <x:c r="H27" s="65" t="e">
        <x:f>COUNTIFS(数据集!$C:$C,$A27,数据集!$D:$D,$B27,数据集!$B:$B,"v5")</x:f>
      </x:c>
      <x:c r="I27" s="65" t="e">
        <x:f>COUNTIFS(数据集!$C:$C,$A27,数据集!$D:$D,$B27,数据集!$B:$B,"v6")</x:f>
      </x:c>
    </x:row>
    <x:row r="28" s="37" customFormat="1" ht="15" customHeight="1">
      <x:c r="A28" s="73" t="inlineStr">
        <x:is>
          <x:t xml:space="preserve">五、引用与转述</x:t>
        </x:is>
      </x:c>
      <x:c r="B28" s="74" t="inlineStr">
        <x:is>
          <x:t xml:space="preserve">5.1 直接引语</x:t>
        </x:is>
      </x:c>
      <x:c r="C28" s="75" t="inlineStr">
        <x:is>
          <x:t xml:space="preserve">采访原话、庭审供述、会议记录、逐字稿</x:t>
        </x:is>
      </x:c>
      <x:c r="D28" s="76" t="e">
        <x:f>COUNTIFS(数据集!$C:$C,$A28,数据集!$D:$D,$B28)</x:f>
      </x:c>
      <x:c r="E28" s="76" t="e">
        <x:f>COUNTIFS(数据集!$C:$C,$A28,数据集!$D:$D,$B28,数据集!$B:$B,"v1")</x:f>
      </x:c>
      <x:c r="F28" s="76" t="e">
        <x:f>COUNTIFS(数据集!$C:$C,$A28,数据集!$D:$D,$B28,数据集!$B:$B,"v2")</x:f>
      </x:c>
      <x:c r="G28" s="76" t="e">
        <x:f>COUNTIFS(数据集!$C:$C,$A28,数据集!$D:$D,$B28,数据集!$B:$B,"v3")</x:f>
      </x:c>
      <x:c r="H28" s="76" t="e">
        <x:f>COUNTIFS(数据集!$C:$C,$A28,数据集!$D:$D,$B28,数据集!$B:$B,"v5")</x:f>
      </x:c>
      <x:c r="I28" s="76" t="e">
        <x:f>COUNTIFS(数据集!$C:$C,$A28,数据集!$D:$D,$B28,数据集!$B:$B,"v6")</x:f>
      </x:c>
    </x:row>
    <x:row r="29" s="37" customFormat="1" ht="15" customHeight="1">
      <x:c r="A29" s="64" t="inlineStr">
        <x:is>
          <x:t xml:space="preserve">五、引用与转述</x:t>
        </x:is>
      </x:c>
      <x:c r="B29" s="77" t="inlineStr">
        <x:is>
          <x:t xml:space="preserve">5.2 文献与史料</x:t>
        </x:is>
      </x:c>
      <x:c r="C29" s="64" t="inlineStr">
        <x:is>
          <x:t xml:space="preserve">古籍经典、碑刻、族谱、旧报刊原文</x:t>
        </x:is>
      </x:c>
      <x:c r="D29" s="65" t="e">
        <x:f>COUNTIFS(数据集!$C:$C,$A29,数据集!$D:$D,$B29)</x:f>
      </x:c>
      <x:c r="E29" s="65" t="e">
        <x:f>COUNTIFS(数据集!$C:$C,$A29,数据集!$D:$D,$B29,数据集!$B:$B,"v1")</x:f>
      </x:c>
      <x:c r="F29" s="65" t="e">
        <x:f>COUNTIFS(数据集!$C:$C,$A29,数据集!$D:$D,$B29,数据集!$B:$B,"v2")</x:f>
      </x:c>
      <x:c r="G29" s="65" t="e">
        <x:f>COUNTIFS(数据集!$C:$C,$A29,数据集!$D:$D,$B29,数据集!$B:$B,"v3")</x:f>
      </x:c>
      <x:c r="H29" s="65" t="e">
        <x:f>COUNTIFS(数据集!$C:$C,$A29,数据集!$D:$D,$B29,数据集!$B:$B,"v5")</x:f>
      </x:c>
      <x:c r="I29" s="65" t="e">
        <x:f>COUNTIFS(数据集!$C:$C,$A29,数据集!$D:$D,$B29,数据集!$B:$B,"v6")</x:f>
      </x:c>
    </x:row>
    <x:row r="30" s="37" customFormat="1" ht="15" customHeight="1">
      <x:c r="A30" s="64" t="inlineStr">
        <x:is>
          <x:t xml:space="preserve">五、引用与转述</x:t>
        </x:is>
      </x:c>
      <x:c r="B30" s="77" t="inlineStr">
        <x:is>
          <x:t xml:space="preserve">5.3 法律与官方文书原件</x:t>
        </x:is>
      </x:c>
      <x:c r="C30" s="64" t="inlineStr">
        <x:is>
          <x:t xml:space="preserve">法条、裁判文书、公证书、处罚决定书原文</x:t>
        </x:is>
      </x:c>
      <x:c r="D30" s="65" t="e">
        <x:f>COUNTIFS(数据集!$C:$C,$A30,数据集!$D:$D,$B30)</x:f>
      </x:c>
      <x:c r="E30" s="65" t="e">
        <x:f>COUNTIFS(数据集!$C:$C,$A30,数据集!$D:$D,$B30,数据集!$B:$B,"v1")</x:f>
      </x:c>
      <x:c r="F30" s="65" t="e">
        <x:f>COUNTIFS(数据集!$C:$C,$A30,数据集!$D:$D,$B30,数据集!$B:$B,"v2")</x:f>
      </x:c>
      <x:c r="G30" s="65" t="e">
        <x:f>COUNTIFS(数据集!$C:$C,$A30,数据集!$D:$D,$B30,数据集!$B:$B,"v3")</x:f>
      </x:c>
      <x:c r="H30" s="65" t="e">
        <x:f>COUNTIFS(数据集!$C:$C,$A30,数据集!$D:$D,$B30,数据集!$B:$B,"v5")</x:f>
      </x:c>
      <x:c r="I30" s="65" t="e">
        <x:f>COUNTIFS(数据集!$C:$C,$A30,数据集!$D:$D,$B30,数据集!$B:$B,"v6")</x:f>
      </x:c>
    </x:row>
    <x:row r="31" s="37" customFormat="1" ht="15" customHeight="1">
      <x:c r="A31" s="64" t="inlineStr">
        <x:is>
          <x:t xml:space="preserve">五、引用与转述</x:t>
        </x:is>
      </x:c>
      <x:c r="B31" s="77" t="inlineStr">
        <x:is>
          <x:t xml:space="preserve">5.4 研究与调查材料</x:t>
        </x:is>
      </x:c>
      <x:c r="C31" s="64" t="inlineStr">
        <x:is>
          <x:t xml:space="preserve">问卷题干与选项、量表条目、访谈转录、数据字段</x:t>
        </x:is>
      </x:c>
      <x:c r="D31" s="65" t="e">
        <x:f>COUNTIFS(数据集!$C:$C,$A31,数据集!$D:$D,$B31)</x:f>
      </x:c>
      <x:c r="E31" s="65" t="e">
        <x:f>COUNTIFS(数据集!$C:$C,$A31,数据集!$D:$D,$B31,数据集!$B:$B,"v1")</x:f>
      </x:c>
      <x:c r="F31" s="65" t="e">
        <x:f>COUNTIFS(数据集!$C:$C,$A31,数据集!$D:$D,$B31,数据集!$B:$B,"v2")</x:f>
      </x:c>
      <x:c r="G31" s="65" t="e">
        <x:f>COUNTIFS(数据集!$C:$C,$A31,数据集!$D:$D,$B31,数据集!$B:$B,"v3")</x:f>
      </x:c>
      <x:c r="H31" s="65" t="e">
        <x:f>COUNTIFS(数据集!$C:$C,$A31,数据集!$D:$D,$B31,数据集!$B:$B,"v5")</x:f>
      </x:c>
      <x:c r="I31" s="65" t="e">
        <x:f>COUNTIFS(数据集!$C:$C,$A31,数据集!$D:$D,$B31,数据集!$B:$B,"v6")</x:f>
      </x:c>
    </x:row>
    <x:row r="32" s="37" customFormat="1" ht="15" customHeight="1">
      <x:c r="A32" s="64" t="inlineStr">
        <x:is>
          <x:t xml:space="preserve">五、引用与转述</x:t>
        </x:is>
      </x:c>
      <x:c r="B32" s="77" t="inlineStr">
        <x:is>
          <x:t xml:space="preserve">5.5 批判性转述与举例</x:t>
        </x:is>
      </x:c>
      <x:c r="C32" s="64" t="inlineStr">
        <x:is>
          <x:t xml:space="preserve">转述偏见以批判之、反面例句、违规样本列举</x:t>
        </x:is>
      </x:c>
      <x:c r="D32" s="65" t="e">
        <x:f>COUNTIFS(数据集!$C:$C,$A32,数据集!$D:$D,$B32)</x:f>
      </x:c>
      <x:c r="E32" s="65" t="e">
        <x:f>COUNTIFS(数据集!$C:$C,$A32,数据集!$D:$D,$B32,数据集!$B:$B,"v1")</x:f>
      </x:c>
      <x:c r="F32" s="65" t="e">
        <x:f>COUNTIFS(数据集!$C:$C,$A32,数据集!$D:$D,$B32,数据集!$B:$B,"v2")</x:f>
      </x:c>
      <x:c r="G32" s="65" t="e">
        <x:f>COUNTIFS(数据集!$C:$C,$A32,数据集!$D:$D,$B32,数据集!$B:$B,"v3")</x:f>
      </x:c>
      <x:c r="H32" s="65" t="e">
        <x:f>COUNTIFS(数据集!$C:$C,$A32,数据集!$D:$D,$B32,数据集!$B:$B,"v5")</x:f>
      </x:c>
      <x:c r="I32" s="65" t="e">
        <x:f>COUNTIFS(数据集!$C:$C,$A32,数据集!$D:$D,$B32,数据集!$B:$B,"v6")</x:f>
      </x:c>
    </x:row>
    <x:row r="33" s="37" customFormat="1" ht="15" customHeight="1">
      <x:c r="A33" s="64" t="inlineStr">
        <x:is>
          <x:t xml:space="preserve">五、引用与转述</x:t>
        </x:is>
      </x:c>
      <x:c r="B33" s="77" t="inlineStr">
        <x:is>
          <x:t xml:space="preserve">5.6 二手转述与新闻报道</x:t>
        </x:is>
      </x:c>
      <x:c r="C33" s="64" t="inlineStr">
        <x:is>
          <x:t xml:space="preserve">报道歧视事件时对原始语言的必要呈现</x:t>
        </x:is>
      </x:c>
      <x:c r="D33" s="65" t="e">
        <x:f>COUNTIFS(数据集!$C:$C,$A33,数据集!$D:$D,$B33)</x:f>
      </x:c>
      <x:c r="E33" s="65" t="e">
        <x:f>COUNTIFS(数据集!$C:$C,$A33,数据集!$D:$D,$B33,数据集!$B:$B,"v1")</x:f>
      </x:c>
      <x:c r="F33" s="65" t="e">
        <x:f>COUNTIFS(数据集!$C:$C,$A33,数据集!$D:$D,$B33,数据集!$B:$B,"v2")</x:f>
      </x:c>
      <x:c r="G33" s="65" t="e">
        <x:f>COUNTIFS(数据集!$C:$C,$A33,数据集!$D:$D,$B33,数据集!$B:$B,"v3")</x:f>
      </x:c>
      <x:c r="H33" s="65" t="e">
        <x:f>COUNTIFS(数据集!$C:$C,$A33,数据集!$D:$D,$B33,数据集!$B:$B,"v5")</x:f>
      </x:c>
      <x:c r="I33" s="65" t="e">
        <x:f>COUNTIFS(数据集!$C:$C,$A33,数据集!$D:$D,$B33,数据集!$B:$B,"v6")</x:f>
      </x:c>
    </x:row>
    <x:row r="34" s="37" customFormat="1" ht="15" customHeight="1">
      <x:c r="A34" s="73" t="inlineStr">
        <x:is>
          <x:t xml:space="preserve">六、自我认同与自称</x:t>
        </x:is>
      </x:c>
      <x:c r="B34" s="74" t="inlineStr">
        <x:is>
          <x:t xml:space="preserve">6.1 自我描述的性别标签</x:t>
        </x:is>
      </x:c>
      <x:c r="C34" s="75" t="inlineStr">
        <x:is>
          <x:t xml:space="preserve">当事人主动使用的性别相关自我定位</x:t>
        </x:is>
      </x:c>
      <x:c r="D34" s="76" t="e">
        <x:f>COUNTIFS(数据集!$C:$C,$A34,数据集!$D:$D,$B34)</x:f>
      </x:c>
      <x:c r="E34" s="76" t="e">
        <x:f>COUNTIFS(数据集!$C:$C,$A34,数据集!$D:$D,$B34,数据集!$B:$B,"v1")</x:f>
      </x:c>
      <x:c r="F34" s="76" t="e">
        <x:f>COUNTIFS(数据集!$C:$C,$A34,数据集!$D:$D,$B34,数据集!$B:$B,"v2")</x:f>
      </x:c>
      <x:c r="G34" s="76" t="e">
        <x:f>COUNTIFS(数据集!$C:$C,$A34,数据集!$D:$D,$B34,数据集!$B:$B,"v3")</x:f>
      </x:c>
      <x:c r="H34" s="76" t="e">
        <x:f>COUNTIFS(数据集!$C:$C,$A34,数据集!$D:$D,$B34,数据集!$B:$B,"v5")</x:f>
      </x:c>
      <x:c r="I34" s="76" t="e">
        <x:f>COUNTIFS(数据集!$C:$C,$A34,数据集!$D:$D,$B34,数据集!$B:$B,"v6")</x:f>
      </x:c>
    </x:row>
    <x:row r="35" s="37" customFormat="1" ht="15" customHeight="1">
      <x:c r="A35" s="64" t="inlineStr">
        <x:is>
          <x:t xml:space="preserve">六、自我认同与自称</x:t>
        </x:is>
      </x:c>
      <x:c r="B35" s="77" t="inlineStr">
        <x:is>
          <x:t xml:space="preserve">6.2 主动声明的性别与代词</x:t>
        </x:is>
      </x:c>
      <x:c r="C35" s="64" t="inlineStr">
        <x:is>
          <x:t xml:space="preserve">签名档代词、资料页声明、更名后的现用名</x:t>
        </x:is>
      </x:c>
      <x:c r="D35" s="65" t="e">
        <x:f>COUNTIFS(数据集!$C:$C,$A35,数据集!$D:$D,$B35)</x:f>
      </x:c>
      <x:c r="E35" s="65" t="e">
        <x:f>COUNTIFS(数据集!$C:$C,$A35,数据集!$D:$D,$B35,数据集!$B:$B,"v1")</x:f>
      </x:c>
      <x:c r="F35" s="65" t="e">
        <x:f>COUNTIFS(数据集!$C:$C,$A35,数据集!$D:$D,$B35,数据集!$B:$B,"v2")</x:f>
      </x:c>
      <x:c r="G35" s="65" t="e">
        <x:f>COUNTIFS(数据集!$C:$C,$A35,数据集!$D:$D,$B35,数据集!$B:$B,"v3")</x:f>
      </x:c>
      <x:c r="H35" s="65" t="e">
        <x:f>COUNTIFS(数据集!$C:$C,$A35,数据集!$D:$D,$B35,数据集!$B:$B,"v5")</x:f>
      </x:c>
      <x:c r="I35" s="65" t="e">
        <x:f>COUNTIFS(数据集!$C:$C,$A35,数据集!$D:$D,$B35,数据集!$B:$B,"v6")</x:f>
      </x:c>
    </x:row>
    <x:row r="36" s="37" customFormat="1" ht="15" customHeight="1">
      <x:c r="A36" s="64" t="inlineStr">
        <x:is>
          <x:t xml:space="preserve">六、自我认同与自称</x:t>
        </x:is>
      </x:c>
      <x:c r="B36" s="77" t="inlineStr">
        <x:is>
          <x:t xml:space="preserve">6.3 社群内部用语</x:t>
        </x:is>
      </x:c>
      <x:c r="C36" s="64" t="inlineStr">
        <x:is>
          <x:t xml:space="preserve">社群自称与被重新挪用的词汇</x:t>
        </x:is>
      </x:c>
      <x:c r="D36" s="65" t="e">
        <x:f>COUNTIFS(数据集!$C:$C,$A36,数据集!$D:$D,$B36)</x:f>
      </x:c>
      <x:c r="E36" s="65" t="e">
        <x:f>COUNTIFS(数据集!$C:$C,$A36,数据集!$D:$D,$B36,数据集!$B:$B,"v1")</x:f>
      </x:c>
      <x:c r="F36" s="65" t="e">
        <x:f>COUNTIFS(数据集!$C:$C,$A36,数据集!$D:$D,$B36,数据集!$B:$B,"v2")</x:f>
      </x:c>
      <x:c r="G36" s="65" t="e">
        <x:f>COUNTIFS(数据集!$C:$C,$A36,数据集!$D:$D,$B36,数据集!$B:$B,"v3")</x:f>
      </x:c>
      <x:c r="H36" s="65" t="e">
        <x:f>COUNTIFS(数据集!$C:$C,$A36,数据集!$D:$D,$B36,数据集!$B:$B,"v5")</x:f>
      </x:c>
      <x:c r="I36" s="65" t="e">
        <x:f>COUNTIFS(数据集!$C:$C,$A36,数据集!$D:$D,$B36,数据集!$B:$B,"v6")</x:f>
      </x:c>
    </x:row>
    <x:row r="37" s="37" customFormat="1" ht="15" customHeight="1">
      <x:c r="A37" s="64" t="inlineStr">
        <x:is>
          <x:t xml:space="preserve">六、自我认同与自称</x:t>
        </x:is>
      </x:c>
      <x:c r="B37" s="77" t="inlineStr">
        <x:is>
          <x:t xml:space="preserve">6.4 职业与身份的自我定位</x:t>
        </x:is>
      </x:c>
      <x:c r="C37" s="64" t="inlineStr">
        <x:is>
          <x:t xml:space="preserve">以某一性别身份展开自述</x:t>
        </x:is>
      </x:c>
      <x:c r="D37" s="65" t="e">
        <x:f>COUNTIFS(数据集!$C:$C,$A37,数据集!$D:$D,$B37)</x:f>
      </x:c>
      <x:c r="E37" s="65" t="e">
        <x:f>COUNTIFS(数据集!$C:$C,$A37,数据集!$D:$D,$B37,数据集!$B:$B,"v1")</x:f>
      </x:c>
      <x:c r="F37" s="65" t="e">
        <x:f>COUNTIFS(数据集!$C:$C,$A37,数据集!$D:$D,$B37,数据集!$B:$B,"v2")</x:f>
      </x:c>
      <x:c r="G37" s="65" t="e">
        <x:f>COUNTIFS(数据集!$C:$C,$A37,数据集!$D:$D,$B37,数据集!$B:$B,"v3")</x:f>
      </x:c>
      <x:c r="H37" s="65" t="e">
        <x:f>COUNTIFS(数据集!$C:$C,$A37,数据集!$D:$D,$B37,数据集!$B:$B,"v5")</x:f>
      </x:c>
      <x:c r="I37" s="65" t="e">
        <x:f>COUNTIFS(数据集!$C:$C,$A37,数据集!$D:$D,$B37,数据集!$B:$B,"v6")</x:f>
      </x:c>
    </x:row>
    <x:row r="38" s="37" customFormat="1" ht="15" customHeight="1">
      <x:c r="A38" s="64" t="inlineStr">
        <x:is>
          <x:t xml:space="preserve">六、自我认同与自称</x:t>
        </x:is>
      </x:c>
      <x:c r="B38" s="77" t="inlineStr">
        <x:is>
          <x:t xml:space="preserve">6.5 艺名、网名、角色名</x:t>
        </x:is>
      </x:c>
      <x:c r="C38" s="64" t="inlineStr">
        <x:is>
          <x:t xml:space="preserve">自选的含性别指向的名号</x:t>
        </x:is>
      </x:c>
      <x:c r="D38" s="65" t="e">
        <x:f>COUNTIFS(数据集!$C:$C,$A38,数据集!$D:$D,$B38)</x:f>
      </x:c>
      <x:c r="E38" s="65" t="e">
        <x:f>COUNTIFS(数据集!$C:$C,$A38,数据集!$D:$D,$B38,数据集!$B:$B,"v1")</x:f>
      </x:c>
      <x:c r="F38" s="65" t="e">
        <x:f>COUNTIFS(数据集!$C:$C,$A38,数据集!$D:$D,$B38,数据集!$B:$B,"v2")</x:f>
      </x:c>
      <x:c r="G38" s="65" t="e">
        <x:f>COUNTIFS(数据集!$C:$C,$A38,数据集!$D:$D,$B38,数据集!$B:$B,"v3")</x:f>
      </x:c>
      <x:c r="H38" s="65" t="e">
        <x:f>COUNTIFS(数据集!$C:$C,$A38,数据集!$D:$D,$B38,数据集!$B:$B,"v5")</x:f>
      </x:c>
      <x:c r="I38" s="65" t="e">
        <x:f>COUNTIFS(数据集!$C:$C,$A38,数据集!$D:$D,$B38,数据集!$B:$B,"v6")</x:f>
      </x:c>
    </x:row>
    <x:row r="39" s="37" customFormat="1" ht="15" customHeight="1">
      <x:c r="A39" s="73" t="inlineStr">
        <x:is>
          <x:t xml:space="preserve">七、创作与修辞需要</x:t>
        </x:is>
      </x:c>
      <x:c r="B39" s="74" t="inlineStr">
        <x:is>
          <x:t xml:space="preserve">7.1 人物塑造</x:t>
        </x:is>
      </x:c>
      <x:c r="C39" s="75" t="inlineStr">
        <x:is>
          <x:t xml:space="preserve">角色台词体现其偏见、时代局限或性格</x:t>
        </x:is>
      </x:c>
      <x:c r="D39" s="76" t="e">
        <x:f>COUNTIFS(数据集!$C:$C,$A39,数据集!$D:$D,$B39)</x:f>
      </x:c>
      <x:c r="E39" s="76" t="e">
        <x:f>COUNTIFS(数据集!$C:$C,$A39,数据集!$D:$D,$B39,数据集!$B:$B,"v1")</x:f>
      </x:c>
      <x:c r="F39" s="76" t="e">
        <x:f>COUNTIFS(数据集!$C:$C,$A39,数据集!$D:$D,$B39,数据集!$B:$B,"v2")</x:f>
      </x:c>
      <x:c r="G39" s="76" t="e">
        <x:f>COUNTIFS(数据集!$C:$C,$A39,数据集!$D:$D,$B39,数据集!$B:$B,"v3")</x:f>
      </x:c>
      <x:c r="H39" s="76" t="e">
        <x:f>COUNTIFS(数据集!$C:$C,$A39,数据集!$D:$D,$B39,数据集!$B:$B,"v5")</x:f>
      </x:c>
      <x:c r="I39" s="76" t="e">
        <x:f>COUNTIFS(数据集!$C:$C,$A39,数据集!$D:$D,$B39,数据集!$B:$B,"v6")</x:f>
      </x:c>
    </x:row>
    <x:row r="40" s="37" customFormat="1" ht="15" customHeight="1">
      <x:c r="A40" s="64" t="inlineStr">
        <x:is>
          <x:t xml:space="preserve">七、创作与修辞需要</x:t>
        </x:is>
      </x:c>
      <x:c r="B40" s="77" t="inlineStr">
        <x:is>
          <x:t xml:space="preserve">7.2 情节与主题必需</x:t>
        </x:is>
      </x:c>
      <x:c r="C40" s="64" t="inlineStr">
        <x:is>
          <x:t xml:space="preserve">性别关系或性别错位构成情节内核</x:t>
        </x:is>
      </x:c>
      <x:c r="D40" s="65" t="e">
        <x:f>COUNTIFS(数据集!$C:$C,$A40,数据集!$D:$D,$B40)</x:f>
      </x:c>
      <x:c r="E40" s="65" t="e">
        <x:f>COUNTIFS(数据集!$C:$C,$A40,数据集!$D:$D,$B40,数据集!$B:$B,"v1")</x:f>
      </x:c>
      <x:c r="F40" s="65" t="e">
        <x:f>COUNTIFS(数据集!$C:$C,$A40,数据集!$D:$D,$B40,数据集!$B:$B,"v2")</x:f>
      </x:c>
      <x:c r="G40" s="65" t="e">
        <x:f>COUNTIFS(数据集!$C:$C,$A40,数据集!$D:$D,$B40,数据集!$B:$B,"v3")</x:f>
      </x:c>
      <x:c r="H40" s="65" t="e">
        <x:f>COUNTIFS(数据集!$C:$C,$A40,数据集!$D:$D,$B40,数据集!$B:$B,"v5")</x:f>
      </x:c>
      <x:c r="I40" s="65" t="e">
        <x:f>COUNTIFS(数据集!$C:$C,$A40,数据集!$D:$D,$B40,数据集!$B:$B,"v6")</x:f>
      </x:c>
    </x:row>
    <x:row r="41" s="37" customFormat="1" ht="15" customHeight="1">
      <x:c r="A41" s="64" t="inlineStr">
        <x:is>
          <x:t xml:space="preserve">七、创作与修辞需要</x:t>
        </x:is>
      </x:c>
      <x:c r="B41" s="77" t="inlineStr">
        <x:is>
          <x:t xml:space="preserve">7.3 时代与地域还原</x:t>
        </x:is>
      </x:c>
      <x:c r="C41" s="64" t="inlineStr">
        <x:is>
          <x:t xml:space="preserve">年代称谓、方言、翻译中的原文性别系统</x:t>
        </x:is>
      </x:c>
      <x:c r="D41" s="65" t="e">
        <x:f>COUNTIFS(数据集!$C:$C,$A41,数据集!$D:$D,$B41)</x:f>
      </x:c>
      <x:c r="E41" s="65" t="e">
        <x:f>COUNTIFS(数据集!$C:$C,$A41,数据集!$D:$D,$B41,数据集!$B:$B,"v1")</x:f>
      </x:c>
      <x:c r="F41" s="65" t="e">
        <x:f>COUNTIFS(数据集!$C:$C,$A41,数据集!$D:$D,$B41,数据集!$B:$B,"v2")</x:f>
      </x:c>
      <x:c r="G41" s="65" t="e">
        <x:f>COUNTIFS(数据集!$C:$C,$A41,数据集!$D:$D,$B41,数据集!$B:$B,"v3")</x:f>
      </x:c>
      <x:c r="H41" s="65" t="e">
        <x:f>COUNTIFS(数据集!$C:$C,$A41,数据集!$D:$D,$B41,数据集!$B:$B,"v5")</x:f>
      </x:c>
      <x:c r="I41" s="65" t="e">
        <x:f>COUNTIFS(数据集!$C:$C,$A41,数据集!$D:$D,$B41,数据集!$B:$B,"v6")</x:f>
      </x:c>
    </x:row>
    <x:row r="42" s="37" customFormat="1" ht="15" customHeight="1">
      <x:c r="A42" s="64" t="inlineStr">
        <x:is>
          <x:t xml:space="preserve">七、创作与修辞需要</x:t>
        </x:is>
      </x:c>
      <x:c r="B42" s="77" t="inlineStr">
        <x:is>
          <x:t xml:space="preserve">7.4 反讽、戏仿与批判</x:t>
        </x:is>
      </x:c>
      <x:c r="C42" s="64" t="inlineStr">
        <x:is>
          <x:t xml:space="preserve">形式复制刻板印象、功能在于拆解</x:t>
        </x:is>
      </x:c>
      <x:c r="D42" s="65" t="e">
        <x:f>COUNTIFS(数据集!$C:$C,$A42,数据集!$D:$D,$B42)</x:f>
      </x:c>
      <x:c r="E42" s="65" t="e">
        <x:f>COUNTIFS(数据集!$C:$C,$A42,数据集!$D:$D,$B42,数据集!$B:$B,"v1")</x:f>
      </x:c>
      <x:c r="F42" s="65" t="e">
        <x:f>COUNTIFS(数据集!$C:$C,$A42,数据集!$D:$D,$B42,数据集!$B:$B,"v2")</x:f>
      </x:c>
      <x:c r="G42" s="65" t="e">
        <x:f>COUNTIFS(数据集!$C:$C,$A42,数据集!$D:$D,$B42,数据集!$B:$B,"v3")</x:f>
      </x:c>
      <x:c r="H42" s="65" t="e">
        <x:f>COUNTIFS(数据集!$C:$C,$A42,数据集!$D:$D,$B42,数据集!$B:$B,"v5")</x:f>
      </x:c>
      <x:c r="I42" s="65" t="e">
        <x:f>COUNTIFS(数据集!$C:$C,$A42,数据集!$D:$D,$B42,数据集!$B:$B,"v6")</x:f>
      </x:c>
    </x:row>
    <x:row r="43" s="37" customFormat="1" ht="15" customHeight="1">
      <x:c r="A43" s="64" t="inlineStr">
        <x:is>
          <x:t xml:space="preserve">七、创作与修辞需要</x:t>
        </x:is>
      </x:c>
      <x:c r="B43" s="77" t="inlineStr">
        <x:is>
          <x:t xml:space="preserve">7.5 形式与格律约束</x:t>
        </x:is>
      </x:c>
      <x:c r="C43" s="64" t="inlineStr">
        <x:is>
          <x:t xml:space="preserve">韵脚、字数、平仄、对仗、固定结构</x:t>
        </x:is>
      </x:c>
      <x:c r="D43" s="65" t="e">
        <x:f>COUNTIFS(数据集!$C:$C,$A43,数据集!$D:$D,$B43)</x:f>
      </x:c>
      <x:c r="E43" s="65" t="e">
        <x:f>COUNTIFS(数据集!$C:$C,$A43,数据集!$D:$D,$B43,数据集!$B:$B,"v1")</x:f>
      </x:c>
      <x:c r="F43" s="65" t="e">
        <x:f>COUNTIFS(数据集!$C:$C,$A43,数据集!$D:$D,$B43,数据集!$B:$B,"v2")</x:f>
      </x:c>
      <x:c r="G43" s="65" t="e">
        <x:f>COUNTIFS(数据集!$C:$C,$A43,数据集!$D:$D,$B43,数据集!$B:$B,"v3")</x:f>
      </x:c>
      <x:c r="H43" s="65" t="e">
        <x:f>COUNTIFS(数据集!$C:$C,$A43,数据集!$D:$D,$B43,数据集!$B:$B,"v5")</x:f>
      </x:c>
      <x:c r="I43" s="65" t="e">
        <x:f>COUNTIFS(数据集!$C:$C,$A43,数据集!$D:$D,$B43,数据集!$B:$B,"v6")</x:f>
      </x:c>
    </x:row>
    <x:row r="44" s="37" customFormat="1" ht="15" customHeight="1">
      <x:c r="A44" s="64" t="inlineStr">
        <x:is>
          <x:t xml:space="preserve">七、创作与修辞需要</x:t>
        </x:is>
      </x:c>
      <x:c r="B44" s="77" t="inlineStr">
        <x:is>
          <x:t xml:space="preserve">7.6 意象与典故</x:t>
        </x:is>
      </x:c>
      <x:c r="C44" s="64" t="inlineStr">
        <x:is>
          <x:t xml:space="preserve">神话传说、成语典故的文学化用</x:t>
        </x:is>
      </x:c>
      <x:c r="D44" s="65" t="e">
        <x:f>COUNTIFS(数据集!$C:$C,$A44,数据集!$D:$D,$B44)</x:f>
      </x:c>
      <x:c r="E44" s="65" t="e">
        <x:f>COUNTIFS(数据集!$C:$C,$A44,数据集!$D:$D,$B44,数据集!$B:$B,"v1")</x:f>
      </x:c>
      <x:c r="F44" s="65" t="e">
        <x:f>COUNTIFS(数据集!$C:$C,$A44,数据集!$D:$D,$B44,数据集!$B:$B,"v2")</x:f>
      </x:c>
      <x:c r="G44" s="65" t="e">
        <x:f>COUNTIFS(数据集!$C:$C,$A44,数据集!$D:$D,$B44,数据集!$B:$B,"v3")</x:f>
      </x:c>
      <x:c r="H44" s="65" t="e">
        <x:f>COUNTIFS(数据集!$C:$C,$A44,数据集!$D:$D,$B44,数据集!$B:$B,"v5")</x:f>
      </x:c>
      <x:c r="I44" s="65" t="e">
        <x:f>COUNTIFS(数据集!$C:$C,$A44,数据集!$D:$D,$B44,数据集!$B:$B,"v6")</x:f>
      </x:c>
    </x:row>
    <x:row r="45" s="37" customFormat="1" ht="29.850000381469727" customHeight="1">
      <x:c r="A45" s="73" t="inlineStr">
        <x:is>
          <x:t xml:space="preserve">八、语言本体层面的历史残留</x:t>
        </x:is>
      </x:c>
      <x:c r="B45" s="74" t="inlineStr">
        <x:is>
          <x:t xml:space="preserve">8.1 字形理据</x:t>
        </x:is>
      </x:c>
      <x:c r="C45" s="75" t="inlineStr">
        <x:is>
          <x:t xml:space="preserve">部首与构字法层面的性别痕迹</x:t>
        </x:is>
      </x:c>
      <x:c r="D45" s="76" t="e">
        <x:f>COUNTIFS(数据集!$C:$C,$A45,数据集!$D:$D,$B45)</x:f>
      </x:c>
      <x:c r="E45" s="76" t="e">
        <x:f>COUNTIFS(数据集!$C:$C,$A45,数据集!$D:$D,$B45,数据集!$B:$B,"v1")</x:f>
      </x:c>
      <x:c r="F45" s="76" t="e">
        <x:f>COUNTIFS(数据集!$C:$C,$A45,数据集!$D:$D,$B45,数据集!$B:$B,"v2")</x:f>
      </x:c>
      <x:c r="G45" s="76" t="e">
        <x:f>COUNTIFS(数据集!$C:$C,$A45,数据集!$D:$D,$B45,数据集!$B:$B,"v3")</x:f>
      </x:c>
      <x:c r="H45" s="76" t="e">
        <x:f>COUNTIFS(数据集!$C:$C,$A45,数据集!$D:$D,$B45,数据集!$B:$B,"v5")</x:f>
      </x:c>
      <x:c r="I45" s="76" t="e">
        <x:f>COUNTIFS(数据集!$C:$C,$A45,数据集!$D:$D,$B45,数据集!$B:$B,"v6")</x:f>
      </x:c>
    </x:row>
    <x:row r="46" s="37" customFormat="1" ht="29.850000381469727" customHeight="1">
      <x:c r="A46" s="64" t="inlineStr">
        <x:is>
          <x:t xml:space="preserve">八、语言本体层面的历史残留</x:t>
        </x:is>
      </x:c>
      <x:c r="B46" s="77" t="inlineStr">
        <x:is>
          <x:t xml:space="preserve">8.2 敬语传统的中性化用法</x:t>
        </x:is>
      </x:c>
      <x:c r="C46" s="64" t="inlineStr">
        <x:is>
          <x:t xml:space="preserve">“先生”尊称学者、指教师等已中性化的敬语</x:t>
        </x:is>
      </x:c>
      <x:c r="D46" s="65" t="e">
        <x:f>COUNTIFS(数据集!$C:$C,$A46,数据集!$D:$D,$B46)</x:f>
      </x:c>
      <x:c r="E46" s="65" t="e">
        <x:f>COUNTIFS(数据集!$C:$C,$A46,数据集!$D:$D,$B46,数据集!$B:$B,"v1")</x:f>
      </x:c>
      <x:c r="F46" s="65" t="e">
        <x:f>COUNTIFS(数据集!$C:$C,$A46,数据集!$D:$D,$B46,数据集!$B:$B,"v2")</x:f>
      </x:c>
      <x:c r="G46" s="65" t="e">
        <x:f>COUNTIFS(数据集!$C:$C,$A46,数据集!$D:$D,$B46,数据集!$B:$B,"v3")</x:f>
      </x:c>
      <x:c r="H46" s="65" t="e">
        <x:f>COUNTIFS(数据集!$C:$C,$A46,数据集!$D:$D,$B46,数据集!$B:$B,"v5")</x:f>
      </x:c>
      <x:c r="I46" s="65" t="e">
        <x:f>COUNTIFS(数据集!$C:$C,$A46,数据集!$D:$D,$B46,数据集!$B:$B,"v6")</x:f>
      </x:c>
    </x:row>
    <x:row r="47" s="37" customFormat="1" ht="29.850000381469727" customHeight="1">
      <x:c r="A47" s="64" t="inlineStr">
        <x:is>
          <x:t xml:space="preserve">八、语言本体层面的历史残留</x:t>
        </x:is>
      </x:c>
      <x:c r="B47" s="77" t="inlineStr">
        <x:is>
          <x:t xml:space="preserve">8.3 已中性化的复合词</x:t>
        </x:is>
      </x:c>
      <x:c r="C47" s="64" t="inlineStr">
        <x:is>
          <x:t xml:space="preserve">父老乡亲、男女老少、祖国母亲等惯用泛指</x:t>
        </x:is>
      </x:c>
      <x:c r="D47" s="65" t="e">
        <x:f>COUNTIFS(数据集!$C:$C,$A47,数据集!$D:$D,$B47)</x:f>
      </x:c>
      <x:c r="E47" s="65" t="e">
        <x:f>COUNTIFS(数据集!$C:$C,$A47,数据集!$D:$D,$B47,数据集!$B:$B,"v1")</x:f>
      </x:c>
      <x:c r="F47" s="65" t="e">
        <x:f>COUNTIFS(数据集!$C:$C,$A47,数据集!$D:$D,$B47,数据集!$B:$B,"v2")</x:f>
      </x:c>
      <x:c r="G47" s="65" t="e">
        <x:f>COUNTIFS(数据集!$C:$C,$A47,数据集!$D:$D,$B47,数据集!$B:$B,"v3")</x:f>
      </x:c>
      <x:c r="H47" s="65" t="e">
        <x:f>COUNTIFS(数据集!$C:$C,$A47,数据集!$D:$D,$B47,数据集!$B:$B,"v5")</x:f>
      </x:c>
      <x:c r="I47" s="65" t="e">
        <x:f>COUNTIFS(数据集!$C:$C,$A47,数据集!$D:$D,$B47,数据集!$B:$B,"v6")</x:f>
      </x:c>
    </x:row>
    <x:row r="48" s="37" customFormat="1" ht="29.850000381469727" customHeight="1">
      <x:c r="A48" s="64" t="inlineStr">
        <x:is>
          <x:t xml:space="preserve">八、语言本体层面的历史残留</x:t>
        </x:is>
      </x:c>
      <x:c r="B48" s="77" t="inlineStr">
        <x:is>
          <x:t xml:space="preserve">8.4 语法性词汇</x:t>
        </x:is>
      </x:c>
      <x:c r="C48" s="64" t="inlineStr">
        <x:is>
          <x:t xml:space="preserve">汉语形态特征、跨语言对比与外来专名</x:t>
        </x:is>
      </x:c>
      <x:c r="D48" s="65" t="e">
        <x:f>COUNTIFS(数据集!$C:$C,$A48,数据集!$D:$D,$B48)</x:f>
      </x:c>
      <x:c r="E48" s="65" t="e">
        <x:f>COUNTIFS(数据集!$C:$C,$A48,数据集!$D:$D,$B48,数据集!$B:$B,"v1")</x:f>
      </x:c>
      <x:c r="F48" s="65" t="e">
        <x:f>COUNTIFS(数据集!$C:$C,$A48,数据集!$D:$D,$B48,数据集!$B:$B,"v2")</x:f>
      </x:c>
      <x:c r="G48" s="65" t="e">
        <x:f>COUNTIFS(数据集!$C:$C,$A48,数据集!$D:$D,$B48,数据集!$B:$B,"v3")</x:f>
      </x:c>
      <x:c r="H48" s="65" t="e">
        <x:f>COUNTIFS(数据集!$C:$C,$A48,数据集!$D:$D,$B48,数据集!$B:$B,"v5")</x:f>
      </x:c>
      <x:c r="I48" s="65" t="e">
        <x:f>COUNTIFS(数据集!$C:$C,$A48,数据集!$D:$D,$B48,数据集!$B:$B,"v6")</x:f>
      </x:c>
    </x:row>
    <x:row r="49" s="37" customFormat="1" ht="29.850000381469727" customHeight="1">
      <x:c r="A49" s="64" t="inlineStr">
        <x:is>
          <x:t xml:space="preserve">八、语言本体层面的历史残留</x:t>
        </x:is>
      </x:c>
      <x:c r="B49" s="77" t="inlineStr">
        <x:is>
          <x:t xml:space="preserve">8.5 惯用搭配与固定表达</x:t>
        </x:is>
      </x:c>
      <x:c r="C49" s="64" t="inlineStr">
        <x:is>
          <x:t xml:space="preserve">兄弟单位、他们作混合复数等固定搭配</x:t>
        </x:is>
      </x:c>
      <x:c r="D49" s="65" t="e">
        <x:f>COUNTIFS(数据集!$C:$C,$A49,数据集!$D:$D,$B49)</x:f>
      </x:c>
      <x:c r="E49" s="65" t="e">
        <x:f>COUNTIFS(数据集!$C:$C,$A49,数据集!$D:$D,$B49,数据集!$B:$B,"v1")</x:f>
      </x:c>
      <x:c r="F49" s="65" t="e">
        <x:f>COUNTIFS(数据集!$C:$C,$A49,数据集!$D:$D,$B49,数据集!$B:$B,"v2")</x:f>
      </x:c>
      <x:c r="G49" s="65" t="e">
        <x:f>COUNTIFS(数据集!$C:$C,$A49,数据集!$D:$D,$B49,数据集!$B:$B,"v3")</x:f>
      </x:c>
      <x:c r="H49" s="65" t="e">
        <x:f>COUNTIFS(数据集!$C:$C,$A49,数据集!$D:$D,$B49,数据集!$B:$B,"v5")</x:f>
      </x:c>
      <x:c r="I49" s="65" t="e">
        <x:f>COUNTIFS(数据集!$C:$C,$A49,数据集!$D:$D,$B49,数据集!$B:$B,"v6")</x:f>
      </x:c>
    </x:row>
    <x:row r="50" s="37" customFormat="1" ht="29.850000381469727" customHeight="1">
      <x:c r="A50" s="73" t="inlineStr">
        <x:is>
          <x:t xml:space="preserve">九、假触发词（形似而非）</x:t>
        </x:is>
      </x:c>
      <x:c r="B50" s="74" t="inlineStr">
        <x:is>
          <x:t xml:space="preserve">9.1 建筑与工程构件</x:t>
        </x:is>
      </x:c>
      <x:c r="C50" s="75" t="inlineStr">
        <x:is>
          <x:t xml:space="preserve">女儿墙、阴阳角、公母榫、母材等建筑与土木术语</x:t>
        </x:is>
      </x:c>
      <x:c r="D50" s="76" t="e">
        <x:f>COUNTIFS(数据集!$C:$C,$A50,数据集!$D:$D,$B50)</x:f>
      </x:c>
      <x:c r="E50" s="76" t="e">
        <x:f>COUNTIFS(数据集!$C:$C,$A50,数据集!$D:$D,$B50,数据集!$B:$B,"v1")</x:f>
      </x:c>
      <x:c r="F50" s="76" t="e">
        <x:f>COUNTIFS(数据集!$C:$C,$A50,数据集!$D:$D,$B50,数据集!$B:$B,"v2")</x:f>
      </x:c>
      <x:c r="G50" s="76" t="e">
        <x:f>COUNTIFS(数据集!$C:$C,$A50,数据集!$D:$D,$B50,数据集!$B:$B,"v3")</x:f>
      </x:c>
      <x:c r="H50" s="76" t="e">
        <x:f>COUNTIFS(数据集!$C:$C,$A50,数据集!$D:$D,$B50,数据集!$B:$B,"v5")</x:f>
      </x:c>
      <x:c r="I50" s="76" t="e">
        <x:f>COUNTIFS(数据集!$C:$C,$A50,数据集!$D:$D,$B50,数据集!$B:$B,"v6")</x:f>
      </x:c>
    </x:row>
    <x:row r="51" s="37" customFormat="1" ht="29.850000381469727" customHeight="1">
      <x:c r="A51" s="64" t="inlineStr">
        <x:is>
          <x:t xml:space="preserve">九、假触发词（形似而非）</x:t>
        </x:is>
      </x:c>
      <x:c r="B51" s="77" t="inlineStr">
        <x:is>
          <x:t xml:space="preserve">9.2 机械电气与器件</x:t>
        </x:is>
      </x:c>
      <x:c r="C51" s="64" t="inlineStr">
        <x:is>
          <x:t xml:space="preserve">母线、公头母头、公差、阴极阳极、子母机等</x:t>
        </x:is>
      </x:c>
      <x:c r="D51" s="65" t="e">
        <x:f>COUNTIFS(数据集!$C:$C,$A51,数据集!$D:$D,$B51)</x:f>
      </x:c>
      <x:c r="E51" s="65" t="e">
        <x:f>COUNTIFS(数据集!$C:$C,$A51,数据集!$D:$D,$B51,数据集!$B:$B,"v1")</x:f>
      </x:c>
      <x:c r="F51" s="65" t="e">
        <x:f>COUNTIFS(数据集!$C:$C,$A51,数据集!$D:$D,$B51,数据集!$B:$B,"v2")</x:f>
      </x:c>
      <x:c r="G51" s="65" t="e">
        <x:f>COUNTIFS(数据集!$C:$C,$A51,数据集!$D:$D,$B51,数据集!$B:$B,"v3")</x:f>
      </x:c>
      <x:c r="H51" s="65" t="e">
        <x:f>COUNTIFS(数据集!$C:$C,$A51,数据集!$D:$D,$B51,数据集!$B:$B,"v5")</x:f>
      </x:c>
      <x:c r="I51" s="65" t="e">
        <x:f>COUNTIFS(数据集!$C:$C,$A51,数据集!$D:$D,$B51,数据集!$B:$B,"v6")</x:f>
      </x:c>
    </x:row>
    <x:row r="52" s="37" customFormat="1" ht="29.850000381469727" customHeight="1">
      <x:c r="A52" s="64" t="inlineStr">
        <x:is>
          <x:t xml:space="preserve">九、假触发词（形似而非）</x:t>
        </x:is>
      </x:c>
      <x:c r="B52" s="77" t="inlineStr">
        <x:is>
          <x:t xml:space="preserve">9.3 生物农业与育种</x:t>
        </x:is>
      </x:c>
      <x:c r="C52" s="64" t="inlineStr">
        <x:is>
          <x:t xml:space="preserve">父本母本、雌雄异株、种公牛、母种等生物与畜牧术语</x:t>
        </x:is>
      </x:c>
      <x:c r="D52" s="65" t="e">
        <x:f>COUNTIFS(数据集!$C:$C,$A52,数据集!$D:$D,$B52)</x:f>
      </x:c>
      <x:c r="E52" s="65" t="e">
        <x:f>COUNTIFS(数据集!$C:$C,$A52,数据集!$D:$D,$B52,数据集!$B:$B,"v1")</x:f>
      </x:c>
      <x:c r="F52" s="65" t="e">
        <x:f>COUNTIFS(数据集!$C:$C,$A52,数据集!$D:$D,$B52,数据集!$B:$B,"v2")</x:f>
      </x:c>
      <x:c r="G52" s="65" t="e">
        <x:f>COUNTIFS(数据集!$C:$C,$A52,数据集!$D:$D,$B52,数据集!$B:$B,"v3")</x:f>
      </x:c>
      <x:c r="H52" s="65" t="e">
        <x:f>COUNTIFS(数据集!$C:$C,$A52,数据集!$D:$D,$B52,数据集!$B:$B,"v5")</x:f>
      </x:c>
      <x:c r="I52" s="65" t="e">
        <x:f>COUNTIFS(数据集!$C:$C,$A52,数据集!$D:$D,$B52,数据集!$B:$B,"v6")</x:f>
      </x:c>
    </x:row>
    <x:row r="53" s="37" customFormat="1" ht="29.850000381469727" customHeight="1">
      <x:c r="A53" s="64" t="inlineStr">
        <x:is>
          <x:t xml:space="preserve">九、假触发词（形似而非）</x:t>
        </x:is>
      </x:c>
      <x:c r="B53" s="77" t="inlineStr">
        <x:is>
          <x:t xml:space="preserve">9.4 计算机与数学</x:t>
        </x:is>
      </x:c>
      <x:c r="C53" s="64" t="inlineStr">
        <x:is>
          <x:t xml:space="preserve">父类子类、父子进程、母函数、主从、字段名与命令行</x:t>
        </x:is>
      </x:c>
      <x:c r="D53" s="65" t="e">
        <x:f>COUNTIFS(数据集!$C:$C,$A53,数据集!$D:$D,$B53)</x:f>
      </x:c>
      <x:c r="E53" s="65" t="e">
        <x:f>COUNTIFS(数据集!$C:$C,$A53,数据集!$D:$D,$B53,数据集!$B:$B,"v1")</x:f>
      </x:c>
      <x:c r="F53" s="65" t="e">
        <x:f>COUNTIFS(数据集!$C:$C,$A53,数据集!$D:$D,$B53,数据集!$B:$B,"v2")</x:f>
      </x:c>
      <x:c r="G53" s="65" t="e">
        <x:f>COUNTIFS(数据集!$C:$C,$A53,数据集!$D:$D,$B53,数据集!$B:$B,"v3")</x:f>
      </x:c>
      <x:c r="H53" s="65" t="e">
        <x:f>COUNTIFS(数据集!$C:$C,$A53,数据集!$D:$D,$B53,数据集!$B:$B,"v5")</x:f>
      </x:c>
      <x:c r="I53" s="65" t="e">
        <x:f>COUNTIFS(数据集!$C:$C,$A53,数据集!$D:$D,$B53,数据集!$B:$B,"v6")</x:f>
      </x:c>
    </x:row>
    <x:row r="54" s="37" customFormat="1" ht="29.850000381469727" customHeight="1">
      <x:c r="A54" s="64" t="inlineStr">
        <x:is>
          <x:t xml:space="preserve">九、假触发词（形似而非）</x:t>
        </x:is>
      </x:c>
      <x:c r="B54" s="77" t="inlineStr">
        <x:is>
          <x:t xml:space="preserve">9.5 组织与商业术语</x:t>
        </x:is>
      </x:c>
      <x:c r="C54" s="64" t="inlineStr">
        <x:is>
          <x:t xml:space="preserve">母公司子公司、母校、母语、母带、航母、母基金等</x:t>
        </x:is>
      </x:c>
      <x:c r="D54" s="65" t="e">
        <x:f>COUNTIFS(数据集!$C:$C,$A54,数据集!$D:$D,$B54)</x:f>
      </x:c>
      <x:c r="E54" s="65" t="e">
        <x:f>COUNTIFS(数据集!$C:$C,$A54,数据集!$D:$D,$B54,数据集!$B:$B,"v1")</x:f>
      </x:c>
      <x:c r="F54" s="65" t="e">
        <x:f>COUNTIFS(数据集!$C:$C,$A54,数据集!$D:$D,$B54,数据集!$B:$B,"v2")</x:f>
      </x:c>
      <x:c r="G54" s="65" t="e">
        <x:f>COUNTIFS(数据集!$C:$C,$A54,数据集!$D:$D,$B54,数据集!$B:$B,"v3")</x:f>
      </x:c>
      <x:c r="H54" s="65" t="e">
        <x:f>COUNTIFS(数据集!$C:$C,$A54,数据集!$D:$D,$B54,数据集!$B:$B,"v5")</x:f>
      </x:c>
      <x:c r="I54" s="65" t="e">
        <x:f>COUNTIFS(数据集!$C:$C,$A54,数据集!$D:$D,$B54,数据集!$B:$B,"v6")</x:f>
      </x:c>
    </x:row>
    <x:row r="55" s="37" customFormat="1" ht="29.850000381469727" customHeight="1">
      <x:c r="A55" s="64" t="inlineStr">
        <x:is>
          <x:t xml:space="preserve">九、假触发词（形似而非）</x:t>
        </x:is>
      </x:c>
      <x:c r="B55" s="77" t="inlineStr">
        <x:is>
          <x:t xml:space="preserve">9.6 固定词与成语</x:t>
        </x:is>
      </x:c>
      <x:c r="C55" s="64" t="inlineStr">
        <x:is>
          <x:t xml:space="preserve">处女作、处女航、姊妹篇、姊妹城市、夫妻肺片等</x:t>
        </x:is>
      </x:c>
      <x:c r="D55" s="65" t="e">
        <x:f>COUNTIFS(数据集!$C:$C,$A55,数据集!$D:$D,$B55)</x:f>
      </x:c>
      <x:c r="E55" s="65" t="e">
        <x:f>COUNTIFS(数据集!$C:$C,$A55,数据集!$D:$D,$B55,数据集!$B:$B,"v1")</x:f>
      </x:c>
      <x:c r="F55" s="65" t="e">
        <x:f>COUNTIFS(数据集!$C:$C,$A55,数据集!$D:$D,$B55,数据集!$B:$B,"v2")</x:f>
      </x:c>
      <x:c r="G55" s="65" t="e">
        <x:f>COUNTIFS(数据集!$C:$C,$A55,数据集!$D:$D,$B55,数据集!$B:$B,"v3")</x:f>
      </x:c>
      <x:c r="H55" s="65" t="e">
        <x:f>COUNTIFS(数据集!$C:$C,$A55,数据集!$D:$D,$B55,数据集!$B:$B,"v5")</x:f>
      </x:c>
      <x:c r="I55" s="65" t="e">
        <x:f>COUNTIFS(数据集!$C:$C,$A55,数据集!$D:$D,$B55,数据集!$B:$B,"v6")</x:f>
      </x:c>
    </x:row>
    <x:row r="56" s="37" customFormat="1" ht="29.850000381469727" customHeight="1">
      <x:c r="A56" s="64" t="inlineStr">
        <x:is>
          <x:t xml:space="preserve">九、假触发词（形似而非）</x:t>
        </x:is>
      </x:c>
      <x:c r="B56" s="77" t="inlineStr">
        <x:is>
          <x:t xml:space="preserve">9.7 专名、地名与商标</x:t>
        </x:is>
      </x:c>
      <x:c r="C56" s="64" t="inlineStr">
        <x:is>
          <x:t xml:space="preserve">娘子关、婆罗洲、老干妈、女娲、处女座、URL 路径等</x:t>
        </x:is>
      </x:c>
      <x:c r="D56" s="65" t="e">
        <x:f>COUNTIFS(数据集!$C:$C,$A56,数据集!$D:$D,$B56)</x:f>
      </x:c>
      <x:c r="E56" s="65" t="e">
        <x:f>COUNTIFS(数据集!$C:$C,$A56,数据集!$D:$D,$B56,数据集!$B:$B,"v1")</x:f>
      </x:c>
      <x:c r="F56" s="65" t="e">
        <x:f>COUNTIFS(数据集!$C:$C,$A56,数据集!$D:$D,$B56,数据集!$B:$B,"v2")</x:f>
      </x:c>
      <x:c r="G56" s="65" t="e">
        <x:f>COUNTIFS(数据集!$C:$C,$A56,数据集!$D:$D,$B56,数据集!$B:$B,"v3")</x:f>
      </x:c>
      <x:c r="H56" s="65" t="e">
        <x:f>COUNTIFS(数据集!$C:$C,$A56,数据集!$D:$D,$B56,数据集!$B:$B,"v5")</x:f>
      </x:c>
      <x:c r="I56" s="65" t="e">
        <x:f>COUNTIFS(数据集!$C:$C,$A56,数据集!$D:$D,$B56,数据集!$B:$B,"v6")</x:f>
      </x:c>
    </x:row>
    <x:row r="57" s="37" customFormat="1" ht="29.850000381469727" customHeight="1">
      <x:c r="A57" s="64" t="inlineStr">
        <x:is>
          <x:t xml:space="preserve">九、假触发词（形似而非）</x:t>
        </x:is>
      </x:c>
      <x:c r="B57" s="77" t="inlineStr">
        <x:is>
          <x:t xml:space="preserve">9.8 度量衡与其他引申</x:t>
        </x:is>
      </x:c>
      <x:c r="C57" s="64" t="inlineStr">
        <x:is>
          <x:t xml:space="preserve">公斤公里、公差公摊、公因数、阴历阳台等</x:t>
        </x:is>
      </x:c>
      <x:c r="D57" s="65" t="e">
        <x:f>COUNTIFS(数据集!$C:$C,$A57,数据集!$D:$D,$B57)</x:f>
      </x:c>
      <x:c r="E57" s="65" t="e">
        <x:f>COUNTIFS(数据集!$C:$C,$A57,数据集!$D:$D,$B57,数据集!$B:$B,"v1")</x:f>
      </x:c>
      <x:c r="F57" s="65" t="e">
        <x:f>COUNTIFS(数据集!$C:$C,$A57,数据集!$D:$D,$B57,数据集!$B:$B,"v2")</x:f>
      </x:c>
      <x:c r="G57" s="65" t="e">
        <x:f>COUNTIFS(数据集!$C:$C,$A57,数据集!$D:$D,$B57,数据集!$B:$B,"v3")</x:f>
      </x:c>
      <x:c r="H57" s="65" t="e">
        <x:f>COUNTIFS(数据集!$C:$C,$A57,数据集!$D:$D,$B57,数据集!$B:$B,"v5")</x:f>
      </x:c>
      <x:c r="I57" s="65" t="e">
        <x:f>COUNTIFS(数据集!$C:$C,$A57,数据集!$D:$D,$B57,数据集!$B:$B,"v6")</x:f>
      </x:c>
    </x:row>
  </x:sheetData>
  <x:pageMargins left="0.7" right="0.7" top="0.75" bottom="0.75" header="0.3" footer="0.3"/>
</x:worksheet>
</file>